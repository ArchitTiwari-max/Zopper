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" sheetId="1" r:id="rId5"/>
  </sheets>
  <definedNames/>
  <calcPr/>
</workbook>
</file>

<file path=xl/sharedStrings.xml><?xml version="1.0" encoding="utf-8"?>
<sst xmlns="http://schemas.openxmlformats.org/spreadsheetml/2006/main" count="37806" uniqueCount="8492">
  <si>
    <t>Store_ID</t>
  </si>
  <si>
    <t>Store Name</t>
  </si>
  <si>
    <t>City</t>
  </si>
  <si>
    <t>Full Address</t>
  </si>
  <si>
    <t>Latitude</t>
  </si>
  <si>
    <t>Longitude</t>
  </si>
  <si>
    <t>partneraBrandIds</t>
  </si>
  <si>
    <t>partnerBrandNames</t>
  </si>
  <si>
    <t>storeBrandIds</t>
  </si>
  <si>
    <t>partnerBrandTypes</t>
  </si>
  <si>
    <t>Store Category</t>
  </si>
  <si>
    <t>Store Channel</t>
  </si>
  <si>
    <t>City Tier</t>
  </si>
  <si>
    <t>State</t>
  </si>
  <si>
    <t>Priority</t>
  </si>
  <si>
    <t>Executive_IDs</t>
  </si>
  <si>
    <t>POC's Name</t>
  </si>
  <si>
    <t>Number of Visits</t>
  </si>
  <si>
    <t>Duplicate Store ID (Lower Visits)</t>
  </si>
  <si>
    <t>store_000001</t>
  </si>
  <si>
    <t>Vs - Up(Greater Noida) Br</t>
  </si>
  <si>
    <t>Noida</t>
  </si>
  <si>
    <t>brand_002, brand_003</t>
  </si>
  <si>
    <t>Samsung, Hitachi</t>
  </si>
  <si>
    <t xml:space="preserve">, </t>
  </si>
  <si>
    <t>A_PLUS</t>
  </si>
  <si>
    <t>LFR</t>
  </si>
  <si>
    <t>Retail</t>
  </si>
  <si>
    <t>Uttar Pradesh</t>
  </si>
  <si>
    <t>p1</t>
  </si>
  <si>
    <t>executive_00002, executive_00008, executive_00031, executive_00030, executive_00027, executive_00026, executive_00043</t>
  </si>
  <si>
    <t>Kanishk Bhardwaj, Gautam Kumar, Bisma Nadeem, Avantika Gupta, Rohan Saxena, Sonal Kumar, Anirudh shankar</t>
  </si>
  <si>
    <t>store_000002</t>
  </si>
  <si>
    <t>Vs - Up (Noida Sec.18) Br</t>
  </si>
  <si>
    <t>executive_00002, executive_00008, executive_00027, executive_00031, executive_00030, executive_00026, executive_00039, executive_00035, executive_00043</t>
  </si>
  <si>
    <t>Kanishk Bhardwaj, Gautam Kumar, Rohan Saxena, Bisma Nadeem, Avantika Gupta, Sonal Kumar, Sweety Suman, Nishant Gaurav, Anirudh shankar</t>
  </si>
  <si>
    <t>store_000003</t>
  </si>
  <si>
    <t>Vs - Up(Raj Nagar Dc) Br</t>
  </si>
  <si>
    <t>Ghaziabad</t>
  </si>
  <si>
    <t>executive_00002, executive_00008, executive_00027, executive_00031, executive_00030, executive_00026, executive_00043</t>
  </si>
  <si>
    <t>Kanishk Bhardwaj, Gautam Kumar, Rohan Saxena, Bisma Nadeem, Avantika Gupta, Sonal Kumar, Anirudh shankar</t>
  </si>
  <si>
    <t>store_000004</t>
  </si>
  <si>
    <t>Vs - Up(Gaur Chowk)</t>
  </si>
  <si>
    <t>Greater Noida</t>
  </si>
  <si>
    <t>A</t>
  </si>
  <si>
    <t>executive_00002, executive_00008, executive_00031, executive_00030, executive_00027, executive_00026, executive_00039, executive_00043</t>
  </si>
  <si>
    <t>Kanishk Bhardwaj, Gautam Kumar, Bisma Nadeem, Avantika Gupta, Rohan Saxena, Sonal Kumar, Sweety Suman, Anirudh shankar</t>
  </si>
  <si>
    <t>store_000005</t>
  </si>
  <si>
    <t>Vs - Up(Indirapuram) Br</t>
  </si>
  <si>
    <t>executive_00002, executive_00031, executive_00030, executive_00008, executive_00027, executive_00026, executive_00043</t>
  </si>
  <si>
    <t>Kanishk Bhardwaj, Bisma Nadeem, Avantika Gupta, Gautam Kumar, Rohan Saxena, Sonal Kumar, Anirudh shankar</t>
  </si>
  <si>
    <t>store_000006</t>
  </si>
  <si>
    <t>Croma-Agra-Srk Mall- A284</t>
  </si>
  <si>
    <t>Agra</t>
  </si>
  <si>
    <t>brand_002</t>
  </si>
  <si>
    <t>Samsung</t>
  </si>
  <si>
    <t>C</t>
  </si>
  <si>
    <t>p3</t>
  </si>
  <si>
    <t>executive_00002, executive_00031, executive_00030, executive_00008, executive_00027</t>
  </si>
  <si>
    <t>Kanishk Bhardwaj, Bisma Nadeem, Avantika Gupta, Gautam Kumar, Rohan Saxena</t>
  </si>
  <si>
    <t>store_000007</t>
  </si>
  <si>
    <t>Croma-Bulandshahr-Raja Babu Road- A361</t>
  </si>
  <si>
    <t>Bulandshahr</t>
  </si>
  <si>
    <t>store_000008</t>
  </si>
  <si>
    <t>Croma-Agra-Fatehabad Road- A700</t>
  </si>
  <si>
    <t>store_000009</t>
  </si>
  <si>
    <t>Croma-Agra-Church Road- A612</t>
  </si>
  <si>
    <t>store_000010</t>
  </si>
  <si>
    <t>Croma -Ghazibad- Gaur Central Rdc Mall- A122</t>
  </si>
  <si>
    <t>executive_00002, executive_00027, executive_00031, executive_00030, executive_00008, executive_00026, executive_00043</t>
  </si>
  <si>
    <t>Kanishk Bhardwaj, Rohan Saxena, Bisma Nadeem, Avantika Gupta, Gautam Kumar, Sonal Kumar, Anirudh shankar</t>
  </si>
  <si>
    <t>store_000011</t>
  </si>
  <si>
    <t>Croma -Noida-Golden I- A544</t>
  </si>
  <si>
    <t>store_000012</t>
  </si>
  <si>
    <t>Croma -Noida-Gaur Mall- A189</t>
  </si>
  <si>
    <t>store_000013</t>
  </si>
  <si>
    <t>Croma -Ghazibad-Aditya Mall- A024</t>
  </si>
  <si>
    <t>store_000014</t>
  </si>
  <si>
    <t>Croma-Ghaziabad-Raj Nagar Extension- A384</t>
  </si>
  <si>
    <t>store_000015</t>
  </si>
  <si>
    <t>Croma-Ghazibad-Pacific Mall- A022</t>
  </si>
  <si>
    <t>store_000016</t>
  </si>
  <si>
    <t>Croma -Noida-Mall Of India- A151</t>
  </si>
  <si>
    <t>executive_00002, executive_00031, executive_00030, executive_00008, executive_00027, executive_00026, executive_00039, executive_00043</t>
  </si>
  <si>
    <t>Kanishk Bhardwaj, Bisma Nadeem, Avantika Gupta, Gautam Kumar, Rohan Saxena, Sonal Kumar, Sweety Suman, Anirudh shankar</t>
  </si>
  <si>
    <t>store_000017</t>
  </si>
  <si>
    <t>Croma -Noida-Logix Mall- A135</t>
  </si>
  <si>
    <t>store_000018</t>
  </si>
  <si>
    <t>Croma-Noida-Ithum’S Galleria- A497</t>
  </si>
  <si>
    <t>store_000019</t>
  </si>
  <si>
    <t>Croma-Greater Noida-Ansal Plaza Mall- A023</t>
  </si>
  <si>
    <t>store_000020</t>
  </si>
  <si>
    <t>Croma-Noida-Sector 122- A555</t>
  </si>
  <si>
    <t>store_000021</t>
  </si>
  <si>
    <t>Croma-Noida-Expo Plaza- A718</t>
  </si>
  <si>
    <t>store_000022</t>
  </si>
  <si>
    <t>Air Pavilion</t>
  </si>
  <si>
    <t>brand_010</t>
  </si>
  <si>
    <t>Havells</t>
  </si>
  <si>
    <t>MBO</t>
  </si>
  <si>
    <t>executive_00008, executive_00031, executive_00030, executive_00002, executive_00027, executive_00026, executive_00043</t>
  </si>
  <si>
    <t>Gautam Kumar, Bisma Nadeem, Avantika Gupta, Kanishk Bhardwaj, Rohan Saxena, Sonal Kumar, Anirudh shankar</t>
  </si>
  <si>
    <t>store_000024</t>
  </si>
  <si>
    <t>Shyam Electricals</t>
  </si>
  <si>
    <t>store_000026</t>
  </si>
  <si>
    <t>Bhasin Brothers</t>
  </si>
  <si>
    <t>Meerut</t>
  </si>
  <si>
    <t>store_000027</t>
  </si>
  <si>
    <t>METRO ELECTRICALS</t>
  </si>
  <si>
    <t>store_000030</t>
  </si>
  <si>
    <t>S S Enterprises</t>
  </si>
  <si>
    <t>brand_010, brand_004</t>
  </si>
  <si>
    <t>Havells, Haier</t>
  </si>
  <si>
    <t>store_000033</t>
  </si>
  <si>
    <t>AARCO ELECTROLINKS</t>
  </si>
  <si>
    <t>Amritsar</t>
  </si>
  <si>
    <t>store_000035</t>
  </si>
  <si>
    <t>Smart Elctronics</t>
  </si>
  <si>
    <t>B</t>
  </si>
  <si>
    <t>store_000047</t>
  </si>
  <si>
    <t>M/S Laxmi Electronics</t>
  </si>
  <si>
    <t>store_000053</t>
  </si>
  <si>
    <t>Arjun And Sons</t>
  </si>
  <si>
    <t>Punjab</t>
  </si>
  <si>
    <t>store_000054</t>
  </si>
  <si>
    <t>M S DISTRIBUTORS</t>
  </si>
  <si>
    <t>store_000055</t>
  </si>
  <si>
    <t>Kirti Electroworld</t>
  </si>
  <si>
    <t>store_000058</t>
  </si>
  <si>
    <t>ELECTRIC POINT</t>
  </si>
  <si>
    <t>store_000060</t>
  </si>
  <si>
    <t>R.D.ELECTRONICS</t>
  </si>
  <si>
    <t>store_000062</t>
  </si>
  <si>
    <t>Ram Electronics</t>
  </si>
  <si>
    <t>store_000063</t>
  </si>
  <si>
    <t>Airnet</t>
  </si>
  <si>
    <t>store_000066</t>
  </si>
  <si>
    <t>ARORA ELECTRONICS</t>
  </si>
  <si>
    <t>store_000078</t>
  </si>
  <si>
    <t>Anucool Aircon</t>
  </si>
  <si>
    <t>store_000080</t>
  </si>
  <si>
    <t>Vs - Panvel Br</t>
  </si>
  <si>
    <t>Thane</t>
  </si>
  <si>
    <t>Maharashtra</t>
  </si>
  <si>
    <t>executive_00004, executive_00025, executive_00037, executive_00040</t>
  </si>
  <si>
    <t>Soham Patil, Utkarsh Narnaware, Naman Kabra, Swetabh Srivastava</t>
  </si>
  <si>
    <t>store_000081</t>
  </si>
  <si>
    <t>Vs - Borivali Br</t>
  </si>
  <si>
    <t>Mumbai</t>
  </si>
  <si>
    <t>store_000082</t>
  </si>
  <si>
    <t>Vs - Pune(Bhosari) Br</t>
  </si>
  <si>
    <t>Pune</t>
  </si>
  <si>
    <t>executive_00018, executive_00005, executive_00011, executive_00045</t>
  </si>
  <si>
    <t>Rushikesh Sarode, Shrusti Gudmeti, Shubham Gaikwad, Jatin Hegde</t>
  </si>
  <si>
    <t>store_000083</t>
  </si>
  <si>
    <t>Vs - Pune(S Bapat Rd)</t>
  </si>
  <si>
    <t>store_000084</t>
  </si>
  <si>
    <t>Vs - Pune(Station Rd) Br</t>
  </si>
  <si>
    <t>store_000085</t>
  </si>
  <si>
    <t>Vs - Ghodbunder Br</t>
  </si>
  <si>
    <t>store_000086</t>
  </si>
  <si>
    <t>Vs - Haryana(Mewla M.) Br</t>
  </si>
  <si>
    <t>Faridabad</t>
  </si>
  <si>
    <t>Haryana</t>
  </si>
  <si>
    <t>executive_00006, executive_00031, executive_00030, executive_00008, executive_00027, executive_00007, executive_00026, executive_00046</t>
  </si>
  <si>
    <t>Neeraj Kandwal, Bisma Nadeem, Avantika Gupta, Gautam Kumar, Rohan Saxena, Ayush Joshi, Sonal Kumar, Abhishek Kumar Singh</t>
  </si>
  <si>
    <t>store_000087</t>
  </si>
  <si>
    <t>Vs - Haryana(Faridabad) Br</t>
  </si>
  <si>
    <t>store_000088</t>
  </si>
  <si>
    <t>Vs - Pune(Nagar Road) Br</t>
  </si>
  <si>
    <t>store_000089</t>
  </si>
  <si>
    <t>Vs - Pune(Hadapsar)</t>
  </si>
  <si>
    <t>store_000090</t>
  </si>
  <si>
    <t>Vs - Delhi(Rajouri Garden) Br</t>
  </si>
  <si>
    <t>Delhi</t>
  </si>
  <si>
    <t>executive_00007, executive_00031, executive_00030, executive_00008, executive_00027, executive_00026, executive_00035, executive_00038, executive_00039, executive_00041</t>
  </si>
  <si>
    <t>Ayush Joshi, Bisma Nadeem, Avantika Gupta, Gautam Kumar, Rohan Saxena, Sonal Kumar, Nishant Gaurav, Anurag Yadav, Sweety Suman, Kumari Nishav Mishra</t>
  </si>
  <si>
    <t>store_000091</t>
  </si>
  <si>
    <t>Vs - Pune(Kothrud) Br</t>
  </si>
  <si>
    <t>store_000092</t>
  </si>
  <si>
    <t>Vs - Bhiwandi Br</t>
  </si>
  <si>
    <t>store_000093</t>
  </si>
  <si>
    <t>Vs - Pune(Chinchwad) Br</t>
  </si>
  <si>
    <t>store_000094</t>
  </si>
  <si>
    <t>Vs - Ts(Boduppal)</t>
  </si>
  <si>
    <t>Hyderabad</t>
  </si>
  <si>
    <t>Telangana</t>
  </si>
  <si>
    <t>executive_00005, executive_00023</t>
  </si>
  <si>
    <t>Shrusti Gudmeti, Amin Ul Raheman</t>
  </si>
  <si>
    <t>store_000095</t>
  </si>
  <si>
    <t>Vs - Delhi(Daryaganj)</t>
  </si>
  <si>
    <t>store_000096</t>
  </si>
  <si>
    <t>Vs - Ts(Karmanghat)</t>
  </si>
  <si>
    <t>store_000097</t>
  </si>
  <si>
    <t>Vs - Prabhadevi Br</t>
  </si>
  <si>
    <t>store_000098</t>
  </si>
  <si>
    <t>Vs - Delhi(Vikas Marg) Br</t>
  </si>
  <si>
    <t>store_000099</t>
  </si>
  <si>
    <t>Vs - Malad</t>
  </si>
  <si>
    <t>store_000100</t>
  </si>
  <si>
    <t>Vs - Vashi Br</t>
  </si>
  <si>
    <t>store_000101</t>
  </si>
  <si>
    <t>Vs - Opera House Br</t>
  </si>
  <si>
    <t>store_000102</t>
  </si>
  <si>
    <t>Vs - Mira Road Br</t>
  </si>
  <si>
    <t>store_000103</t>
  </si>
  <si>
    <t>Vs - Virar Br</t>
  </si>
  <si>
    <t>store_000104</t>
  </si>
  <si>
    <t>Vs - Delhi(Janakpuri) Br</t>
  </si>
  <si>
    <t>store_000105</t>
  </si>
  <si>
    <t>VS - Haryana(New Faridabad)</t>
  </si>
  <si>
    <t>store_000106</t>
  </si>
  <si>
    <t>Vs - Mahim(Vs Next)</t>
  </si>
  <si>
    <t>store_000107</t>
  </si>
  <si>
    <t>Vs - Ahmedabad(Maninagar) Br</t>
  </si>
  <si>
    <t>Ahmedabad</t>
  </si>
  <si>
    <t>Gujarat</t>
  </si>
  <si>
    <t>executive_00017, executive_00004, executive_00014, executive_00033, executive_00044</t>
  </si>
  <si>
    <t>Akshat Shah, Soham Patil, Vinod Khatik, Priyanshu Prasad, Priyanshu Prafulbhai Gohel</t>
  </si>
  <si>
    <t>store_000108</t>
  </si>
  <si>
    <t>VS - Delhi(Krishna Nagar)</t>
  </si>
  <si>
    <t>D</t>
  </si>
  <si>
    <t>executive_00031, executive_00030, executive_00008, executive_00007, executive_00027, executive_00026, executive_00035, executive_00038, executive_00039, executive_00041</t>
  </si>
  <si>
    <t>Bisma Nadeem, Avantika Gupta, Gautam Kumar, Ayush Joshi, Rohan Saxena, Sonal Kumar, Nishant Gaurav, Anurag Yadav, Sweety Suman, Kumari Nishav Mishra</t>
  </si>
  <si>
    <t>store_000109</t>
  </si>
  <si>
    <t>Vs - Dombivli Br</t>
  </si>
  <si>
    <t>store_000110</t>
  </si>
  <si>
    <t>Vs - Pune(Kondhawa)</t>
  </si>
  <si>
    <t>store_000111</t>
  </si>
  <si>
    <t>Vs - Pune(Baner) Br</t>
  </si>
  <si>
    <t>store_000112</t>
  </si>
  <si>
    <t>Vs - Delhi(Karol Bagh) Br</t>
  </si>
  <si>
    <t>executive_00008, executive_00031, executive_00030, executive_00007, executive_00027, executive_00026, executive_00035, executive_00038, executive_00039, executive_00041</t>
  </si>
  <si>
    <t>Gautam Kumar, Bisma Nadeem, Avantika Gupta, Ayush Joshi, Rohan Saxena, Sonal Kumar, Nishant Gaurav, Anurag Yadav, Sweety Suman, Kumari Nishav Mishra</t>
  </si>
  <si>
    <t>store_000113</t>
  </si>
  <si>
    <t>VS -Delhi(Hauz Khas)</t>
  </si>
  <si>
    <t>executive_00008, executive_00027, executive_00031, executive_00030, executive_00007, executive_00026, executive_00035, executive_00038, executive_00039, executive_00041</t>
  </si>
  <si>
    <t>Gautam Kumar, Rohan Saxena, Bisma Nadeem, Avantika Gupta, Ayush Joshi, Sonal Kumar, Nishant Gaurav, Anurag Yadav, Sweety Suman, Kumari Nishav Mishra</t>
  </si>
  <si>
    <t>store_000114</t>
  </si>
  <si>
    <t>Vs - Pune(Rahatni) Br</t>
  </si>
  <si>
    <t>store_000115</t>
  </si>
  <si>
    <t>Vs - Surat(Vip Road-Vesu)</t>
  </si>
  <si>
    <t>Surat</t>
  </si>
  <si>
    <t>executive_00004, executive_00014</t>
  </si>
  <si>
    <t>Soham Patil, Vinod Khatik</t>
  </si>
  <si>
    <t>store_000116</t>
  </si>
  <si>
    <t>VS -Ts(Jubilee Hills)</t>
  </si>
  <si>
    <t>store_000117</t>
  </si>
  <si>
    <t>Vs - Pune(Satara Rd) Br</t>
  </si>
  <si>
    <t>store_000118</t>
  </si>
  <si>
    <t>Vs - Delhi(Model Town Iii) Br</t>
  </si>
  <si>
    <t>store_000120</t>
  </si>
  <si>
    <t>Vs - Delhi(Shahdara) Br</t>
  </si>
  <si>
    <t>store_000121</t>
  </si>
  <si>
    <t>VS -Delhi(Mahavir Enclave)</t>
  </si>
  <si>
    <t>store_000122</t>
  </si>
  <si>
    <t>VS -Ts(Vivekananda Nagar)</t>
  </si>
  <si>
    <t>store_000123</t>
  </si>
  <si>
    <t>Vs - Haryana(Jacobpura) Br</t>
  </si>
  <si>
    <t>Gurugram</t>
  </si>
  <si>
    <t>executive_00008, executive_00031, executive_00030, executive_00006, executive_00027, executive_00007, executive_00026, executive_00043, executive_00046</t>
  </si>
  <si>
    <t>Gautam Kumar, Bisma Nadeem, Avantika Gupta, Neeraj Kandwal, Rohan Saxena, Ayush Joshi, Sonal Kumar, Anirudh shankar, Abhishek Kumar Singh</t>
  </si>
  <si>
    <t>store_000124</t>
  </si>
  <si>
    <t>Vs - Belapur Br</t>
  </si>
  <si>
    <t>store_000125</t>
  </si>
  <si>
    <t>Vs - Delhi(Paschim Vihar)</t>
  </si>
  <si>
    <t>store_000126</t>
  </si>
  <si>
    <t>VS -Surat(Varachha) Br</t>
  </si>
  <si>
    <t>store_000127</t>
  </si>
  <si>
    <t>Vs - Chembur Br</t>
  </si>
  <si>
    <t>store_000128</t>
  </si>
  <si>
    <t>VS -Haryana(Palam Vihar Rd)</t>
  </si>
  <si>
    <t>store_000129</t>
  </si>
  <si>
    <t>Vs - Badlapur</t>
  </si>
  <si>
    <t>store_000130</t>
  </si>
  <si>
    <t>Vs - Delhi(Lajpatnagar) Br</t>
  </si>
  <si>
    <t>executive_00031, executive_00030, executive_00007, executive_00008, executive_00027, executive_00026, executive_00035, executive_00038, executive_00039, executive_00041</t>
  </si>
  <si>
    <t>Bisma Nadeem, Avantika Gupta, Ayush Joshi, Gautam Kumar, Rohan Saxena, Sonal Kumar, Nishant Gaurav, Anurag Yadav, Sweety Suman, Kumari Nishav Mishra</t>
  </si>
  <si>
    <t>store_000131</t>
  </si>
  <si>
    <t>Vs - Delhi(Durgapuri)</t>
  </si>
  <si>
    <t>store_000132</t>
  </si>
  <si>
    <t>Vs - Ts(Tolichowki- Aditya Ngr)</t>
  </si>
  <si>
    <t>store_000133</t>
  </si>
  <si>
    <t>Vs - Vasai Br</t>
  </si>
  <si>
    <t>store_000134</t>
  </si>
  <si>
    <t>VS -Surat(Mota Varachha)</t>
  </si>
  <si>
    <t>store_000135</t>
  </si>
  <si>
    <t>VS -Palghar</t>
  </si>
  <si>
    <t>store_000136</t>
  </si>
  <si>
    <t>Vs - Ahmedabad(Dev Arc) Br</t>
  </si>
  <si>
    <t>store_000137</t>
  </si>
  <si>
    <t>Vs - Ts(Attapur)</t>
  </si>
  <si>
    <t>store_000138</t>
  </si>
  <si>
    <t>Vs - Linking Road Br</t>
  </si>
  <si>
    <t>store_000139</t>
  </si>
  <si>
    <t>Vs - Andheri Br</t>
  </si>
  <si>
    <t>store_000140</t>
  </si>
  <si>
    <t>Vs - Delhi(Dwarka) Br</t>
  </si>
  <si>
    <t>store_000141</t>
  </si>
  <si>
    <t>VS -Ts(Hastinapur)</t>
  </si>
  <si>
    <t>store_000142</t>
  </si>
  <si>
    <t>Vs - Thane Br</t>
  </si>
  <si>
    <t>store_000143</t>
  </si>
  <si>
    <t>VS -Ts(Kompally)</t>
  </si>
  <si>
    <t>store_000144</t>
  </si>
  <si>
    <t>Vs - Ts(Shah Ali Banda)</t>
  </si>
  <si>
    <t>store_000145</t>
  </si>
  <si>
    <t>VS -Ts(Kompally- Golden Plaza)</t>
  </si>
  <si>
    <t>store_000146</t>
  </si>
  <si>
    <t>Vs - Haryana(Gurgaon) Br</t>
  </si>
  <si>
    <t>executive_00031, executive_00030, executive_00006, executive_00008, executive_00027, executive_00007, executive_00026, executive_00043, executive_00046</t>
  </si>
  <si>
    <t>Bisma Nadeem, Avantika Gupta, Neeraj Kandwal, Gautam Kumar, Rohan Saxena, Ayush Joshi, Sonal Kumar, Anirudh shankar, Abhishek Kumar Singh</t>
  </si>
  <si>
    <t>store_000147</t>
  </si>
  <si>
    <t>VS -Delhi(Burari)</t>
  </si>
  <si>
    <t>store_000148</t>
  </si>
  <si>
    <t>VS -Surat(Parvat Patiya)</t>
  </si>
  <si>
    <t>store_000149</t>
  </si>
  <si>
    <t>Vs - Pune(Dhankawadi-Satara Rd)</t>
  </si>
  <si>
    <t>store_000150</t>
  </si>
  <si>
    <t>Vs - Chakala Andheri Br</t>
  </si>
  <si>
    <t>store_000151</t>
  </si>
  <si>
    <t>Vs - Delhi(Patel Nagar) Br</t>
  </si>
  <si>
    <t>store_000152</t>
  </si>
  <si>
    <t>Vs - Ahmedabad(Ashram Rd) Br</t>
  </si>
  <si>
    <t>store_000153</t>
  </si>
  <si>
    <t>Vs - Bhandup Br</t>
  </si>
  <si>
    <t>store_000154</t>
  </si>
  <si>
    <t>Vs - Sion Br</t>
  </si>
  <si>
    <t>store_000155</t>
  </si>
  <si>
    <t>Vs - Surat Br</t>
  </si>
  <si>
    <t>store_000156</t>
  </si>
  <si>
    <t>VS -Surat(Ved Road)</t>
  </si>
  <si>
    <t>store_000157</t>
  </si>
  <si>
    <t>Vs - Ghatkopar(Lbs Marg) Br</t>
  </si>
  <si>
    <t>store_000158</t>
  </si>
  <si>
    <t>Vs - Goregaon (W) Br</t>
  </si>
  <si>
    <t>store_000159</t>
  </si>
  <si>
    <t>Vs - Surat(Rander Rd) Br</t>
  </si>
  <si>
    <t>store_000160</t>
  </si>
  <si>
    <t>Vs - Pune(Hinjewadi) Br</t>
  </si>
  <si>
    <t>store_000161</t>
  </si>
  <si>
    <t>Vs - Ahmedabad(Chandkheda Rd) Br</t>
  </si>
  <si>
    <t>store_000162</t>
  </si>
  <si>
    <t>Vs - Delhi(Nawada)</t>
  </si>
  <si>
    <t>store_000163</t>
  </si>
  <si>
    <t>Vs - Kalyan Br</t>
  </si>
  <si>
    <t>store_000164</t>
  </si>
  <si>
    <t>Vs - Ts(Nacharam)</t>
  </si>
  <si>
    <t>store_000165</t>
  </si>
  <si>
    <t>Vs - Infiniti Br</t>
  </si>
  <si>
    <t>store_000166</t>
  </si>
  <si>
    <t>Vs - Ts(Kothapet)</t>
  </si>
  <si>
    <t>store_000167</t>
  </si>
  <si>
    <t>Vs - Delhi(Uttam Nagar) Br</t>
  </si>
  <si>
    <t>store_000168</t>
  </si>
  <si>
    <t>Vs - Delhi(Pitampura) Br</t>
  </si>
  <si>
    <t>store_000169</t>
  </si>
  <si>
    <t>VS -Surat(Bhatar)</t>
  </si>
  <si>
    <t>store_000170</t>
  </si>
  <si>
    <t>Vs - Delhi(Nangloi)</t>
  </si>
  <si>
    <t>executive_00027, executive_00031, executive_00030, executive_00008, executive_00007, executive_00026, executive_00035, executive_00038, executive_00039, executive_00041</t>
  </si>
  <si>
    <t>Rohan Saxena, Bisma Nadeem, Avantika Gupta, Gautam Kumar, Ayush Joshi, Sonal Kumar, Nishant Gaurav, Anurag Yadav, Sweety Suman, Kumari Nishav Mishra</t>
  </si>
  <si>
    <t>store_000171</t>
  </si>
  <si>
    <t>Vs - Delhi(Rohini) Br</t>
  </si>
  <si>
    <t>executive_00031, executive_00030, executive_00008, executive_00007, executive_00027, executive_00026, executive_00035, executive_00038, executive_00006, executive_00039, executive_00041</t>
  </si>
  <si>
    <t>Bisma Nadeem, Avantika Gupta, Gautam Kumar, Ayush Joshi, Rohan Saxena, Sonal Kumar, Nishant Gaurav, Anurag Yadav, Neeraj Kandwal, Sweety Suman, Kumari Nishav Mishra</t>
  </si>
  <si>
    <t>store_000172</t>
  </si>
  <si>
    <t>VS -Ts(Bhel)</t>
  </si>
  <si>
    <t>store_000173</t>
  </si>
  <si>
    <t>VS -Ahmedabad(Vishala) Br</t>
  </si>
  <si>
    <t>store_000174</t>
  </si>
  <si>
    <t>Vs - Ts(Nagole)</t>
  </si>
  <si>
    <t>store_000175</t>
  </si>
  <si>
    <t>VS -Delhi(Narela)</t>
  </si>
  <si>
    <t>store_000176</t>
  </si>
  <si>
    <t>Vs - Pune(Solapur Rd) Br</t>
  </si>
  <si>
    <t>store_000177</t>
  </si>
  <si>
    <t>Vs - Santacruz Br</t>
  </si>
  <si>
    <t>store_000178</t>
  </si>
  <si>
    <t>VS -Haryana(Sec-65 Ext Gurugram)</t>
  </si>
  <si>
    <t>store_000179</t>
  </si>
  <si>
    <t>Vs - Ahmedabad(Shahi Baug) Br</t>
  </si>
  <si>
    <t>store_000180</t>
  </si>
  <si>
    <t>VS -Delhi(Roop Nagar)</t>
  </si>
  <si>
    <t>store_000181</t>
  </si>
  <si>
    <t>Vs - Ts(Kondapur)</t>
  </si>
  <si>
    <t>store_000182</t>
  </si>
  <si>
    <t>VS -Delhi(Najafgarh)</t>
  </si>
  <si>
    <t>store_000183</t>
  </si>
  <si>
    <t>Vs - Kalyan(Khadakpada)</t>
  </si>
  <si>
    <t>store_000184</t>
  </si>
  <si>
    <t>VS -Ahmedabad(Bopal)</t>
  </si>
  <si>
    <t>store_000185</t>
  </si>
  <si>
    <t>Vs - Mumbra(Kausa)</t>
  </si>
  <si>
    <t>store_000186</t>
  </si>
  <si>
    <t>Vs - Ts(Chintalkunta)</t>
  </si>
  <si>
    <t>store_000187</t>
  </si>
  <si>
    <t>Vs - Kharghar(Patel Heritage)</t>
  </si>
  <si>
    <t>store_000188</t>
  </si>
  <si>
    <t>VS -Ghatkopar Br</t>
  </si>
  <si>
    <t>store_000189</t>
  </si>
  <si>
    <t>Vs - Ahmedabad(Krishna Nagar) Br</t>
  </si>
  <si>
    <t>store_000190</t>
  </si>
  <si>
    <t>Vs - Delhi(Kalkaji) Br</t>
  </si>
  <si>
    <t>store_000191</t>
  </si>
  <si>
    <t>Vs - Ts(Dr. A.S.Rao Nagar)</t>
  </si>
  <si>
    <t>store_000192</t>
  </si>
  <si>
    <t>Vs - Pune(Tilak Rd)Br</t>
  </si>
  <si>
    <t>store_000193</t>
  </si>
  <si>
    <t>VS -Delhi(Defence Enclave-Palam) Br</t>
  </si>
  <si>
    <t>store_000194</t>
  </si>
  <si>
    <t>VS -Ts(Nagaram)</t>
  </si>
  <si>
    <t>store_000195</t>
  </si>
  <si>
    <t>VS -Ahmedabad(Odhav) Br</t>
  </si>
  <si>
    <t>store_000196</t>
  </si>
  <si>
    <t>VS -Ts(Nallakunta)</t>
  </si>
  <si>
    <t>store_000197</t>
  </si>
  <si>
    <t>VS -Ts(Mehdipatnam)</t>
  </si>
  <si>
    <t>store_000198</t>
  </si>
  <si>
    <t>VS -Ts(Madinaguda)</t>
  </si>
  <si>
    <t>store_000199</t>
  </si>
  <si>
    <t>VS -Ts(Paradise Circle)</t>
  </si>
  <si>
    <t>store_000200</t>
  </si>
  <si>
    <t>VS -Haryana(M G Road) Br</t>
  </si>
  <si>
    <t>store_000201</t>
  </si>
  <si>
    <t>VS -Ahmedabad(R3Mall) Br</t>
  </si>
  <si>
    <t>store_000202</t>
  </si>
  <si>
    <t>VS -Ts(Mailardevpally)</t>
  </si>
  <si>
    <t>store_000203</t>
  </si>
  <si>
    <t>VS -Ts(Sun City)</t>
  </si>
  <si>
    <t>store_000204</t>
  </si>
  <si>
    <t>VS -Haryana(Dundahera)</t>
  </si>
  <si>
    <t>store_000205</t>
  </si>
  <si>
    <t>VS -Ulhasnagar Br</t>
  </si>
  <si>
    <t>store_000206</t>
  </si>
  <si>
    <t>VS -Ts(R C Puram)</t>
  </si>
  <si>
    <t>store_000207</t>
  </si>
  <si>
    <t>Vs - Ts(Punjagutta)</t>
  </si>
  <si>
    <t>store_000208</t>
  </si>
  <si>
    <t>VS -Ahmedabad(Rakhial) Br</t>
  </si>
  <si>
    <t>store_000209</t>
  </si>
  <si>
    <t>VS -Ts(Chandrayangutta)</t>
  </si>
  <si>
    <t>store_000210</t>
  </si>
  <si>
    <t>Vs - Nallasopara Br</t>
  </si>
  <si>
    <t>store_000211</t>
  </si>
  <si>
    <t>Vs - Vadodara(Kareli Baug)</t>
  </si>
  <si>
    <t>Vadodara</t>
  </si>
  <si>
    <t>store_000212</t>
  </si>
  <si>
    <t>VS -Delhi(Budh Vihar)</t>
  </si>
  <si>
    <t>store_000213</t>
  </si>
  <si>
    <t>Vs - Delhi(Saket) Br</t>
  </si>
  <si>
    <t>executive_00027, executive_00031, executive_00030, executive_00007, executive_00008, executive_00026, executive_00035, executive_00038, executive_00039, executive_00041</t>
  </si>
  <si>
    <t>Rohan Saxena, Bisma Nadeem, Avantika Gupta, Ayush Joshi, Gautam Kumar, Sonal Kumar, Nishant Gaurav, Anurag Yadav, Sweety Suman, Kumari Nishav Mishra</t>
  </si>
  <si>
    <t>store_000214</t>
  </si>
  <si>
    <t>VS -Gandhinagar(Sargasan)</t>
  </si>
  <si>
    <t>store_000215</t>
  </si>
  <si>
    <t>Vs - Ts(Malakpet)</t>
  </si>
  <si>
    <t>store_000216</t>
  </si>
  <si>
    <t>VS -Ts(Hayathnagar)</t>
  </si>
  <si>
    <t>store_000217</t>
  </si>
  <si>
    <t>Vs - Vadodara(Alkapuri) Br</t>
  </si>
  <si>
    <t>store_000218</t>
  </si>
  <si>
    <t>VS -Ap(Tirupathi-M.R.Pally)</t>
  </si>
  <si>
    <t>Tirupati</t>
  </si>
  <si>
    <t>Andhra Pradesh</t>
  </si>
  <si>
    <t>store_000219</t>
  </si>
  <si>
    <t>VS -Ap(Vizag)</t>
  </si>
  <si>
    <t>Vijayawada</t>
  </si>
  <si>
    <t>store_000220</t>
  </si>
  <si>
    <t>VS -Vadodara(Manjalpur) Br</t>
  </si>
  <si>
    <t>store_000221</t>
  </si>
  <si>
    <t>VS -Ap(Rajahmundry-Jln Road)</t>
  </si>
  <si>
    <t>Rajahmundry</t>
  </si>
  <si>
    <t>store_000222</t>
  </si>
  <si>
    <t>VS -Ap(Ntr Circle)</t>
  </si>
  <si>
    <t>store_000223</t>
  </si>
  <si>
    <t>VS -Ap(Vijayawada)</t>
  </si>
  <si>
    <t>store_000224</t>
  </si>
  <si>
    <t>VS -Kharghar Br</t>
  </si>
  <si>
    <t>store_000225</t>
  </si>
  <si>
    <t>VS -Boisar Br</t>
  </si>
  <si>
    <t>store_000226</t>
  </si>
  <si>
    <t>VS -Ts(Warangal)</t>
  </si>
  <si>
    <t>Warangal</t>
  </si>
  <si>
    <t>store_000227</t>
  </si>
  <si>
    <t>VS -Ts(Wrg-Pochamma Maidan)</t>
  </si>
  <si>
    <t>store_000228</t>
  </si>
  <si>
    <t>VS -Ap(Kakinada)</t>
  </si>
  <si>
    <t>Kakinada</t>
  </si>
  <si>
    <t>store_000229</t>
  </si>
  <si>
    <t>VS -Ap(Tirupathi-Leela Mahal Circle)</t>
  </si>
  <si>
    <t>store_000230</t>
  </si>
  <si>
    <t>VS -Ap(Rajamundry)</t>
  </si>
  <si>
    <t>store_000231</t>
  </si>
  <si>
    <t>VS -Vadodara(Kothi Road)</t>
  </si>
  <si>
    <t>store_000232</t>
  </si>
  <si>
    <t>Croma-Patna-Patliputra Golambar- A586</t>
  </si>
  <si>
    <t>Patna</t>
  </si>
  <si>
    <t>Bihar</t>
  </si>
  <si>
    <t>executive_00008, executive_00026</t>
  </si>
  <si>
    <t>Gautam Kumar, Sonal Kumar</t>
  </si>
  <si>
    <t>store_000233</t>
  </si>
  <si>
    <t>Croma-Patna-Frazer Road- A587</t>
  </si>
  <si>
    <t>store_000234</t>
  </si>
  <si>
    <t>Croma-Dhanbad-Prabhatam Grand Mall- A245</t>
  </si>
  <si>
    <t>Dhanbad</t>
  </si>
  <si>
    <t>Jharkhand</t>
  </si>
  <si>
    <t>executive_00008</t>
  </si>
  <si>
    <t>Gautam Kumar</t>
  </si>
  <si>
    <t>store_000235</t>
  </si>
  <si>
    <t>Croma -Jamshedpur-Bistupur- A380</t>
  </si>
  <si>
    <t>Jamshedpur</t>
  </si>
  <si>
    <t>store_000236</t>
  </si>
  <si>
    <t>Croma-Ara-Katira Station Road- A485</t>
  </si>
  <si>
    <t>Ara</t>
  </si>
  <si>
    <t>store_000237</t>
  </si>
  <si>
    <t>Croma-Darbhanga-Rajkumarganj Road- A662</t>
  </si>
  <si>
    <t>Darbhanga</t>
  </si>
  <si>
    <t>store_000238</t>
  </si>
  <si>
    <t>Croma-Muzaffarpur-Icon Plaza Mall- A632</t>
  </si>
  <si>
    <t>Muzaffarpur</t>
  </si>
  <si>
    <t>store_000239</t>
  </si>
  <si>
    <t>Croma-Gaya-Jail Road- A678</t>
  </si>
  <si>
    <t>Gaya</t>
  </si>
  <si>
    <t>store_000240</t>
  </si>
  <si>
    <t>Croma-Aurangabad-Old Gt Road- A639</t>
  </si>
  <si>
    <t>Aurangabad</t>
  </si>
  <si>
    <t>store_000241</t>
  </si>
  <si>
    <t>Croma-Patna-Khagaul Road- A710</t>
  </si>
  <si>
    <t>store_000242</t>
  </si>
  <si>
    <t>Croma -Kolkata-Rajarhat- A197</t>
  </si>
  <si>
    <t>Kolkata</t>
  </si>
  <si>
    <t>West Bengal</t>
  </si>
  <si>
    <t>executive_00013, executive_00009, executive_00016, executive_00032, executive_00042</t>
  </si>
  <si>
    <t>Suvam Chatterjee, Nehal Kedia, Sanjay Sonkar, Ankan Das, Megha Mondal</t>
  </si>
  <si>
    <t>store_000243</t>
  </si>
  <si>
    <t>Croma - Kolkata-Dum Dum- A378</t>
  </si>
  <si>
    <t>store_000244</t>
  </si>
  <si>
    <t>Croma -Howrah-Avani Mall- A370</t>
  </si>
  <si>
    <t>store_000245</t>
  </si>
  <si>
    <t>Croma-Kolkata-Barasat- A226</t>
  </si>
  <si>
    <t>store_000246</t>
  </si>
  <si>
    <t>Croma - Kolkata-Park Street- A318</t>
  </si>
  <si>
    <t>store_000247</t>
  </si>
  <si>
    <t>Croma - Kolkata-Green Chinar- A220</t>
  </si>
  <si>
    <t>store_000248</t>
  </si>
  <si>
    <t>Croma - Kolkata-Salt Lake Sector 1- A633</t>
  </si>
  <si>
    <t>store_000249</t>
  </si>
  <si>
    <t>Croma -Chandigarh-Sector 22B- A080</t>
  </si>
  <si>
    <t>Chandigarh</t>
  </si>
  <si>
    <t>executive_00031, executive_00030, executive_00010, executive_00006, executive_00027</t>
  </si>
  <si>
    <t>Bisma Nadeem, Avantika Gupta, Sehaj Kaushal, Neeraj Kandwal, Rohan Saxena</t>
  </si>
  <si>
    <t>store_000250</t>
  </si>
  <si>
    <t>Croma-Mohali-Tdi Connaught Plaza- A521</t>
  </si>
  <si>
    <t>store_000251</t>
  </si>
  <si>
    <t>Croma -Mohali-Cp 67- A455</t>
  </si>
  <si>
    <t>store_000252</t>
  </si>
  <si>
    <t>Croma-Mohali-Vr Mall- A162</t>
  </si>
  <si>
    <t>store_000253</t>
  </si>
  <si>
    <t>Croma-Chandigarh-Sector 35 B- A487</t>
  </si>
  <si>
    <t>store_000254</t>
  </si>
  <si>
    <t>Croma -Chandigarh-Elante Mall- A382</t>
  </si>
  <si>
    <t>store_000255</t>
  </si>
  <si>
    <t>Croma -Panchkula-Sector 11- A421</t>
  </si>
  <si>
    <t>Panchkula</t>
  </si>
  <si>
    <t>store_000256</t>
  </si>
  <si>
    <t>Croma-Chandigarh-Sector 07- A652</t>
  </si>
  <si>
    <t>store_000257</t>
  </si>
  <si>
    <t>Croma -Pune-Seasons Mall- A115</t>
  </si>
  <si>
    <t>executive_00011, executive_00018, executive_00045</t>
  </si>
  <si>
    <t>Shubham Gaikwad, Rushikesh Sarode, Jatin Hegde</t>
  </si>
  <si>
    <t>store_000258</t>
  </si>
  <si>
    <t>Croma -Pune-Baner- A156</t>
  </si>
  <si>
    <t>store_000259</t>
  </si>
  <si>
    <t>Croma -Pune-Pmc Mall- A129</t>
  </si>
  <si>
    <t>store_000260</t>
  </si>
  <si>
    <t>Croma -Pune-Pimpri- A038</t>
  </si>
  <si>
    <t>store_000261</t>
  </si>
  <si>
    <t>Croma -Pune-Katraj- A222</t>
  </si>
  <si>
    <t>store_000262</t>
  </si>
  <si>
    <t>Croma -Pune-Moshi- A576</t>
  </si>
  <si>
    <t>store_000263</t>
  </si>
  <si>
    <t>Croma -Pune-Wagholi- A303</t>
  </si>
  <si>
    <t>store_000264</t>
  </si>
  <si>
    <t>Croma-Pune-Bavdhan- A399</t>
  </si>
  <si>
    <t>store_000265</t>
  </si>
  <si>
    <t>Croma-Pune-93 Avenue- A442</t>
  </si>
  <si>
    <t>store_000266</t>
  </si>
  <si>
    <t>Croma -Pune-Dhanori Road- A585</t>
  </si>
  <si>
    <t>store_000267</t>
  </si>
  <si>
    <t>Croma -Pune-Datta Mandir Road- A377</t>
  </si>
  <si>
    <t>store_000268</t>
  </si>
  <si>
    <t>Croma -Pune-Wakad- A117</t>
  </si>
  <si>
    <t>store_000269</t>
  </si>
  <si>
    <t>Croma -Pune-Kothrud- A049</t>
  </si>
  <si>
    <t>store_000270</t>
  </si>
  <si>
    <t>Croma-Pune-Chinchawad- A194</t>
  </si>
  <si>
    <t>store_000271</t>
  </si>
  <si>
    <t>Croma -Pune-Westend Mall- A342</t>
  </si>
  <si>
    <t>store_000272</t>
  </si>
  <si>
    <t>Croma -Pune-Jva Mall- A203</t>
  </si>
  <si>
    <t>store_000273</t>
  </si>
  <si>
    <t>Croma -Pune-Phoenix Mall Of The Millennium- A551</t>
  </si>
  <si>
    <t>store_000274</t>
  </si>
  <si>
    <t>Croma -Pune-Hinjewadi- A264</t>
  </si>
  <si>
    <t>store_000275</t>
  </si>
  <si>
    <t>Croma-Pune-Aero Mall- A415</t>
  </si>
  <si>
    <t>store_000276</t>
  </si>
  <si>
    <t>Croma-Pune-Kondhwa- A435</t>
  </si>
  <si>
    <t>store_000277</t>
  </si>
  <si>
    <t>Croma-Pune-Chakan- A331</t>
  </si>
  <si>
    <t>store_000278</t>
  </si>
  <si>
    <t>Croma-Pune-Dighi- A711</t>
  </si>
  <si>
    <t>store_000279</t>
  </si>
  <si>
    <t>Croma -Pune-Sinhgad Road- A241</t>
  </si>
  <si>
    <t>store_000280</t>
  </si>
  <si>
    <t>Croma -Lucknow-Vibhuti Khand- A259</t>
  </si>
  <si>
    <t>Lucknow</t>
  </si>
  <si>
    <t>executive_00012, executive_00015</t>
  </si>
  <si>
    <t>Subhanshu Singh, Avneesh Mishra</t>
  </si>
  <si>
    <t>store_000281</t>
  </si>
  <si>
    <t>Croma -Lucknow-Alambagh- A239</t>
  </si>
  <si>
    <t>store_000282</t>
  </si>
  <si>
    <t>Croma -Lucknow-Aliganj- A214</t>
  </si>
  <si>
    <t>store_000283</t>
  </si>
  <si>
    <t>Croma-Lucknow-Ratan Khand- A360</t>
  </si>
  <si>
    <t>store_000284</t>
  </si>
  <si>
    <t>Croma-Lucknow-Palassio Mall- A388</t>
  </si>
  <si>
    <t>store_000285</t>
  </si>
  <si>
    <t>Croma-Kanpur-Moti Jheel- A552</t>
  </si>
  <si>
    <t>Kanpur</t>
  </si>
  <si>
    <t>store_000286</t>
  </si>
  <si>
    <t>Croma-Lucknow-Vrindavan Yojna- A564</t>
  </si>
  <si>
    <t>store_000287</t>
  </si>
  <si>
    <t>Croma-Lucknow-Faizabad Road- A371</t>
  </si>
  <si>
    <t>store_000288</t>
  </si>
  <si>
    <t>Croma-Lucknow-Indra Nagar- A468</t>
  </si>
  <si>
    <t>store_000289</t>
  </si>
  <si>
    <t>Croma-Kanpur-Awas Vikas- A359</t>
  </si>
  <si>
    <t>store_000290</t>
  </si>
  <si>
    <t>Croma-Kanpur-Mall Road- A365</t>
  </si>
  <si>
    <t>store_000291</t>
  </si>
  <si>
    <t>Croma-Lucknow-Aliganj Ring Road- A526</t>
  </si>
  <si>
    <t>store_000292</t>
  </si>
  <si>
    <t>Croma - Kolkata-Acropolis Mall- A385</t>
  </si>
  <si>
    <t>store_000293</t>
  </si>
  <si>
    <t>Croma - Kolkata-Nsc Bose Road- A467</t>
  </si>
  <si>
    <t>store_000294</t>
  </si>
  <si>
    <t>Croma-Kolkata-Em Bypass- A669</t>
  </si>
  <si>
    <t>store_000295</t>
  </si>
  <si>
    <t>Croma -Kolkata-Kalikapur- A238</t>
  </si>
  <si>
    <t>store_000296</t>
  </si>
  <si>
    <t>Croma - Kolkata-Sarat Bose Road- A180</t>
  </si>
  <si>
    <t>store_000297</t>
  </si>
  <si>
    <t>Croma-Kolkata-Narendrapur- A427</t>
  </si>
  <si>
    <t>store_000298</t>
  </si>
  <si>
    <t>Croma-Ahmedabad-Nikol- A230</t>
  </si>
  <si>
    <t>store_000299</t>
  </si>
  <si>
    <t>Croma -Ahmedabad-Devarc- A004</t>
  </si>
  <si>
    <t>store_000300</t>
  </si>
  <si>
    <t>Croma -Surat-Adajan- A105</t>
  </si>
  <si>
    <t>executive_00014, executive_00004</t>
  </si>
  <si>
    <t>Vinod Khatik, Soham Patil</t>
  </si>
  <si>
    <t>store_000301</t>
  </si>
  <si>
    <t>Croma-Surat-Ghoddod- A010</t>
  </si>
  <si>
    <t>store_000302</t>
  </si>
  <si>
    <t>Croma-Surat-Vip Road- A217</t>
  </si>
  <si>
    <t>store_000303</t>
  </si>
  <si>
    <t>Croma-Surat-Ripple- A053</t>
  </si>
  <si>
    <t>store_000304</t>
  </si>
  <si>
    <t>Croma-Ahmedabad-Satyam64- A159</t>
  </si>
  <si>
    <t>store_000305</t>
  </si>
  <si>
    <t>Croma-Ahmedabad-Mani Nagar- A145</t>
  </si>
  <si>
    <t>store_000306</t>
  </si>
  <si>
    <t>Croma-Ahmedabad-Shyamal Cross Road- A251</t>
  </si>
  <si>
    <t>store_000307</t>
  </si>
  <si>
    <t>Croma-Surat-Deepkamal Mall- A137</t>
  </si>
  <si>
    <t>store_000308</t>
  </si>
  <si>
    <t>Croma-Ahmedabad-Vastral- A228</t>
  </si>
  <si>
    <t>store_000309</t>
  </si>
  <si>
    <t>Croma -Ahmedabad-Ratna- A107</t>
  </si>
  <si>
    <t>store_000310</t>
  </si>
  <si>
    <t>Croma-Ahmedabad-Hathijan Circle- A319</t>
  </si>
  <si>
    <t>store_000311</t>
  </si>
  <si>
    <t>Croma-Surat-Varachha Main Road- A400</t>
  </si>
  <si>
    <t>store_000312</t>
  </si>
  <si>
    <t>Croma-Surat-Mota Varachha- A431</t>
  </si>
  <si>
    <t>store_000313</t>
  </si>
  <si>
    <t>Croma-Ahmedabad -Science City- A260</t>
  </si>
  <si>
    <t>store_000314</t>
  </si>
  <si>
    <t>Croma-Surat-Parvat Patiya- A209</t>
  </si>
  <si>
    <t>store_000315</t>
  </si>
  <si>
    <t>Croma-Ahmedabad-Motera- A143</t>
  </si>
  <si>
    <t>store_000316</t>
  </si>
  <si>
    <t>Croma-Surat-Jahangirabad- A685</t>
  </si>
  <si>
    <t>store_000317</t>
  </si>
  <si>
    <t>Croma-Surat-Kamrej- A263</t>
  </si>
  <si>
    <t>store_000318</t>
  </si>
  <si>
    <t>Croma-Surat-Gaurav Path- A668</t>
  </si>
  <si>
    <t>store_000319</t>
  </si>
  <si>
    <t>Croma-Surat-Katargam- A297</t>
  </si>
  <si>
    <t>store_000320</t>
  </si>
  <si>
    <t>Croma-Surat-Bhagal- A506</t>
  </si>
  <si>
    <t>store_000321</t>
  </si>
  <si>
    <t>Croma-Ahmedabad-Odhav- A450</t>
  </si>
  <si>
    <t>store_000322</t>
  </si>
  <si>
    <t>Croma-Ahmedabad- Makarba- A301</t>
  </si>
  <si>
    <t>store_000323</t>
  </si>
  <si>
    <t>Croma-Ahmedabad-Maninagar South- A247</t>
  </si>
  <si>
    <t>store_000324</t>
  </si>
  <si>
    <t>Croma-Ahmedabad-Bopal- A250</t>
  </si>
  <si>
    <t>store_000325</t>
  </si>
  <si>
    <t>Croma-Ahmedabad-Zundal- A328</t>
  </si>
  <si>
    <t>store_000326</t>
  </si>
  <si>
    <t>Croma-Ahmedabad-Sindhu Bhavan- A307</t>
  </si>
  <si>
    <t>store_000327</t>
  </si>
  <si>
    <t>Croma-Ahmedabad-Ramol</t>
  </si>
  <si>
    <t>store_000328</t>
  </si>
  <si>
    <t>Croma-Ahmedabad-Nava Naroda- A347</t>
  </si>
  <si>
    <t>store_000329</t>
  </si>
  <si>
    <t>Croma-Ahmedabad-Bapunagar- A290</t>
  </si>
  <si>
    <t>store_000330</t>
  </si>
  <si>
    <t>Croma-Ahmedabad-Memnagar- A406</t>
  </si>
  <si>
    <t>store_000331</t>
  </si>
  <si>
    <t>Croma-Ahmedabad-Naranpura- A553</t>
  </si>
  <si>
    <t>store_000332</t>
  </si>
  <si>
    <t>Croma-Ahmedabad-Gota</t>
  </si>
  <si>
    <t>store_000333</t>
  </si>
  <si>
    <t>Croma-Ahmedabad-Ranna Park- A317</t>
  </si>
  <si>
    <t>store_000335</t>
  </si>
  <si>
    <t>Croma -Gwalior-City Center- A182</t>
  </si>
  <si>
    <t>Gwalior</t>
  </si>
  <si>
    <t>Madhya Pradesh</t>
  </si>
  <si>
    <t>executive_00015</t>
  </si>
  <si>
    <t>Avneesh Mishra</t>
  </si>
  <si>
    <t>store_000336</t>
  </si>
  <si>
    <t>Croma -Indore-Vijay Nagar Square- A186</t>
  </si>
  <si>
    <t>Indore</t>
  </si>
  <si>
    <t>executive_00002, executive_00031, executive_00030, executive_00015, executive_00022, executive_00027</t>
  </si>
  <si>
    <t>Kanishk Bhardwaj, Bisma Nadeem, Avantika Gupta, Avneesh Mishra, Hardeep Singh, Rohan Saxena</t>
  </si>
  <si>
    <t>store_000337</t>
  </si>
  <si>
    <t>Croma - Sagar-Makroniya- A524</t>
  </si>
  <si>
    <t>Sagar</t>
  </si>
  <si>
    <t>Karnataka</t>
  </si>
  <si>
    <t>store_000338</t>
  </si>
  <si>
    <t>Croma-Varanasi-Sigra- A673</t>
  </si>
  <si>
    <t>Varanasi</t>
  </si>
  <si>
    <t>executive_00015, executive_00030</t>
  </si>
  <si>
    <t>Avneesh Mishra, Avantika Gupta</t>
  </si>
  <si>
    <t>store_000339</t>
  </si>
  <si>
    <t>Croma - Indore-Bicholi Mardana- A348</t>
  </si>
  <si>
    <t>store_000340</t>
  </si>
  <si>
    <t>Croma - Ujjain-Dewas Road- A335</t>
  </si>
  <si>
    <t>Ujjain</t>
  </si>
  <si>
    <t>executive_00015, executive_00022</t>
  </si>
  <si>
    <t>Avneesh Mishra, Hardeep Singh</t>
  </si>
  <si>
    <t>store_000341</t>
  </si>
  <si>
    <t>Croma - Bhopal-Kohefiza- A453</t>
  </si>
  <si>
    <t>Bhopal</t>
  </si>
  <si>
    <t>store_000342</t>
  </si>
  <si>
    <t>Croma-Bhopal-Hoshangabad Road- A351</t>
  </si>
  <si>
    <t>store_000343</t>
  </si>
  <si>
    <t>Croma - Indore-Sapna Sangeeta Road- A409</t>
  </si>
  <si>
    <t>store_000344</t>
  </si>
  <si>
    <t>Croma-Gorakhpur-Medical College Road- A440</t>
  </si>
  <si>
    <t>Gorakhpur</t>
  </si>
  <si>
    <t>store_000345</t>
  </si>
  <si>
    <t>Croma-Jabalpur – Vijay Nagar- A687</t>
  </si>
  <si>
    <t>Jabalpur</t>
  </si>
  <si>
    <t>store_000346</t>
  </si>
  <si>
    <t>Croma - Gwalior-Jayendraganj- A715</t>
  </si>
  <si>
    <t>store_000347</t>
  </si>
  <si>
    <t>Croma-Chhindwara-Station Road- A638</t>
  </si>
  <si>
    <t>Chhindwara</t>
  </si>
  <si>
    <t>store_000348</t>
  </si>
  <si>
    <t>Croma-Satna-Panna Road- A542</t>
  </si>
  <si>
    <t>Satna</t>
  </si>
  <si>
    <t>store_000349</t>
  </si>
  <si>
    <t>Croma - Indore-Annapurna Road- A456</t>
  </si>
  <si>
    <t>store_000350</t>
  </si>
  <si>
    <t>Croma - Indore-Race Course Road- A567</t>
  </si>
  <si>
    <t>store_000351</t>
  </si>
  <si>
    <t>Croma - Indore-Aerodrum Road- A233</t>
  </si>
  <si>
    <t>store_000352</t>
  </si>
  <si>
    <t>Croma-Jabalpur-Gorakhpur Road- A529</t>
  </si>
  <si>
    <t>store_000353</t>
  </si>
  <si>
    <t>Croma-Saharanpur-Vasant Vihar- A510</t>
  </si>
  <si>
    <t>Saharanpur</t>
  </si>
  <si>
    <t>store_000354</t>
  </si>
  <si>
    <t>Croma - Dewas-Gomti Nagar- A517</t>
  </si>
  <si>
    <t>Dewas</t>
  </si>
  <si>
    <t>store_000355</t>
  </si>
  <si>
    <t>Croma-Bhopal-Kolar Road- A581</t>
  </si>
  <si>
    <t>store_000356</t>
  </si>
  <si>
    <t>Croma-Indore-Phoenix Citadel- A513</t>
  </si>
  <si>
    <t>store_000357</t>
  </si>
  <si>
    <t>Croma-Ratlam-Do Batti Chowk- A330</t>
  </si>
  <si>
    <t>Ratlam</t>
  </si>
  <si>
    <t>store_000358</t>
  </si>
  <si>
    <t>Croma - Bhopal-Db Mall- A192</t>
  </si>
  <si>
    <t>store_000359</t>
  </si>
  <si>
    <t>Croma-Varanasi-Airport Road Shivpur- A648</t>
  </si>
  <si>
    <t>store_000360</t>
  </si>
  <si>
    <t>Croma-Bhopal-Arera Colony- A188</t>
  </si>
  <si>
    <t>store_000361</t>
  </si>
  <si>
    <t>Croma-Jaunpur-Wazidpur Tiraha- A636</t>
  </si>
  <si>
    <t>Jaunpur</t>
  </si>
  <si>
    <t>store_000362</t>
  </si>
  <si>
    <t>Croma-Damoh-Sagar Road- A590</t>
  </si>
  <si>
    <t>Damoh</t>
  </si>
  <si>
    <t>store_000363</t>
  </si>
  <si>
    <t>Croma-Guna-Ab Road- A627</t>
  </si>
  <si>
    <t>Guna</t>
  </si>
  <si>
    <t>store_000364</t>
  </si>
  <si>
    <t>Croma-Rewa-Urrahat- A349</t>
  </si>
  <si>
    <t>Rewa</t>
  </si>
  <si>
    <t>store_000365</t>
  </si>
  <si>
    <t>Croma-Indore-Ranjeet Hanuman- A712</t>
  </si>
  <si>
    <t>store_000366</t>
  </si>
  <si>
    <t>Croma-Bhopal-Indrapuri- A509</t>
  </si>
  <si>
    <t>store_000367</t>
  </si>
  <si>
    <t>Croma-Narmadapuram-Kothi Bazar- A645</t>
  </si>
  <si>
    <t>Narmadapuram</t>
  </si>
  <si>
    <t>store_000368</t>
  </si>
  <si>
    <t>Croma-Bhopal-Bhanpur- A697</t>
  </si>
  <si>
    <t>store_000369</t>
  </si>
  <si>
    <t>Croma-Bhopal-New Market- A667</t>
  </si>
  <si>
    <t>store_000370</t>
  </si>
  <si>
    <t>Croma-Vidisha-Sanchi Road- A580</t>
  </si>
  <si>
    <t>Vidisha</t>
  </si>
  <si>
    <t>store_000371</t>
  </si>
  <si>
    <t>Croma-Neemuch-Ambedkar Road- A675</t>
  </si>
  <si>
    <t>Neemuch</t>
  </si>
  <si>
    <t>store_000372</t>
  </si>
  <si>
    <t>Croma-Chhatarpur-Khajuraho Road- A656</t>
  </si>
  <si>
    <t>Chhatarpur</t>
  </si>
  <si>
    <t>store_000373</t>
  </si>
  <si>
    <t>Croma-Khandwa-Indore-Khandwa Road- A383</t>
  </si>
  <si>
    <t>store_000374</t>
  </si>
  <si>
    <t>Croma -Delhi-Saket- A042</t>
  </si>
  <si>
    <t>store_000375</t>
  </si>
  <si>
    <t>Croma -Delhi-Vegas Mall- A204</t>
  </si>
  <si>
    <t>store_000376</t>
  </si>
  <si>
    <t>Croma -Delhi-Vasant Kunj Mall- A161</t>
  </si>
  <si>
    <t>store_000377</t>
  </si>
  <si>
    <t>Croma-Delhi-Pacific Mall- A358</t>
  </si>
  <si>
    <t>store_000378</t>
  </si>
  <si>
    <t>Croma-Jaipur-Wtp Mall- A168</t>
  </si>
  <si>
    <t>Jaipur</t>
  </si>
  <si>
    <t>Rajasthan</t>
  </si>
  <si>
    <t>executive_00031, executive_00030, executive_00007, executive_00027</t>
  </si>
  <si>
    <t>Bisma Nadeem, Avantika Gupta, Ayush Joshi, Rohan Saxena</t>
  </si>
  <si>
    <t>store_000379</t>
  </si>
  <si>
    <t>Croma-Jaipur-Jagatpura- A689</t>
  </si>
  <si>
    <t>store_000380</t>
  </si>
  <si>
    <t>Croma-Delhi-Uttam Nagar- A622</t>
  </si>
  <si>
    <t>store_000381</t>
  </si>
  <si>
    <t>Croma -Delhi-Southex- A048</t>
  </si>
  <si>
    <t>store_000382</t>
  </si>
  <si>
    <t>Croma -Delhi-Select City Walk- A112</t>
  </si>
  <si>
    <t>store_000383</t>
  </si>
  <si>
    <t>Croma -Delhi-Rajouri- A044</t>
  </si>
  <si>
    <t>store_000384</t>
  </si>
  <si>
    <t>Croma -Delhi-Kamlanagar- A032</t>
  </si>
  <si>
    <t>store_000385</t>
  </si>
  <si>
    <t>Croma -Delhi-Janakpuri- A132</t>
  </si>
  <si>
    <t>store_000386</t>
  </si>
  <si>
    <t>Croma -Delhi-Connaught Place- A055</t>
  </si>
  <si>
    <t>store_000387</t>
  </si>
  <si>
    <t>Croma-Delhi-East Of Kailash- A064</t>
  </si>
  <si>
    <t>executive_00007, executive_00027, executive_00031, executive_00030, executive_00008, executive_00026, executive_00035, executive_00038, executive_00039, executive_00041</t>
  </si>
  <si>
    <t>Ayush Joshi, Rohan Saxena, Bisma Nadeem, Avantika Gupta, Gautam Kumar, Sonal Kumar, Nishant Gaurav, Anurag Yadav, Sweety Suman, Kumari Nishav Mishra</t>
  </si>
  <si>
    <t>store_000388</t>
  </si>
  <si>
    <t>Croma-Delhi-Dwarka Sector 12- A503</t>
  </si>
  <si>
    <t>store_000389</t>
  </si>
  <si>
    <t>Croma-Delhi-Civil Lines- A276</t>
  </si>
  <si>
    <t>store_000390</t>
  </si>
  <si>
    <t>Croma-Delhi-Pusa Road- A104</t>
  </si>
  <si>
    <t>store_000391</t>
  </si>
  <si>
    <t>Croma -Jaipur-Vaishali Nagar- A283</t>
  </si>
  <si>
    <t>store_000392</t>
  </si>
  <si>
    <t>Croma-Jaipur-Tonk Road- A465</t>
  </si>
  <si>
    <t>store_000393</t>
  </si>
  <si>
    <t>Croma-Delhi-Wazirabad Road- A624</t>
  </si>
  <si>
    <t>store_000394</t>
  </si>
  <si>
    <t>Croma-Sriganganagar-Ridhi Sidhi Enclave- A374</t>
  </si>
  <si>
    <t>Sriganganagar</t>
  </si>
  <si>
    <t>executive_00007, executive_00031, executive_00030, executive_00027</t>
  </si>
  <si>
    <t>Ayush Joshi, Bisma Nadeem, Avantika Gupta, Rohan Saxena</t>
  </si>
  <si>
    <t>store_000395</t>
  </si>
  <si>
    <t>Croma-Delhi-Lajpat Nagar- A545</t>
  </si>
  <si>
    <t>store_000396</t>
  </si>
  <si>
    <t>Croma-Delhi-Malviya Nagar- A498</t>
  </si>
  <si>
    <t>store_000397</t>
  </si>
  <si>
    <t>Croma-Delhi-Db Gupta Road- A311</t>
  </si>
  <si>
    <t>store_000398</t>
  </si>
  <si>
    <t>Croma-Delhi-Ramphal Chowk- A670</t>
  </si>
  <si>
    <t>store_000399</t>
  </si>
  <si>
    <t>Croma-Udaipur-Rk Circle- A291</t>
  </si>
  <si>
    <t>Udaipur</t>
  </si>
  <si>
    <t>Tripura</t>
  </si>
  <si>
    <t>store_000400</t>
  </si>
  <si>
    <t>Croma-Jaipur-Pratap Nagar- A721</t>
  </si>
  <si>
    <t>store_000401</t>
  </si>
  <si>
    <t>Croma-Delhi-Epicah Mall- A266</t>
  </si>
  <si>
    <t>store_000402</t>
  </si>
  <si>
    <t>Croma-Delhi-Punjabi Bagh- A313</t>
  </si>
  <si>
    <t>store_000403</t>
  </si>
  <si>
    <t>Croma-Jaipur-Raja Park- A572</t>
  </si>
  <si>
    <t>store_000404</t>
  </si>
  <si>
    <t>Croma-Bhiwadi-Legend Centra Mall- A575</t>
  </si>
  <si>
    <t>Bhiwadi</t>
  </si>
  <si>
    <t>store_000405</t>
  </si>
  <si>
    <t>Croma-Kota-Dakaniya Station Road- A206</t>
  </si>
  <si>
    <t>Kota</t>
  </si>
  <si>
    <t>store_000406</t>
  </si>
  <si>
    <t>Croma-Delhi-West Patel Nagar- A473</t>
  </si>
  <si>
    <t>store_000407</t>
  </si>
  <si>
    <t>Croma-Udaipur-Surajpole- A693</t>
  </si>
  <si>
    <t>store_000408</t>
  </si>
  <si>
    <t>Croma-Delhi-Airport Terminal 3 International- A059</t>
  </si>
  <si>
    <t>store_000409</t>
  </si>
  <si>
    <t>Croma -Gurugram-Ambience Mall- A144</t>
  </si>
  <si>
    <t>executive_00031, executive_00030, executive_00006, executive_00008, executive_00027, executive_00026, executive_00043, executive_00046</t>
  </si>
  <si>
    <t>Bisma Nadeem, Avantika Gupta, Neeraj Kandwal, Gautam Kumar, Rohan Saxena, Sonal Kumar, Anirudh shankar, Abhishek Kumar Singh</t>
  </si>
  <si>
    <t>store_000410</t>
  </si>
  <si>
    <t>Croma -Gurugram-Sector 86- A306</t>
  </si>
  <si>
    <t>executive_00006, executive_00031, executive_00030, executive_00008, executive_00027, executive_00026, executive_00043, executive_00046</t>
  </si>
  <si>
    <t>Neeraj Kandwal, Bisma Nadeem, Avantika Gupta, Gautam Kumar, Rohan Saxena, Sonal Kumar, Anirudh shankar, Abhishek Kumar Singh</t>
  </si>
  <si>
    <t>store_000411</t>
  </si>
  <si>
    <t>Croma -Faridabad-Crown Mall- A012</t>
  </si>
  <si>
    <t>executive_00006, executive_00031, executive_00030, executive_00008, executive_00027, executive_00026, executive_00046</t>
  </si>
  <si>
    <t>Neeraj Kandwal, Bisma Nadeem, Avantika Gupta, Gautam Kumar, Rohan Saxena, Sonal Kumar, Abhishek Kumar Singh</t>
  </si>
  <si>
    <t>store_000412</t>
  </si>
  <si>
    <t>Croma -Gurugram-Sohna Road- A337</t>
  </si>
  <si>
    <t>store_000413</t>
  </si>
  <si>
    <t>Croma-Jalandhar-Lajpat Nagar- A163</t>
  </si>
  <si>
    <t>Jalandhar</t>
  </si>
  <si>
    <t>executive_00006, executive_00031, executive_00030, executive_00027</t>
  </si>
  <si>
    <t>Neeraj Kandwal, Bisma Nadeem, Avantika Gupta, Rohan Saxena</t>
  </si>
  <si>
    <t>store_000414</t>
  </si>
  <si>
    <t>Croma-Delhi-Patparganj- A417</t>
  </si>
  <si>
    <t>store_000415</t>
  </si>
  <si>
    <t>Croma-Gurugram-Sector 12- A240</t>
  </si>
  <si>
    <t>store_000416</t>
  </si>
  <si>
    <t>Croma-Ludhiana-Feroz Gandhi Market- A595</t>
  </si>
  <si>
    <t>Ludhiana</t>
  </si>
  <si>
    <t>store_000417</t>
  </si>
  <si>
    <t>Croma -Gurugram-Dlf Mega Mall- A050</t>
  </si>
  <si>
    <t>store_000418</t>
  </si>
  <si>
    <t>Croma -Delhi-Rohini- A020</t>
  </si>
  <si>
    <t>executive_00007, executive_00031, executive_00030, executive_00008, executive_00027, executive_00026, executive_00035, executive_00038, executive_00006, executive_00039, executive_00041</t>
  </si>
  <si>
    <t>Ayush Joshi, Bisma Nadeem, Avantika Gupta, Gautam Kumar, Rohan Saxena, Sonal Kumar, Nishant Gaurav, Anurag Yadav, Neeraj Kandwal, Sweety Suman, Kumari Nishav Mishra</t>
  </si>
  <si>
    <t>store_000419</t>
  </si>
  <si>
    <t>Croma -Gurugram-Sector 29- A120</t>
  </si>
  <si>
    <t>store_000420</t>
  </si>
  <si>
    <t>Croma -Delhi-Rohini West Mall- A131</t>
  </si>
  <si>
    <t>store_000421</t>
  </si>
  <si>
    <t>Croma-Delhi-Cbd Shahdara- A532</t>
  </si>
  <si>
    <t>store_000422</t>
  </si>
  <si>
    <t>Croma -Delhi-Pitampura- A258</t>
  </si>
  <si>
    <t>store_000423</t>
  </si>
  <si>
    <t>Croma-Delhi-Shahdara- A336</t>
  </si>
  <si>
    <t>executive_00008, executive_00007, executive_00031, executive_00030, executive_00027, executive_00026, executive_00035, executive_00038, executive_00039, executive_00041</t>
  </si>
  <si>
    <t>Gautam Kumar, Ayush Joshi, Bisma Nadeem, Avantika Gupta, Rohan Saxena, Sonal Kumar, Nishant Gaurav, Anurag Yadav, Sweety Suman, Kumari Nishav Mishra</t>
  </si>
  <si>
    <t>store_000424</t>
  </si>
  <si>
    <t>Croma -Gurugram-Mall Fifty One- A316</t>
  </si>
  <si>
    <t>store_000425</t>
  </si>
  <si>
    <t>Croma-Delhi-Preet Vihar- A089</t>
  </si>
  <si>
    <t>store_000426</t>
  </si>
  <si>
    <t>Croma -Gurugram-Reach 3 Roads- A398</t>
  </si>
  <si>
    <t>store_000427</t>
  </si>
  <si>
    <t>Croma-Ludhiana-Sector 32A- A344</t>
  </si>
  <si>
    <t>executive_00031, executive_00030, executive_00006, executive_00027</t>
  </si>
  <si>
    <t>Bisma Nadeem, Avantika Gupta, Neeraj Kandwal, Rohan Saxena</t>
  </si>
  <si>
    <t>store_000428</t>
  </si>
  <si>
    <t>Croma-Zirakhpur-Garden Village- A294</t>
  </si>
  <si>
    <t>Zirakhpur</t>
  </si>
  <si>
    <t>store_000429</t>
  </si>
  <si>
    <t>Croma-Patiala-Spectra Mall- A620</t>
  </si>
  <si>
    <t>Patiala</t>
  </si>
  <si>
    <t>store_000430</t>
  </si>
  <si>
    <t>Croma -Gurugram-Worldmark 2- A212</t>
  </si>
  <si>
    <t>store_000431</t>
  </si>
  <si>
    <t>Croma-Gurugram-Sector 67- A490</t>
  </si>
  <si>
    <t>store_000432</t>
  </si>
  <si>
    <t>Croma-Panipat-Mittal Mega Mall- A436</t>
  </si>
  <si>
    <t>Panipat</t>
  </si>
  <si>
    <t>store_000433</t>
  </si>
  <si>
    <t>Croma-Pathankot-Dalhousie Road- A379</t>
  </si>
  <si>
    <t>Pathankot</t>
  </si>
  <si>
    <t>store_000434</t>
  </si>
  <si>
    <t>Croma-Yamunanagar-Gobindpuri Road- A355</t>
  </si>
  <si>
    <t>Yamunanagar</t>
  </si>
  <si>
    <t>store_000435</t>
  </si>
  <si>
    <t>Croma-Patiala-Bhupendra Road- A255</t>
  </si>
  <si>
    <t>store_000436</t>
  </si>
  <si>
    <t>Croma-Faridabad-Nit- A393</t>
  </si>
  <si>
    <t>executive_00031, executive_00030, executive_00006, executive_00008, executive_00027, executive_00026, executive_00046</t>
  </si>
  <si>
    <t>Bisma Nadeem, Avantika Gupta, Neeraj Kandwal, Gautam Kumar, Rohan Saxena, Sonal Kumar, Abhishek Kumar Singh</t>
  </si>
  <si>
    <t>store_000437</t>
  </si>
  <si>
    <t>Croma-Moga-Gt Road- A451</t>
  </si>
  <si>
    <t>Moga</t>
  </si>
  <si>
    <t>store_000438</t>
  </si>
  <si>
    <t>Croma-Bathinda-Gt Road- A273</t>
  </si>
  <si>
    <t>Bathinda</t>
  </si>
  <si>
    <t>store_000439</t>
  </si>
  <si>
    <t>Croma-Hoshiarpur-Mall Road- A372</t>
  </si>
  <si>
    <t>Hoshiarpur</t>
  </si>
  <si>
    <t>store_000440</t>
  </si>
  <si>
    <t>Croma-Tarn Taran-Amritsar Road- A459</t>
  </si>
  <si>
    <t>store_000441</t>
  </si>
  <si>
    <t>Croma-Palwal-Mathura Road- A434</t>
  </si>
  <si>
    <t>Palwal</t>
  </si>
  <si>
    <t>store_000442</t>
  </si>
  <si>
    <t>Croma-Sonipat-Atlas Road- A287</t>
  </si>
  <si>
    <t>Sonipat</t>
  </si>
  <si>
    <t>store_000443</t>
  </si>
  <si>
    <t>Croma-Sangrur-Sunami Gate- A533</t>
  </si>
  <si>
    <t>Sangrur</t>
  </si>
  <si>
    <t>store_000444</t>
  </si>
  <si>
    <t>Croma-Malerkotla-Thandi Sadak- A518</t>
  </si>
  <si>
    <t>Malerkotla</t>
  </si>
  <si>
    <t>store_000445</t>
  </si>
  <si>
    <t>Croma-Muktsar-Kotkapura Road- A571</t>
  </si>
  <si>
    <t>Muktsar</t>
  </si>
  <si>
    <t>store_000446</t>
  </si>
  <si>
    <t>Croma-Faridabad-Pacific Mall Sec 20- A726</t>
  </si>
  <si>
    <t>store_000447</t>
  </si>
  <si>
    <t>Croma-Firozpur-Mall Road- A538</t>
  </si>
  <si>
    <t>Firozpur</t>
  </si>
  <si>
    <t>store_000448</t>
  </si>
  <si>
    <t>Croma-Ludhiana-Sukhmani Square- A609</t>
  </si>
  <si>
    <t>store_000449</t>
  </si>
  <si>
    <t>Croma-Guwahati-Beltola 2- A680</t>
  </si>
  <si>
    <t>Guwahati</t>
  </si>
  <si>
    <t>Assam</t>
  </si>
  <si>
    <t>executive_00013, executive_00009, executive_00016</t>
  </si>
  <si>
    <t>Suvam Chatterjee, Nehal Kedia, Sanjay Sonkar</t>
  </si>
  <si>
    <t>store_000450</t>
  </si>
  <si>
    <t>Croma-Burdwan-Regent Crown- A618</t>
  </si>
  <si>
    <t>Burdwan</t>
  </si>
  <si>
    <t>store_000451</t>
  </si>
  <si>
    <t>Croma-Shillong-Laitumkhrah- A658</t>
  </si>
  <si>
    <t>Shillong</t>
  </si>
  <si>
    <t>Meghalaya</t>
  </si>
  <si>
    <t>store_000452</t>
  </si>
  <si>
    <t>Croma - Asansol-Bhagat Singh More- A229</t>
  </si>
  <si>
    <t>Asansol</t>
  </si>
  <si>
    <t>store_000453</t>
  </si>
  <si>
    <t>Croma-Guwahati-Vip Road- A659</t>
  </si>
  <si>
    <t>store_000454</t>
  </si>
  <si>
    <t>Croma-Tezpur-Hospital Road- A705</t>
  </si>
  <si>
    <t>Tezpur</t>
  </si>
  <si>
    <t>store_000455</t>
  </si>
  <si>
    <t>Croma-Cooch Behar-Purnima Mansion- A688</t>
  </si>
  <si>
    <t>Coochbehar</t>
  </si>
  <si>
    <t>store_000456</t>
  </si>
  <si>
    <t>Croma-Serampore – GT Road</t>
  </si>
  <si>
    <t>Serampore</t>
  </si>
  <si>
    <t>store_000457</t>
  </si>
  <si>
    <t>Croma - Siliguri-Dwarika Mahabir Square- A589</t>
  </si>
  <si>
    <t>Siliguri</t>
  </si>
  <si>
    <t>store_000458</t>
  </si>
  <si>
    <t>Croma - Jalpaiguri-Krishna Plaza- A653</t>
  </si>
  <si>
    <t>Jalpaiguri</t>
  </si>
  <si>
    <t>store_000459</t>
  </si>
  <si>
    <t>Croma-Siliguri-Golden Enclave- A584</t>
  </si>
  <si>
    <t>store_000460</t>
  </si>
  <si>
    <t>Croma-Sodepur-Bt Road- A407</t>
  </si>
  <si>
    <t>Sodepur</t>
  </si>
  <si>
    <t>store_000461</t>
  </si>
  <si>
    <t>Croma-Krishnanagar-Mm Ghosh Street- A676</t>
  </si>
  <si>
    <t>Krishnanagar</t>
  </si>
  <si>
    <t>store_000462</t>
  </si>
  <si>
    <t>Croma-Shillong-Igp Point- A691</t>
  </si>
  <si>
    <t>store_000463</t>
  </si>
  <si>
    <t>Croma -Bangalore-Koramangala- A058</t>
  </si>
  <si>
    <t>Bangalore</t>
  </si>
  <si>
    <t>executive_00005</t>
  </si>
  <si>
    <t>Shrusti Gudmeti</t>
  </si>
  <si>
    <t>store_000464</t>
  </si>
  <si>
    <t>Croma -Porvorim-Bardez- A172</t>
  </si>
  <si>
    <t>North Goa</t>
  </si>
  <si>
    <t>Goa</t>
  </si>
  <si>
    <t>store_000465</t>
  </si>
  <si>
    <t>Croma -Bangalore-Ss Manor- A018</t>
  </si>
  <si>
    <t>store_000466</t>
  </si>
  <si>
    <t>Croma-Hyderabad-As Raonagar- A134</t>
  </si>
  <si>
    <t>store_000467</t>
  </si>
  <si>
    <t>Croma -Bangalore-Mall Of Asia- A539</t>
  </si>
  <si>
    <t>store_000468</t>
  </si>
  <si>
    <t>Croma-Panjim-Taleigaon- A536</t>
  </si>
  <si>
    <t>South Goa</t>
  </si>
  <si>
    <t>store_000469</t>
  </si>
  <si>
    <t>Croma - Salem-Bharathi Street- A213</t>
  </si>
  <si>
    <t>Salem</t>
  </si>
  <si>
    <t>Tamil Nadu</t>
  </si>
  <si>
    <t>executive_00005, executive_00024, executive_00034</t>
  </si>
  <si>
    <t>Shrusti Gudmeti, Venkat Raman, Santo P Sebastian</t>
  </si>
  <si>
    <t>store_000470</t>
  </si>
  <si>
    <t>Croma-Bangalore-Yelahanka- A160</t>
  </si>
  <si>
    <t>store_000471</t>
  </si>
  <si>
    <t>Croma-Tumkur-Bh Road- A591</t>
  </si>
  <si>
    <t>Tumkur</t>
  </si>
  <si>
    <t>store_000472</t>
  </si>
  <si>
    <t>Croma-Hubli-Vidyanagar- A289</t>
  </si>
  <si>
    <t>Hubli</t>
  </si>
  <si>
    <t>store_000473</t>
  </si>
  <si>
    <t>Croma -Bangalore-Hennur Road- A207</t>
  </si>
  <si>
    <t>store_000474</t>
  </si>
  <si>
    <t>Croma - Chennai-Ambattur- A356</t>
  </si>
  <si>
    <t>Chennai</t>
  </si>
  <si>
    <t>store_000475</t>
  </si>
  <si>
    <t>Croma-Dabolim-Alsto- A279</t>
  </si>
  <si>
    <t>store_000476</t>
  </si>
  <si>
    <t>Croma -Bangalore-Indira Nagar- A045</t>
  </si>
  <si>
    <t>store_000477</t>
  </si>
  <si>
    <t>Croma -Chennai-Anna Nagar- A037</t>
  </si>
  <si>
    <t>store_000478</t>
  </si>
  <si>
    <t>Croma -Mysore-Double Road- A173</t>
  </si>
  <si>
    <t>Mysore</t>
  </si>
  <si>
    <t>store_000479</t>
  </si>
  <si>
    <t>Croma -Chennai-T Nagar- A040</t>
  </si>
  <si>
    <t>store_000480</t>
  </si>
  <si>
    <t>Croma -Goa-Mapusa- A621</t>
  </si>
  <si>
    <t>store_000481</t>
  </si>
  <si>
    <t>Croma -Hyderabad-Kukatpally- A170</t>
  </si>
  <si>
    <t>store_000482</t>
  </si>
  <si>
    <t>Croma -Bangalore-Whitefield- A150</t>
  </si>
  <si>
    <t>store_000483</t>
  </si>
  <si>
    <t>Croma -Bangalore-J P Nagar- A056</t>
  </si>
  <si>
    <t>store_000484</t>
  </si>
  <si>
    <t>Croma-Bangalore-Pmc Mall- A088</t>
  </si>
  <si>
    <t>store_000485</t>
  </si>
  <si>
    <t>Croma -Bangalore-Banshankari- A073</t>
  </si>
  <si>
    <t>store_000486</t>
  </si>
  <si>
    <t>Croma - Coimbatore-Laxmi Mills- A199</t>
  </si>
  <si>
    <t>Coimbatore</t>
  </si>
  <si>
    <t>store_000487</t>
  </si>
  <si>
    <t>Croma - Chennai-Mount Road- A034</t>
  </si>
  <si>
    <t>store_000488</t>
  </si>
  <si>
    <t>Croma-Hyderabad-Sarath City Mall- A169</t>
  </si>
  <si>
    <t>store_000489</t>
  </si>
  <si>
    <t>Croma -Chennai-Chrompet- A181</t>
  </si>
  <si>
    <t>store_000490</t>
  </si>
  <si>
    <t>Croma -Bangalore-Marathahalli- A060</t>
  </si>
  <si>
    <t>store_000491</t>
  </si>
  <si>
    <t>Croma -Bangalore-Gottigere- A515</t>
  </si>
  <si>
    <t>store_000492</t>
  </si>
  <si>
    <t>Croma - Madurai-Iyer Bungalow- A649</t>
  </si>
  <si>
    <t>Madurai</t>
  </si>
  <si>
    <t>store_000493</t>
  </si>
  <si>
    <t>Croma-Vijayapura-Lingad Gudi Road- A280</t>
  </si>
  <si>
    <t>Vijayapura</t>
  </si>
  <si>
    <t>store_000494</t>
  </si>
  <si>
    <t>Croma-Bangalore-Vega City- A642</t>
  </si>
  <si>
    <t>store_000495</t>
  </si>
  <si>
    <t>Croma -Bangalore-Bannerghatta Mall- A066</t>
  </si>
  <si>
    <t>store_000496</t>
  </si>
  <si>
    <t>Croma-Hyderabad-Jubilee- A028</t>
  </si>
  <si>
    <t>store_000497</t>
  </si>
  <si>
    <t>Croma-Belagavi -Tilakwadi- A271</t>
  </si>
  <si>
    <t>Belagavi</t>
  </si>
  <si>
    <t>store_000498</t>
  </si>
  <si>
    <t>Croma-Hyderabad-Kondapur- A091</t>
  </si>
  <si>
    <t>store_000499</t>
  </si>
  <si>
    <t>Croma-Hyderabad-Karmanghat- A227</t>
  </si>
  <si>
    <t>store_000500</t>
  </si>
  <si>
    <t>Croma-Bangalore-Jaynagar- A113</t>
  </si>
  <si>
    <t>store_000501</t>
  </si>
  <si>
    <t>Croma-Secunderabad-New Vikrampuri- A149</t>
  </si>
  <si>
    <t>store_000502</t>
  </si>
  <si>
    <t>Croma-Nellore-Mini Bypass Road- A475</t>
  </si>
  <si>
    <t>Nellore</t>
  </si>
  <si>
    <t>store_000503</t>
  </si>
  <si>
    <t>Croma-Hyderabad-Khajaguda- A540</t>
  </si>
  <si>
    <t>store_000504</t>
  </si>
  <si>
    <t>Croma-Bangalore-Carmelaram- A484</t>
  </si>
  <si>
    <t>store_000505</t>
  </si>
  <si>
    <t>Croma-Hyderabad-Panjagutta- A029</t>
  </si>
  <si>
    <t>store_000506</t>
  </si>
  <si>
    <t>Croma-Rajahmundry-Rtc Complex Road- A224</t>
  </si>
  <si>
    <t>store_000507</t>
  </si>
  <si>
    <t>Croma-Shivamoga-Savalanga Road- A272</t>
  </si>
  <si>
    <t>Shivamogga</t>
  </si>
  <si>
    <t>store_000508</t>
  </si>
  <si>
    <t>Croma-Khammam-Wyra Road- A362</t>
  </si>
  <si>
    <t>Khammam</t>
  </si>
  <si>
    <t>store_000509</t>
  </si>
  <si>
    <t>Croma-Bangalore-Kr Puram- A452</t>
  </si>
  <si>
    <t>store_000510</t>
  </si>
  <si>
    <t>Croma-Bangalore-Nagarbhavi- A321</t>
  </si>
  <si>
    <t>store_000511</t>
  </si>
  <si>
    <t>Croma-Bangalore-Bel Road- A057</t>
  </si>
  <si>
    <t>store_000512</t>
  </si>
  <si>
    <t>Croma -Mysore-Temple Road- A511</t>
  </si>
  <si>
    <t>store_000513</t>
  </si>
  <si>
    <t>Croma-Bangalore-Rajaji Nagar- A093</t>
  </si>
  <si>
    <t>store_000514</t>
  </si>
  <si>
    <t>Croma-Hyderabad-Kompally- A148</t>
  </si>
  <si>
    <t>store_000515</t>
  </si>
  <si>
    <t>Croma-Hubli-Gokul Road- A167</t>
  </si>
  <si>
    <t>store_000516</t>
  </si>
  <si>
    <t>Croma-Secunderabad-West Marredpally- A447</t>
  </si>
  <si>
    <t>store_000517</t>
  </si>
  <si>
    <t>Croma-Hyderabad-Nizampet- A681</t>
  </si>
  <si>
    <t>store_000518</t>
  </si>
  <si>
    <t>Croma - Kochi-Kalamassery- A323</t>
  </si>
  <si>
    <t>Kochi</t>
  </si>
  <si>
    <t>Kerala</t>
  </si>
  <si>
    <t>executive_00005, executive_00036</t>
  </si>
  <si>
    <t>Shrusti Gudmeti, Jesvin Joshy</t>
  </si>
  <si>
    <t>store_000519</t>
  </si>
  <si>
    <t>Croma - Chennai-Mogappair- A146</t>
  </si>
  <si>
    <t>store_000520</t>
  </si>
  <si>
    <t>Croma-Hyderabad-Kokapet- A646</t>
  </si>
  <si>
    <t>store_000521</t>
  </si>
  <si>
    <t>Croma - Chennai-Urapakkam- A339</t>
  </si>
  <si>
    <t>store_000522</t>
  </si>
  <si>
    <t>Croma-Bangalore-Basaveshwar Nagar- A605</t>
  </si>
  <si>
    <t>store_000523</t>
  </si>
  <si>
    <t>Croma-Chennai-Avadi- A157</t>
  </si>
  <si>
    <t>store_000524</t>
  </si>
  <si>
    <t>Croma-Vizag-Muralinagar- A205</t>
  </si>
  <si>
    <t>Visakhapatnam</t>
  </si>
  <si>
    <t>store_000525</t>
  </si>
  <si>
    <t>Croma-Hyderabad-L B Nagar- A126</t>
  </si>
  <si>
    <t>store_000526</t>
  </si>
  <si>
    <t>Croma-Chennai-Kilpauk- A502</t>
  </si>
  <si>
    <t>store_000527</t>
  </si>
  <si>
    <t>Croma-Chennai-Adyar- A340</t>
  </si>
  <si>
    <t>store_000528</t>
  </si>
  <si>
    <t>Croma-Hyderabad-Vanasthalipuram- A300</t>
  </si>
  <si>
    <t>store_000529</t>
  </si>
  <si>
    <t>Croma-Hyderabad-Kphb- A408</t>
  </si>
  <si>
    <t>store_000530</t>
  </si>
  <si>
    <t>Croma-Nelamangala-Bh Road- A727</t>
  </si>
  <si>
    <t>Bengaluru</t>
  </si>
  <si>
    <t>store_000531</t>
  </si>
  <si>
    <t>Croma-Hyderabad Suchitra- A474</t>
  </si>
  <si>
    <t>store_000532</t>
  </si>
  <si>
    <t>Croma -Bangalore-Hsr Layout- A439</t>
  </si>
  <si>
    <t>store_000533</t>
  </si>
  <si>
    <t>Croma -Chennai-Selaiyur- A315</t>
  </si>
  <si>
    <t>store_000534</t>
  </si>
  <si>
    <t>Croma -Bangalore-Gunjur- A235</t>
  </si>
  <si>
    <t>store_000535</t>
  </si>
  <si>
    <t>Croma-Hyderabad-Aparna Mall- A463</t>
  </si>
  <si>
    <t>store_000536</t>
  </si>
  <si>
    <t>Croma-Hyderabad-Hasthinapuram- A495</t>
  </si>
  <si>
    <t>store_000537</t>
  </si>
  <si>
    <t>Croma-Bangalore-Kanakpura- A326</t>
  </si>
  <si>
    <t>store_000538</t>
  </si>
  <si>
    <t>Croma-Davanagere-Hadadi Road- A185</t>
  </si>
  <si>
    <t>Davanagere</t>
  </si>
  <si>
    <t>store_000539</t>
  </si>
  <si>
    <t>Croma -Hosur-Bagalur Road- A225</t>
  </si>
  <si>
    <t>Hosur</t>
  </si>
  <si>
    <t>store_000540</t>
  </si>
  <si>
    <t>Croma-Chennai-Tiruvanchery- A543</t>
  </si>
  <si>
    <t>store_000541</t>
  </si>
  <si>
    <t>Croma-Hyderabad-Madinaguda- A196</t>
  </si>
  <si>
    <t>store_000542</t>
  </si>
  <si>
    <t>Croma-Dharmapuri-Salem Main Road- A573</t>
  </si>
  <si>
    <t>Dharmapuri</t>
  </si>
  <si>
    <t>store_000543</t>
  </si>
  <si>
    <t>Croma - Chennai-Pmc Mall- A097</t>
  </si>
  <si>
    <t>store_000544</t>
  </si>
  <si>
    <t>Croma-Bangalore-Electronic City- A277</t>
  </si>
  <si>
    <t>store_000545</t>
  </si>
  <si>
    <t>Croma-Hyderabad-Dilsukhnagar- A292</t>
  </si>
  <si>
    <t>store_000546</t>
  </si>
  <si>
    <t>Croma-Guntur-Lakshmipuram Road- A242</t>
  </si>
  <si>
    <t>Guntur</t>
  </si>
  <si>
    <t>store_000547</t>
  </si>
  <si>
    <t>Croma-Chennai-Vivira Mall- A391</t>
  </si>
  <si>
    <t>store_000548</t>
  </si>
  <si>
    <t>Croma-Bangalore-Malleshwaram- A236</t>
  </si>
  <si>
    <t>store_000549</t>
  </si>
  <si>
    <t>Croma - Chennai-Sholinganallur- A322</t>
  </si>
  <si>
    <t>store_000550</t>
  </si>
  <si>
    <t>Croma-Chennai-Vadapalani- A433</t>
  </si>
  <si>
    <t>store_000551</t>
  </si>
  <si>
    <t>Croma-Mangalore-Mak Mall- A221</t>
  </si>
  <si>
    <t>Mangalore</t>
  </si>
  <si>
    <t>store_000552</t>
  </si>
  <si>
    <t>Croma-Bangalore-Hesarghatta Road- A707</t>
  </si>
  <si>
    <t>store_000553</t>
  </si>
  <si>
    <t>Croma-Secunderabad-Nagaram- A422</t>
  </si>
  <si>
    <t>store_000554</t>
  </si>
  <si>
    <t>Croma-Bangalore-Garuda Mall- A561</t>
  </si>
  <si>
    <t>store_000555</t>
  </si>
  <si>
    <t>Croma-Karimnagar-Jagtial Road- A402</t>
  </si>
  <si>
    <t>Karimnagar</t>
  </si>
  <si>
    <t>store_000556</t>
  </si>
  <si>
    <t>Croma-Mandya-Mc Road- A179</t>
  </si>
  <si>
    <t>Mandya</t>
  </si>
  <si>
    <t>store_000557</t>
  </si>
  <si>
    <t>Croma - Chennai-Bsr Mall- A138</t>
  </si>
  <si>
    <t>store_000558</t>
  </si>
  <si>
    <t>Croma-Manipal-Agumbe Road- A686</t>
  </si>
  <si>
    <t>Udupi</t>
  </si>
  <si>
    <t>store_000559</t>
  </si>
  <si>
    <t>Croma-Vizag-Sripuram- A211</t>
  </si>
  <si>
    <t>store_000560</t>
  </si>
  <si>
    <t>Croma-Hassan-Bm Road- A405</t>
  </si>
  <si>
    <t>Hassan</t>
  </si>
  <si>
    <t>store_000561</t>
  </si>
  <si>
    <t>Croma - Thrissur-Mg Road- A282</t>
  </si>
  <si>
    <t>Thrissur</t>
  </si>
  <si>
    <t>store_000562</t>
  </si>
  <si>
    <t>Croma-Hyderabad-Hyderguda- A470</t>
  </si>
  <si>
    <t>store_000563</t>
  </si>
  <si>
    <t>Croma-Mahbubnagar-Rajendra Nagar- A353</t>
  </si>
  <si>
    <t>Mahbubnagar</t>
  </si>
  <si>
    <t>store_000564</t>
  </si>
  <si>
    <t>Croma-Bangalore-Nagavara- A363</t>
  </si>
  <si>
    <t>store_000565</t>
  </si>
  <si>
    <t>Croma-Vijayawada-Benz Circle- A270</t>
  </si>
  <si>
    <t>store_000566</t>
  </si>
  <si>
    <t>Croma-Udupi-Manipal Road- A298</t>
  </si>
  <si>
    <t>store_000567</t>
  </si>
  <si>
    <t>Croma-Kochi-Thrippunithura- A616</t>
  </si>
  <si>
    <t>store_000568</t>
  </si>
  <si>
    <t>Croma-Vellore-Katpadi- A516</t>
  </si>
  <si>
    <t>Vellore</t>
  </si>
  <si>
    <t>store_000569</t>
  </si>
  <si>
    <t>Croma-Bangalore-Global Malls- A489</t>
  </si>
  <si>
    <t>store_000570</t>
  </si>
  <si>
    <t>Croma-Palakkad-Stadium Bypass Road- A299</t>
  </si>
  <si>
    <t>Palakkad</t>
  </si>
  <si>
    <t>store_000571</t>
  </si>
  <si>
    <t>Croma-Madurai-100 Feet Road- A650</t>
  </si>
  <si>
    <t>store_000572</t>
  </si>
  <si>
    <t>Croma - Chennai-Grand Mall- A095</t>
  </si>
  <si>
    <t>store_000573</t>
  </si>
  <si>
    <t>Croma-Chennai-Alwarpet- A269</t>
  </si>
  <si>
    <t>store_000574</t>
  </si>
  <si>
    <t>Croma-Eluru-Narsimharaopet- A252</t>
  </si>
  <si>
    <t>Eluru</t>
  </si>
  <si>
    <t>store_000575</t>
  </si>
  <si>
    <t>Croma-Chennai-Ramapuram- A701</t>
  </si>
  <si>
    <t>store_000576</t>
  </si>
  <si>
    <t>Croma-Kakinada-Bhanugudi Junction- A404</t>
  </si>
  <si>
    <t>store_000577</t>
  </si>
  <si>
    <t>Croma-Tirupati-Tuda Road- A420</t>
  </si>
  <si>
    <t>store_000578</t>
  </si>
  <si>
    <t>Croma-Ballari-Infantry Road- A522</t>
  </si>
  <si>
    <t>Ballari</t>
  </si>
  <si>
    <t>store_000579</t>
  </si>
  <si>
    <t>Croma-Chennai-Kelambakkam-Omr- A608</t>
  </si>
  <si>
    <t>store_000580</t>
  </si>
  <si>
    <t>Croma-Kottayam-Mc Road- A432</t>
  </si>
  <si>
    <t>Kottayam</t>
  </si>
  <si>
    <t>store_000581</t>
  </si>
  <si>
    <t>Croma-Chennai-Kattupakkam- A549</t>
  </si>
  <si>
    <t>store_000582</t>
  </si>
  <si>
    <t>Croma-Hanamkonda-Subedari- A617</t>
  </si>
  <si>
    <t>Warrangal</t>
  </si>
  <si>
    <t>store_000583</t>
  </si>
  <si>
    <t>Croma-Coimbatore-R.S. Puram- A696</t>
  </si>
  <si>
    <t>store_000584</t>
  </si>
  <si>
    <t>Croma-Kalaburagi-Sardar Vallabhai Patel Road- A717</t>
  </si>
  <si>
    <t>Kalaburagi</t>
  </si>
  <si>
    <t>store_000585</t>
  </si>
  <si>
    <t>Croma-Kochi-Bypass Road Vyttila- A309</t>
  </si>
  <si>
    <t>store_000586</t>
  </si>
  <si>
    <t>Croma-Bangalore-Ygr Mall- A563</t>
  </si>
  <si>
    <t>store_000587</t>
  </si>
  <si>
    <t>Croma-Hyderabad-Bandlaguda Jagir- A410</t>
  </si>
  <si>
    <t>store_000588</t>
  </si>
  <si>
    <t>Croma-Belagavi-Nehru Nagar- A603</t>
  </si>
  <si>
    <t>store_000589</t>
  </si>
  <si>
    <t>Croma-Kurnool-Raj Vihar Centre- A274</t>
  </si>
  <si>
    <t>Kurnool</t>
  </si>
  <si>
    <t>store_000590</t>
  </si>
  <si>
    <t>Croma-Hyderabad-Boduppal- A308</t>
  </si>
  <si>
    <t>store_000591</t>
  </si>
  <si>
    <t>Croma-Coimbatore-Prozone Mall- A193</t>
  </si>
  <si>
    <t>store_000592</t>
  </si>
  <si>
    <t>Croma-Hyderabad-Sanath Nagar- A558</t>
  </si>
  <si>
    <t>store_000593</t>
  </si>
  <si>
    <t>Croma-Trichy-Shastri Road- A389</t>
  </si>
  <si>
    <t>Trichy</t>
  </si>
  <si>
    <t>store_000594</t>
  </si>
  <si>
    <t>Croma-Dindigul-Palani Road- A661</t>
  </si>
  <si>
    <t>Dindigul</t>
  </si>
  <si>
    <t>store_000595</t>
  </si>
  <si>
    <t>Croma-Hyderabad-Attapur- A152</t>
  </si>
  <si>
    <t>store_000596</t>
  </si>
  <si>
    <t>Croma-Kottayam-Kk Road- A537</t>
  </si>
  <si>
    <t>store_000597</t>
  </si>
  <si>
    <t>Croma-Hyderabad-Manikonda- A562</t>
  </si>
  <si>
    <t>store_000598</t>
  </si>
  <si>
    <t>Croma-Hyderabad-Ramanthapur- A154</t>
  </si>
  <si>
    <t>store_000599</t>
  </si>
  <si>
    <t>Croma-Madanapalle-Ntr Road- A476</t>
  </si>
  <si>
    <t>Madanapalle</t>
  </si>
  <si>
    <t>store_000600</t>
  </si>
  <si>
    <t>Croma-Bangalore-Basavangudi- A472</t>
  </si>
  <si>
    <t>store_000601</t>
  </si>
  <si>
    <t>Croma-Ongole-Trunk Road- A397</t>
  </si>
  <si>
    <t>Ongole</t>
  </si>
  <si>
    <t>store_000602</t>
  </si>
  <si>
    <t>Croma-Coimbatore-Singanallur- A651</t>
  </si>
  <si>
    <t>store_000603</t>
  </si>
  <si>
    <t>Croma-Vijayawada-Eluru Road- A357</t>
  </si>
  <si>
    <t>store_000604</t>
  </si>
  <si>
    <t>Croma-Bangalore-Rt Nagar- A724</t>
  </si>
  <si>
    <t>store_000605</t>
  </si>
  <si>
    <t>Croma-Dharwad-Pb Road- A364</t>
  </si>
  <si>
    <t>Dharwad</t>
  </si>
  <si>
    <t>store_000606</t>
  </si>
  <si>
    <t>Croma-Kozhikode-Mavoor Road- A578</t>
  </si>
  <si>
    <t>Kozhikode</t>
  </si>
  <si>
    <t>store_000607</t>
  </si>
  <si>
    <t>Croma-Guntur-Tadepalle- A334</t>
  </si>
  <si>
    <t>store_000608</t>
  </si>
  <si>
    <t>Croma-Kadapa-Koti Reddy Circle- A541</t>
  </si>
  <si>
    <t>Kadapa</t>
  </si>
  <si>
    <t>store_000609</t>
  </si>
  <si>
    <t>Croma-Chennai-Gn Chetty Road- A418</t>
  </si>
  <si>
    <t>store_000610</t>
  </si>
  <si>
    <t>Croma-Hyderabad-Miyapur- A464</t>
  </si>
  <si>
    <t>store_000611</t>
  </si>
  <si>
    <t>Croma-Perinthalmanna-Bypass Junction- A527</t>
  </si>
  <si>
    <t>Perinthalmanna</t>
  </si>
  <si>
    <t>store_000612</t>
  </si>
  <si>
    <t>Croma-Bangalore-Yeshwanthpur- A703</t>
  </si>
  <si>
    <t>store_000613</t>
  </si>
  <si>
    <t>Croma-Kottakal-Changuvetty- A592</t>
  </si>
  <si>
    <t>Kottakal</t>
  </si>
  <si>
    <t>store_000614</t>
  </si>
  <si>
    <t>Croma-Secunderabad-Nacharam- A448</t>
  </si>
  <si>
    <t>store_000615</t>
  </si>
  <si>
    <t>Croma-Tiruppur-Avinashi Road- A702</t>
  </si>
  <si>
    <t>Tiruppur</t>
  </si>
  <si>
    <t>store_000616</t>
  </si>
  <si>
    <t>Croma-Vijayawada-Enikepadu- A494</t>
  </si>
  <si>
    <t>store_000617</t>
  </si>
  <si>
    <t>Croma-Hyderabad-Airport 2- A430</t>
  </si>
  <si>
    <t>store_000618</t>
  </si>
  <si>
    <t>Croma-Nellore-Grand Trunk Road- A623</t>
  </si>
  <si>
    <t>store_000619</t>
  </si>
  <si>
    <t>Croma-Thiruvananthapuram-Nh Bypass Road- A699</t>
  </si>
  <si>
    <t>Thiruvananthapuram</t>
  </si>
  <si>
    <t>store_000620</t>
  </si>
  <si>
    <t>Croma -Mumbai-Sion- A039</t>
  </si>
  <si>
    <t>store_000621</t>
  </si>
  <si>
    <t>Croma -Mumbai-Oberoi Mall- A041</t>
  </si>
  <si>
    <t>store_000622</t>
  </si>
  <si>
    <t>Croma -Mumbai-Pmc Lower Parel Mall- A027</t>
  </si>
  <si>
    <t>store_000623</t>
  </si>
  <si>
    <t>Croma -Navi Mumbai-Kamothe- A396</t>
  </si>
  <si>
    <t>store_000624</t>
  </si>
  <si>
    <t>Croma-Vadodara-Harni Sama Link Road</t>
  </si>
  <si>
    <t>store_000625</t>
  </si>
  <si>
    <t>Croma-Vapi-Daman Road- A195</t>
  </si>
  <si>
    <t>Vapi</t>
  </si>
  <si>
    <t>store_000626</t>
  </si>
  <si>
    <t>Croma-Mumbai-Bhandup Mall- A140</t>
  </si>
  <si>
    <t>store_000627</t>
  </si>
  <si>
    <t>Croma-Kalyan-Khadakpada- A275</t>
  </si>
  <si>
    <t>store_000628</t>
  </si>
  <si>
    <t>Croma -Mumbai-Borivali- A147</t>
  </si>
  <si>
    <t>store_000629</t>
  </si>
  <si>
    <t>Croma -Mumbai-Infiniti Mall- A153</t>
  </si>
  <si>
    <t>store_000630</t>
  </si>
  <si>
    <t>Croma -Mumbai-Prabhadevi- A119</t>
  </si>
  <si>
    <t>store_000631</t>
  </si>
  <si>
    <t>Croma -Thane-Ghodbunder Road- A175</t>
  </si>
  <si>
    <t>store_000632</t>
  </si>
  <si>
    <t>Croma -Navi Mumbai-Seawoods Mall- A141</t>
  </si>
  <si>
    <t>store_000633</t>
  </si>
  <si>
    <t>Croma -Mumbai-Mulund- A013</t>
  </si>
  <si>
    <t>store_000634</t>
  </si>
  <si>
    <t>Croma -Navi Mumbai-Kharghar- A116</t>
  </si>
  <si>
    <t>store_000635</t>
  </si>
  <si>
    <t>Croma -Mumbai-Kandivali- A092</t>
  </si>
  <si>
    <t>store_000636</t>
  </si>
  <si>
    <t>Croma -Navi Mumbai-Belapur- A009</t>
  </si>
  <si>
    <t>store_000637</t>
  </si>
  <si>
    <t>Croma -Thane-Bhayander- A017</t>
  </si>
  <si>
    <t>store_000638</t>
  </si>
  <si>
    <t>Croma -Mumbai-Ghatkopar Mall- A035</t>
  </si>
  <si>
    <t>store_000639</t>
  </si>
  <si>
    <t>Croma -Mumbai-Fort- A026</t>
  </si>
  <si>
    <t>store_000640</t>
  </si>
  <si>
    <t>Croma -Mumbai-Chembur- A174</t>
  </si>
  <si>
    <t>store_000641</t>
  </si>
  <si>
    <t>Croma -Mumbai-Virar- A288</t>
  </si>
  <si>
    <t>store_000642</t>
  </si>
  <si>
    <t>Croma-Mumbai-Kurla Lbs Road- A178</t>
  </si>
  <si>
    <t>store_000643</t>
  </si>
  <si>
    <t>Croma -Mumbai-Andheri- A127</t>
  </si>
  <si>
    <t>store_000644</t>
  </si>
  <si>
    <t>Croma -Mumbai-Juhu- A001</t>
  </si>
  <si>
    <t>store_000645</t>
  </si>
  <si>
    <t>Croma-Mumbai-Kandivali West- A285</t>
  </si>
  <si>
    <t>store_000646</t>
  </si>
  <si>
    <t>Croma-Navi Mumbai-New Panvel East- A709</t>
  </si>
  <si>
    <t>store_000647</t>
  </si>
  <si>
    <t>Croma-Vadodara-Atladara- A625</t>
  </si>
  <si>
    <t>store_000648</t>
  </si>
  <si>
    <t>Croma-Dahod-Godhra Road- A557</t>
  </si>
  <si>
    <t>Dahod</t>
  </si>
  <si>
    <t>store_000649</t>
  </si>
  <si>
    <t>Croma-Gandhinagar-Sargasan Road- A412</t>
  </si>
  <si>
    <t>Gandhinagar</t>
  </si>
  <si>
    <t>store_000650</t>
  </si>
  <si>
    <t>Croma-Navi Mumbai-Vashi- A133</t>
  </si>
  <si>
    <t>store_000651</t>
  </si>
  <si>
    <t>Croma-Kalyan-Metro Junction Mall- A445</t>
  </si>
  <si>
    <t>store_000652</t>
  </si>
  <si>
    <t>Croma-Rajkot-Crystal Mall- A036</t>
  </si>
  <si>
    <t>Rajkot</t>
  </si>
  <si>
    <t>store_000653</t>
  </si>
  <si>
    <t>Croma-Mumbai-Vicino Mall- A338</t>
  </si>
  <si>
    <t>store_000654</t>
  </si>
  <si>
    <t>Croma-Boisar-Ostwal Empire- A672</t>
  </si>
  <si>
    <t>store_000655</t>
  </si>
  <si>
    <t>Croma-Mumbai-Santacruz West- A736</t>
  </si>
  <si>
    <t>store_000656</t>
  </si>
  <si>
    <t>Croma-Navi Mumbai-Airoli- A637</t>
  </si>
  <si>
    <t>store_000657</t>
  </si>
  <si>
    <t>Croma-Thane-Hiranandani Estate- A401</t>
  </si>
  <si>
    <t>store_000658</t>
  </si>
  <si>
    <t>Croma-Mumbai-Goregaon West- A660</t>
  </si>
  <si>
    <t>store_000659</t>
  </si>
  <si>
    <t>Croma-Badlapur-Midc Road- A419</t>
  </si>
  <si>
    <t>store_000660</t>
  </si>
  <si>
    <t>Croma-Vadodara-New Vip Road- A626</t>
  </si>
  <si>
    <t>store_000661</t>
  </si>
  <si>
    <t>Croma-Thane-Kalyan Shilphata Road- A471</t>
  </si>
  <si>
    <t>store_000662</t>
  </si>
  <si>
    <t>Croma-Anand-Mota Bazaar- A597</t>
  </si>
  <si>
    <t>Anand</t>
  </si>
  <si>
    <t>store_000663</t>
  </si>
  <si>
    <t>Croma-Ambernath-Kalyan Badlapur Road- A698</t>
  </si>
  <si>
    <t>store_000664</t>
  </si>
  <si>
    <t>Croma-Vadodara-Op Road- A223</t>
  </si>
  <si>
    <t>store_000665</t>
  </si>
  <si>
    <t>Croma-Mumbai-Powai- A493</t>
  </si>
  <si>
    <t>store_000666</t>
  </si>
  <si>
    <t>Croma -Navi Mumbai-Ulwe- A507</t>
  </si>
  <si>
    <t>store_000667</t>
  </si>
  <si>
    <t>Croma-Vadodara-Centre Square Mall- A015</t>
  </si>
  <si>
    <t>store_000668</t>
  </si>
  <si>
    <t>Croma-Anand-Vidyanagar Road- A201</t>
  </si>
  <si>
    <t>store_000669</t>
  </si>
  <si>
    <t>Croma-Mumbai-Breach Candy- A074</t>
  </si>
  <si>
    <t>store_000670</t>
  </si>
  <si>
    <t>Croma-Vadodara-Kareli Baug- A202</t>
  </si>
  <si>
    <t>store_000671</t>
  </si>
  <si>
    <t>Croma-Mumbai-Borivali East M G Road- A525</t>
  </si>
  <si>
    <t>store_000672</t>
  </si>
  <si>
    <t>Croma-Mumbai-Pmc Kurla Mall- A123</t>
  </si>
  <si>
    <t>store_000673</t>
  </si>
  <si>
    <t>Croma-Vadodara-Manjalpur- A499</t>
  </si>
  <si>
    <t>store_000674</t>
  </si>
  <si>
    <t>Croma-Godhra-Dahod Road- A655</t>
  </si>
  <si>
    <t>Godhra</t>
  </si>
  <si>
    <t>store_000675</t>
  </si>
  <si>
    <t>Croma-Bhavnagar-Sun Exotica- A165</t>
  </si>
  <si>
    <t>Bhavnagar</t>
  </si>
  <si>
    <t>store_000676</t>
  </si>
  <si>
    <t>Croma-Sanand-Vardhman Square- A462</t>
  </si>
  <si>
    <t>Sanand</t>
  </si>
  <si>
    <t>store_000677</t>
  </si>
  <si>
    <t>Croma-Gandhinagar-Sector 11- A246</t>
  </si>
  <si>
    <t>store_000678</t>
  </si>
  <si>
    <t>Croma-Jamnagar-Shreeji One- A166</t>
  </si>
  <si>
    <t>Jamnagar</t>
  </si>
  <si>
    <t>store_000679</t>
  </si>
  <si>
    <t>Croma-Vadodara-Nizampura- A302</t>
  </si>
  <si>
    <t>store_000680</t>
  </si>
  <si>
    <t>Croma-Mumbai-Nalasopara West- A478</t>
  </si>
  <si>
    <t>store_000681</t>
  </si>
  <si>
    <t>Croma-Thane-Dombivali East- A414</t>
  </si>
  <si>
    <t>store_000682</t>
  </si>
  <si>
    <t>Croma-Nadiad-Uttarsanda Road- A208</t>
  </si>
  <si>
    <t>Nadiad</t>
  </si>
  <si>
    <t>store_000683</t>
  </si>
  <si>
    <t>Croma-Gandhidham-Rt Road- A190</t>
  </si>
  <si>
    <t>Gandhidham</t>
  </si>
  <si>
    <t>store_000684</t>
  </si>
  <si>
    <t>Croma-Bharuch-Dahej Bypass Road- A210</t>
  </si>
  <si>
    <t>Bharuch</t>
  </si>
  <si>
    <t>store_000685</t>
  </si>
  <si>
    <t>Croma-Mumbai-Vile Parle East- A729</t>
  </si>
  <si>
    <t>store_000686</t>
  </si>
  <si>
    <t>Croma-Mumbai-Virar East- A480</t>
  </si>
  <si>
    <t>store_000687</t>
  </si>
  <si>
    <t>Croma-Ankleshwar-Apple Plaza- A416</t>
  </si>
  <si>
    <t>Ankleshwar</t>
  </si>
  <si>
    <t>store_000688</t>
  </si>
  <si>
    <t>Croma-Valsad-Dharampur Road- A248</t>
  </si>
  <si>
    <t>Valsad</t>
  </si>
  <si>
    <t>store_000689</t>
  </si>
  <si>
    <t>Croma-Palghar-Vasai West- A554</t>
  </si>
  <si>
    <t>store_000690</t>
  </si>
  <si>
    <t>Croma-Vadodara-Kothi Char Rasta- A523</t>
  </si>
  <si>
    <t>store_000691</t>
  </si>
  <si>
    <t>Croma-Navsari-Grid Road- A244</t>
  </si>
  <si>
    <t>Navsari</t>
  </si>
  <si>
    <t>store_000692</t>
  </si>
  <si>
    <t>Croma-Rajkot-Nana Mawa Chowk- A218</t>
  </si>
  <si>
    <t>store_000693</t>
  </si>
  <si>
    <t>Croma-Vapi-Gidc- A486</t>
  </si>
  <si>
    <t>store_000694</t>
  </si>
  <si>
    <t>Croma-Palghar-Kuldeep Nagar- A547</t>
  </si>
  <si>
    <t>store_000695</t>
  </si>
  <si>
    <t>Croma-Bhuj-Seven Sky Mall- A177</t>
  </si>
  <si>
    <t>Bhuj</t>
  </si>
  <si>
    <t>store_000696</t>
  </si>
  <si>
    <t>Croma-Mehsana-Modhera Circle- A231</t>
  </si>
  <si>
    <t>Mehsana</t>
  </si>
  <si>
    <t>store_000697</t>
  </si>
  <si>
    <t>Croma-Vadodara-Gotri- A333</t>
  </si>
  <si>
    <t>store_000698</t>
  </si>
  <si>
    <t>Croma-Palanpur-Delhi Highway- A249</t>
  </si>
  <si>
    <t>store_000699</t>
  </si>
  <si>
    <t>Croma-Surendranagar – Upasna Circle- A327</t>
  </si>
  <si>
    <t>Surendranagar</t>
  </si>
  <si>
    <t>store_000700</t>
  </si>
  <si>
    <t>Croma-Rajkot-Kuvadava Road- A386</t>
  </si>
  <si>
    <t>store_000701</t>
  </si>
  <si>
    <t>Croma-Bharuch-Tavra Road- A492</t>
  </si>
  <si>
    <t>store_000702</t>
  </si>
  <si>
    <t>Croma-Morbi-Sanala Road- A403</t>
  </si>
  <si>
    <t>Morbi</t>
  </si>
  <si>
    <t>store_000703</t>
  </si>
  <si>
    <t>Croma-Junagadh-Timbawadi Road- A200</t>
  </si>
  <si>
    <t>Junagadh</t>
  </si>
  <si>
    <t>store_000704</t>
  </si>
  <si>
    <t>Croma-Ulhasnagar-Central Hospital Road- A461</t>
  </si>
  <si>
    <t>store_000705</t>
  </si>
  <si>
    <t>Croma-Rajkot-Dr. Yagnik Road- A496</t>
  </si>
  <si>
    <t>store_000706</t>
  </si>
  <si>
    <t>Croma-Bardoli-Mota Road- A324</t>
  </si>
  <si>
    <t>Bardoli</t>
  </si>
  <si>
    <t>store_000707</t>
  </si>
  <si>
    <t>Croma-Porbandar-Jalaram Colony- A345</t>
  </si>
  <si>
    <t>Porbandar</t>
  </si>
  <si>
    <t>store_000708</t>
  </si>
  <si>
    <t>Croma-Palghar-Vasai East- A725</t>
  </si>
  <si>
    <t>store_000709</t>
  </si>
  <si>
    <t>Croma-Patan-Padmanabh Chokdi- A460</t>
  </si>
  <si>
    <t>Patan</t>
  </si>
  <si>
    <t>store_000710</t>
  </si>
  <si>
    <t>Croma-Amreli-Krushi Mall- A325</t>
  </si>
  <si>
    <t>Amreli</t>
  </si>
  <si>
    <t>store_000711</t>
  </si>
  <si>
    <t>Croma-Jamnagar-Lalpur Road- A528</t>
  </si>
  <si>
    <t>store_000712</t>
  </si>
  <si>
    <t>Croma-Chikhli-Thala- A530</t>
  </si>
  <si>
    <t>store_000713</t>
  </si>
  <si>
    <t>Croma-Himatnagar-Motipura Circle- A387</t>
  </si>
  <si>
    <t>Himatnagar</t>
  </si>
  <si>
    <t>store_000714</t>
  </si>
  <si>
    <t>Croma-Rajkot-Madhapar- A373</t>
  </si>
  <si>
    <t>store_000715</t>
  </si>
  <si>
    <t>Croma-Rajkot-Mavdi</t>
  </si>
  <si>
    <t>store_000716</t>
  </si>
  <si>
    <t>Inovana</t>
  </si>
  <si>
    <t>executive_00012, executive_00015, executive_00019</t>
  </si>
  <si>
    <t xml:space="preserve">Subhanshu Singh, Avneesh Mishra, Ashutosh Singh </t>
  </si>
  <si>
    <t>store_000717</t>
  </si>
  <si>
    <t>Bahadar Chand And Co</t>
  </si>
  <si>
    <t>store_000718</t>
  </si>
  <si>
    <t>M/S MANAS ELECTRONICS</t>
  </si>
  <si>
    <t>store_000719</t>
  </si>
  <si>
    <t>SHARMA AGENCIES</t>
  </si>
  <si>
    <t>store_000720</t>
  </si>
  <si>
    <t>AIR CARE</t>
  </si>
  <si>
    <t>brand_010, brand_003</t>
  </si>
  <si>
    <t>Havells, Hitachi</t>
  </si>
  <si>
    <t>C, C</t>
  </si>
  <si>
    <t>store_000721</t>
  </si>
  <si>
    <t>Bal Gift House</t>
  </si>
  <si>
    <t>store_000722</t>
  </si>
  <si>
    <t>BHASIN ENTERPRISES</t>
  </si>
  <si>
    <t>store_000723</t>
  </si>
  <si>
    <t>Bobby Electronics</t>
  </si>
  <si>
    <t>store_000724</t>
  </si>
  <si>
    <t>INITIATIVE DATA SYSTEMS</t>
  </si>
  <si>
    <t>store_000748</t>
  </si>
  <si>
    <t>VISHAL TRADERS</t>
  </si>
  <si>
    <t>store_000749</t>
  </si>
  <si>
    <t>GANPATI ELECTRO WORLD</t>
  </si>
  <si>
    <t>store_000750</t>
  </si>
  <si>
    <t>New Sweeton Electronics</t>
  </si>
  <si>
    <t>Nadia</t>
  </si>
  <si>
    <t>store_000751</t>
  </si>
  <si>
    <t>GOEL ELECTRONICS</t>
  </si>
  <si>
    <t>store_000752</t>
  </si>
  <si>
    <t>Gupta Electronics</t>
  </si>
  <si>
    <t>store_000756</t>
  </si>
  <si>
    <t>MALANCHA APPLIANCES</t>
  </si>
  <si>
    <t>store_000763</t>
  </si>
  <si>
    <t>MY ELECTRONICS</t>
  </si>
  <si>
    <t>store_000765</t>
  </si>
  <si>
    <t>KARUNAMOYEE COOLING CENTRE</t>
  </si>
  <si>
    <t>store_000791</t>
  </si>
  <si>
    <t>DIXIT ENTERPRISE</t>
  </si>
  <si>
    <t>executive_00007, executive_00006, executive_00031, executive_00030, executive_00027, executive_00026, executive_00046</t>
  </si>
  <si>
    <t>Ayush Joshi, Neeraj Kandwal, Bisma Nadeem, Avantika Gupta, Rohan Saxena, Sonal Kumar, Abhishek Kumar Singh</t>
  </si>
  <si>
    <t>store_000792</t>
  </si>
  <si>
    <t>MOHAN ELECTROVISION</t>
  </si>
  <si>
    <t>store_000794</t>
  </si>
  <si>
    <t>MOHIT ELECTROVISION</t>
  </si>
  <si>
    <t>store_000795</t>
  </si>
  <si>
    <t>Aggarwal Kiryana &amp; Communication</t>
  </si>
  <si>
    <t>store_000797</t>
  </si>
  <si>
    <t>Ms Fine Electronics</t>
  </si>
  <si>
    <t>Gurgaon</t>
  </si>
  <si>
    <t>executive_00007, executive_00006, executive_00031, executive_00030, executive_00027, executive_00026, executive_00043, executive_00046</t>
  </si>
  <si>
    <t>Ayush Joshi, Neeraj Kandwal, Bisma Nadeem, Avantika Gupta, Rohan Saxena, Sonal Kumar, Anirudh shankar, Abhishek Kumar Singh</t>
  </si>
  <si>
    <t>store_000798</t>
  </si>
  <si>
    <t>Isha Electrovision Pvt Ltd</t>
  </si>
  <si>
    <t>store_000800</t>
  </si>
  <si>
    <t>FINE ELECTRONICS</t>
  </si>
  <si>
    <t>A_PLUS, C</t>
  </si>
  <si>
    <t>executive_00007, executive_00006, executive_00031, executive_00030, executive_00027, executive_00026, executive_00046, executive_00002, executive_00043</t>
  </si>
  <si>
    <t>Ayush Joshi, Neeraj Kandwal, Bisma Nadeem, Avantika Gupta, Rohan Saxena, Sonal Kumar, Abhishek Kumar Singh, Kanishk Bhardwaj, Anirudh shankar</t>
  </si>
  <si>
    <t>store_000801</t>
  </si>
  <si>
    <t>ARMAN TELECOM</t>
  </si>
  <si>
    <t>store_000809</t>
  </si>
  <si>
    <t>Bansal Electronic And General Store</t>
  </si>
  <si>
    <t>executive_00007, executive_00006, executive_00031, executive_00030, executive_00027</t>
  </si>
  <si>
    <t>Ayush Joshi, Neeraj Kandwal, Bisma Nadeem, Avantika Gupta, Rohan Saxena</t>
  </si>
  <si>
    <t>store_000819</t>
  </si>
  <si>
    <t>GOELA ELECTRONICS</t>
  </si>
  <si>
    <t>Karnal</t>
  </si>
  <si>
    <t>store_000832</t>
  </si>
  <si>
    <t>VARDHMAN TELECOM</t>
  </si>
  <si>
    <t>executive_00006, executive_00031, executive_00030, executive_00007, executive_00027</t>
  </si>
  <si>
    <t>Neeraj Kandwal, Bisma Nadeem, Avantika Gupta, Ayush Joshi, Rohan Saxena</t>
  </si>
  <si>
    <t>store_000833</t>
  </si>
  <si>
    <t>MADAN ELECTRONICS</t>
  </si>
  <si>
    <t>store_000837</t>
  </si>
  <si>
    <t>MAHESH TRADING</t>
  </si>
  <si>
    <t>store_000847</t>
  </si>
  <si>
    <t>Jain Enterprises</t>
  </si>
  <si>
    <t>executive_00007, executive_00031, executive_00030, executive_00027, executive_00026, executive_00035, executive_00038, executive_00039, executive_00041, executive_00006, executive_00002</t>
  </si>
  <si>
    <t>Ayush Joshi, Bisma Nadeem, Avantika Gupta, Rohan Saxena, Sonal Kumar, Nishant Gaurav, Anurag Yadav, Sweety Suman, Kumari Nishav Mishra, Neeraj Kandwal, Kanishk Bhardwaj</t>
  </si>
  <si>
    <t>store_000852</t>
  </si>
  <si>
    <t>KUMAR ELECTRONICS</t>
  </si>
  <si>
    <t>executive_00007, executive_00031, executive_00030, executive_00027, executive_00026, executive_00035, executive_00038, executive_00039, executive_00041</t>
  </si>
  <si>
    <t>Ayush Joshi, Bisma Nadeem, Avantika Gupta, Rohan Saxena, Sonal Kumar, Nishant Gaurav, Anurag Yadav, Sweety Suman, Kumari Nishav Mishra</t>
  </si>
  <si>
    <t>store_000853</t>
  </si>
  <si>
    <t>Aarush Enterprises</t>
  </si>
  <si>
    <t>executive_00007, executive_00002, executive_00031, executive_00030, executive_00027, executive_00026, executive_00035, executive_00038, executive_00039, executive_00041</t>
  </si>
  <si>
    <t>Ayush Joshi, Kanishk Bhardwaj, Bisma Nadeem, Avantika Gupta, Rohan Saxena, Sonal Kumar, Nishant Gaurav, Anurag Yadav, Sweety Suman, Kumari Nishav Mishra</t>
  </si>
  <si>
    <t>store_000855</t>
  </si>
  <si>
    <t>SLG ELECTRONICS</t>
  </si>
  <si>
    <t>store_000856</t>
  </si>
  <si>
    <t>KUMAR ELECTRONICS INDIA ROHINI</t>
  </si>
  <si>
    <t>store_000857</t>
  </si>
  <si>
    <t>Cool Bird Engineers</t>
  </si>
  <si>
    <t>store_000858</t>
  </si>
  <si>
    <t>VARDHAAN INFRA SOLUTION</t>
  </si>
  <si>
    <t>store_000861</t>
  </si>
  <si>
    <t>Chawla Refrigeration Llp</t>
  </si>
  <si>
    <t>store_000862</t>
  </si>
  <si>
    <t>Harsh Electronics</t>
  </si>
  <si>
    <t>executive_00007, executive_00031, executive_00030, executive_00027, executive_00026, executive_00035, executive_00038, executive_00039, executive_00041, executive_00006</t>
  </si>
  <si>
    <t>Ayush Joshi, Bisma Nadeem, Avantika Gupta, Rohan Saxena, Sonal Kumar, Nishant Gaurav, Anurag Yadav, Sweety Suman, Kumari Nishav Mishra, Neeraj Kandwal</t>
  </si>
  <si>
    <t>store_000864</t>
  </si>
  <si>
    <t>Bharat Electronics</t>
  </si>
  <si>
    <t>store_000865</t>
  </si>
  <si>
    <t>Om Electronics And Electricals</t>
  </si>
  <si>
    <t>A, C</t>
  </si>
  <si>
    <t>executive_00007, executive_00002, executive_00031, executive_00030, executive_00027, executive_00026, executive_00035, executive_00038, executive_00039, executive_00041, executive_00006</t>
  </si>
  <si>
    <t>Ayush Joshi, Kanishk Bhardwaj, Bisma Nadeem, Avantika Gupta, Rohan Saxena, Sonal Kumar, Nishant Gaurav, Anurag Yadav, Sweety Suman, Kumari Nishav Mishra, Neeraj Kandwal</t>
  </si>
  <si>
    <t>store_000867</t>
  </si>
  <si>
    <t>WORLD VOICE RADIO</t>
  </si>
  <si>
    <t>store_000869</t>
  </si>
  <si>
    <t>Luxmi Sales</t>
  </si>
  <si>
    <t>store_000871</t>
  </si>
  <si>
    <t>Super Sales</t>
  </si>
  <si>
    <t>store_000872</t>
  </si>
  <si>
    <t>WALIA ELECTRONICS</t>
  </si>
  <si>
    <t>store_000873</t>
  </si>
  <si>
    <t>202 CRPF COBRA</t>
  </si>
  <si>
    <t>Bhubaneswar</t>
  </si>
  <si>
    <t>executive_00029, executive_00028, executive_00026</t>
  </si>
  <si>
    <t>Konika Khetan, Pratyush Kumar Mohapatra, Sonal Kumar</t>
  </si>
  <si>
    <t>store_000877</t>
  </si>
  <si>
    <t>AEROVISION</t>
  </si>
  <si>
    <t>store_000879</t>
  </si>
  <si>
    <t>PHONEX</t>
  </si>
  <si>
    <t>store_000880</t>
  </si>
  <si>
    <t>Raj Electronics</t>
  </si>
  <si>
    <t>store_000881</t>
  </si>
  <si>
    <t>Super Electronics</t>
  </si>
  <si>
    <t>brand_010, brand_003, brand_004</t>
  </si>
  <si>
    <t>Havells, Hitachi, Haier</t>
  </si>
  <si>
    <t xml:space="preserve">, , </t>
  </si>
  <si>
    <t>C, A, D</t>
  </si>
  <si>
    <t>executive_00007, executive_00031, executive_00030, executive_00027, executive_00026, executive_00035, executive_00038, executive_00039, executive_00041, executive_00006, executive_00025, executive_00037</t>
  </si>
  <si>
    <t>Ayush Joshi, Bisma Nadeem, Avantika Gupta, Rohan Saxena, Sonal Kumar, Nishant Gaurav, Anurag Yadav, Sweety Suman, Kumari Nishav Mishra, Neeraj Kandwal, Utkarsh Narnaware, Naman Kabra</t>
  </si>
  <si>
    <t>store_000885</t>
  </si>
  <si>
    <t>Mtk Electronic</t>
  </si>
  <si>
    <t>executive_00007, executive_00006, executive_00026, executive_00002, executive_00031, executive_00030, executive_00027, executive_00035, executive_00038, executive_00039, executive_00041</t>
  </si>
  <si>
    <t>Ayush Joshi, Neeraj Kandwal, Sonal Kumar, Kanishk Bhardwaj, Bisma Nadeem, Avantika Gupta, Rohan Saxena, Nishant Gaurav, Anurag Yadav, Sweety Suman, Kumari Nishav Mishra</t>
  </si>
  <si>
    <t>store_000886</t>
  </si>
  <si>
    <t>ELECTRONIC POINT</t>
  </si>
  <si>
    <t>store_000887</t>
  </si>
  <si>
    <t>SHIVAM ENTERPRISES</t>
  </si>
  <si>
    <t>store_000888</t>
  </si>
  <si>
    <t>Dabas Electronics</t>
  </si>
  <si>
    <t>store_000895</t>
  </si>
  <si>
    <t>Anand Electronics</t>
  </si>
  <si>
    <t>लिखने के तरीके (Casing) में अंतर वाले डुप्लीकेट्स (सभी 5 ग्रुप्स)</t>
  </si>
  <si>
    <t>B, C</t>
  </si>
  <si>
    <t>store_000896</t>
  </si>
  <si>
    <t>MOBINEX INVERTORS</t>
  </si>
  <si>
    <t>ये वो स्टोर्स हैं जो लिखने के तरीके में थोड़े अलग हैं लेकिन असल में एक ही स्टोर हैं:</t>
  </si>
  <si>
    <t>store_000897</t>
  </si>
  <si>
    <t>MI ENTERPRISES</t>
  </si>
  <si>
    <t>Store Name 1</t>
  </si>
  <si>
    <t>Store ID 1</t>
  </si>
  <si>
    <t>Store Name 2</t>
  </si>
  <si>
    <t>Store ID 2</t>
  </si>
  <si>
    <t>store_000900</t>
  </si>
  <si>
    <t>Rys Enterprises</t>
  </si>
  <si>
    <t>Sahu electronics</t>
  </si>
  <si>
    <t>store_003561</t>
  </si>
  <si>
    <t>Sahu Electronics</t>
  </si>
  <si>
    <t>store_004020</t>
  </si>
  <si>
    <t>Bareilly</t>
  </si>
  <si>
    <t>store_000901</t>
  </si>
  <si>
    <t>DEEPAK ELECTRONICS</t>
  </si>
  <si>
    <t>Fine Electronics</t>
  </si>
  <si>
    <t>store_004027</t>
  </si>
  <si>
    <t>store_000902</t>
  </si>
  <si>
    <t>SUPERTEK ELECTRONICS</t>
  </si>
  <si>
    <t>Cell World Nx (Govandi)</t>
  </si>
  <si>
    <t>store_003993</t>
  </si>
  <si>
    <t>Cell World NX (Govandi)</t>
  </si>
  <si>
    <t>store_007699</t>
  </si>
  <si>
    <t>store_000904</t>
  </si>
  <si>
    <t>RADHEY ENTERPRISES</t>
  </si>
  <si>
    <t>Slg Electronics</t>
  </si>
  <si>
    <t>store_004015</t>
  </si>
  <si>
    <t>store_000906</t>
  </si>
  <si>
    <t>Ambika Electronics</t>
  </si>
  <si>
    <t>RUNGTA ELECTRICALS</t>
  </si>
  <si>
    <t>store_002369</t>
  </si>
  <si>
    <t>Rungta Electricals</t>
  </si>
  <si>
    <t>store_004043</t>
  </si>
  <si>
    <t>store_000908</t>
  </si>
  <si>
    <t>Shiv Shakti Electronics</t>
  </si>
  <si>
    <t>2. बिल्कुल एक जैसे दिखने वाले डुप्लीकेट्स (शीर्ष 5 उदाहरण)</t>
  </si>
  <si>
    <t>store_000909</t>
  </si>
  <si>
    <t>AMAN ELECTRONICS</t>
  </si>
  <si>
    <t>ये बिल्कुल हूबहू मैच होने वाले डुप्लीकेट्स के कुछ प्रमुख उदाहरण हैं:</t>
  </si>
  <si>
    <t>store_000911</t>
  </si>
  <si>
    <t>SYAL ELECTRONICS</t>
  </si>
  <si>
    <t>store_000912</t>
  </si>
  <si>
    <t>PAL SAHAB ENTERPRISES</t>
  </si>
  <si>
    <t>store_004111</t>
  </si>
  <si>
    <t>store_000916</t>
  </si>
  <si>
    <t>Goyal Electronics</t>
  </si>
  <si>
    <t>K.G.N. Electronic Marketing (Dharavi)</t>
  </si>
  <si>
    <t>store_003995</t>
  </si>
  <si>
    <t>store_007695</t>
  </si>
  <si>
    <t>store_000917</t>
  </si>
  <si>
    <t>Archie Distributor</t>
  </si>
  <si>
    <t>Krishna Electronics</t>
  </si>
  <si>
    <t>store_004033</t>
  </si>
  <si>
    <t>store_006235</t>
  </si>
  <si>
    <t>Odisha</t>
  </si>
  <si>
    <t>store_000922</t>
  </si>
  <si>
    <t>Shree Jai Electronics</t>
  </si>
  <si>
    <t>New Berco Electronics</t>
  </si>
  <si>
    <t>store_003734</t>
  </si>
  <si>
    <t>store_004031</t>
  </si>
  <si>
    <t>store_000923</t>
  </si>
  <si>
    <t>VINAYAK ELECTRONICS</t>
  </si>
  <si>
    <t>Sai Enterprises</t>
  </si>
  <si>
    <t>Rupnagar</t>
  </si>
  <si>
    <t>store_004034</t>
  </si>
  <si>
    <t>store_006152</t>
  </si>
  <si>
    <t>store_000924</t>
  </si>
  <si>
    <t>ANIL ELECTRONICS BABARPUR</t>
  </si>
  <si>
    <t>store_000926</t>
  </si>
  <si>
    <t>SHARMA ENTERPRISES</t>
  </si>
  <si>
    <t>store_000927</t>
  </si>
  <si>
    <t>Khandelwal Communication</t>
  </si>
  <si>
    <t>store_000928</t>
  </si>
  <si>
    <t>MAYUR ELECTRONICS</t>
  </si>
  <si>
    <t>store_000930</t>
  </si>
  <si>
    <t>B.K. ELECTRONICS</t>
  </si>
  <si>
    <t>store_000931</t>
  </si>
  <si>
    <t>Garg Electrical</t>
  </si>
  <si>
    <t>store_000932</t>
  </si>
  <si>
    <t>GULATI ELECTRONICS</t>
  </si>
  <si>
    <t>store_000935</t>
  </si>
  <si>
    <t>BALAJI ELECTROMART</t>
  </si>
  <si>
    <t>executive_00007, executive_00027, executive_00031, executive_00030, executive_00026, executive_00035, executive_00038, executive_00039, executive_00041</t>
  </si>
  <si>
    <t>Ayush Joshi, Rohan Saxena, Bisma Nadeem, Avantika Gupta, Sonal Kumar, Nishant Gaurav, Anurag Yadav, Sweety Suman, Kumari Nishav Mishra</t>
  </si>
  <si>
    <t>store_000936</t>
  </si>
  <si>
    <t>RAZA ELECTRONICS</t>
  </si>
  <si>
    <t>executive_00007, executive_00031, executive_00030, executive_00002, executive_00027, executive_00026, executive_00035, executive_00038, executive_00039, executive_00041</t>
  </si>
  <si>
    <t>Ayush Joshi, Bisma Nadeem, Avantika Gupta, Kanishk Bhardwaj, Rohan Saxena, Sonal Kumar, Nishant Gaurav, Anurag Yadav, Sweety Suman, Kumari Nishav Mishra</t>
  </si>
  <si>
    <t>store_000939</t>
  </si>
  <si>
    <t>Neelkanth Services</t>
  </si>
  <si>
    <t>ASP</t>
  </si>
  <si>
    <t>Service Centre</t>
  </si>
  <si>
    <t>store_000941</t>
  </si>
  <si>
    <t>SM GADGET DEALS</t>
  </si>
  <si>
    <t>store_000943</t>
  </si>
  <si>
    <t>CHAUDHARY TRADERS</t>
  </si>
  <si>
    <t>store_000944</t>
  </si>
  <si>
    <t>Mahajan Electronics</t>
  </si>
  <si>
    <t>A_PLUS, B</t>
  </si>
  <si>
    <t>store_000945</t>
  </si>
  <si>
    <t>Rpg Electro</t>
  </si>
  <si>
    <t>store_000946</t>
  </si>
  <si>
    <t>BINAYAK ELECTRONICS</t>
  </si>
  <si>
    <t>store_000947</t>
  </si>
  <si>
    <t>Sanjay Electronics</t>
  </si>
  <si>
    <t>store_000948</t>
  </si>
  <si>
    <t>BIRAJA ELECTRICAL</t>
  </si>
  <si>
    <t>store_000949</t>
  </si>
  <si>
    <t>LADO ENTERPRISES</t>
  </si>
  <si>
    <t>store_000950</t>
  </si>
  <si>
    <t>Sangeeta</t>
  </si>
  <si>
    <t>store_000951</t>
  </si>
  <si>
    <t>SPH ENTERPRISES</t>
  </si>
  <si>
    <t>store_000952</t>
  </si>
  <si>
    <t>BHARTI TELEVISION</t>
  </si>
  <si>
    <t>store_000953</t>
  </si>
  <si>
    <t>VIMAL ELECTRIC</t>
  </si>
  <si>
    <t>store_000954</t>
  </si>
  <si>
    <t>BISWANATH ENTERPRISES</t>
  </si>
  <si>
    <t>store_000956</t>
  </si>
  <si>
    <t>Ark Enterprise</t>
  </si>
  <si>
    <t>store_000957</t>
  </si>
  <si>
    <t>Bsds Distributors</t>
  </si>
  <si>
    <t>store_000959</t>
  </si>
  <si>
    <t>THE SPICE HOTSPOT</t>
  </si>
  <si>
    <t>store_000960</t>
  </si>
  <si>
    <t>Chakradhari Retail</t>
  </si>
  <si>
    <t>store_001009</t>
  </si>
  <si>
    <t>Croma -Dehradun-Rajpur Road- A312</t>
  </si>
  <si>
    <t>Dehradun</t>
  </si>
  <si>
    <t>Uttarakhand</t>
  </si>
  <si>
    <t>executive_00020, executive_00007, executive_00031, executive_00030, executive_00027</t>
  </si>
  <si>
    <t>Suraj Kumar, Ayush Joshi, Bisma Nadeem, Avantika Gupta, Rohan Saxena</t>
  </si>
  <si>
    <t>store_001010</t>
  </si>
  <si>
    <t>Croma -Dehradun-Mall Of Dehradun- A674</t>
  </si>
  <si>
    <t>store_001011</t>
  </si>
  <si>
    <t>Croma -Haridwar-Ranipur Mod- A425</t>
  </si>
  <si>
    <t>Haridwar</t>
  </si>
  <si>
    <t>store_001012</t>
  </si>
  <si>
    <t>Croma -Dehradun-Chakrata Road- A577</t>
  </si>
  <si>
    <t>store_001013</t>
  </si>
  <si>
    <t>Croma -Dehradun-Saharanpur Road- A477</t>
  </si>
  <si>
    <t>store_001014</t>
  </si>
  <si>
    <t>Croma -Bhubaneswar-Janpath Road- A381</t>
  </si>
  <si>
    <t>executive_00021, executive_00028, executive_00029</t>
  </si>
  <si>
    <t>Geet Gunjan Sahoo, Pratyush Kumar Mohapatra, Konika Khetan</t>
  </si>
  <si>
    <t>store_001015</t>
  </si>
  <si>
    <t>Croma -Cuttack-College Square- A454</t>
  </si>
  <si>
    <t>Cuttack</t>
  </si>
  <si>
    <t>store_001016</t>
  </si>
  <si>
    <t>Croma -Bhubaneswar-Patia- A392</t>
  </si>
  <si>
    <t>store_001017</t>
  </si>
  <si>
    <t>Croma -Bhubaneswar-Lewis Road- A677</t>
  </si>
  <si>
    <t>store_001018</t>
  </si>
  <si>
    <t>Croma -Chhatrapati Sambhaji Nagar-Prozone Mall- A062</t>
  </si>
  <si>
    <t>Chhatrapati Sambhaji Nagar</t>
  </si>
  <si>
    <t>store_001019</t>
  </si>
  <si>
    <t>Croma -Nashik-Solitario- A108</t>
  </si>
  <si>
    <t>Nashik</t>
  </si>
  <si>
    <t>store_001020</t>
  </si>
  <si>
    <t>Croma -Baramati-Bhigwan Road- A184</t>
  </si>
  <si>
    <t>Baramati</t>
  </si>
  <si>
    <t>store_001021</t>
  </si>
  <si>
    <t>Croma -Chhatrapati Sambhaji Nagar-Waluj- A191</t>
  </si>
  <si>
    <t>store_001022</t>
  </si>
  <si>
    <t>Croma -Nashik-Nashik Road- A215</t>
  </si>
  <si>
    <t>store_001023</t>
  </si>
  <si>
    <t>Croma - Raipur-Vip Chowk- A219</t>
  </si>
  <si>
    <t>Raipur</t>
  </si>
  <si>
    <t>Chhattisgarh</t>
  </si>
  <si>
    <t>executive_00002, executive_00031, executive_00030, executive_00027</t>
  </si>
  <si>
    <t>Kanishk Bhardwaj, Bisma Nadeem, Avantika Gupta, Rohan Saxena</t>
  </si>
  <si>
    <t>store_001024</t>
  </si>
  <si>
    <t>Croma - Bilaspur-Srikant Verma Marg- A234</t>
  </si>
  <si>
    <t>Bilaspur</t>
  </si>
  <si>
    <t>store_001025</t>
  </si>
  <si>
    <t>Croma -Solapur-Murarji Peth- A243</t>
  </si>
  <si>
    <t>Solapur</t>
  </si>
  <si>
    <t>store_001026</t>
  </si>
  <si>
    <t>Croma -Latur-Ambejogai Road- A256</t>
  </si>
  <si>
    <t>Latur</t>
  </si>
  <si>
    <t>store_001027</t>
  </si>
  <si>
    <t>Croma -Amravati-Badnera Road- A262</t>
  </si>
  <si>
    <t>Amravati</t>
  </si>
  <si>
    <t>store_001028</t>
  </si>
  <si>
    <t>Croma - Bhilai-Supela- A278</t>
  </si>
  <si>
    <t>Bhilai</t>
  </si>
  <si>
    <t>store_001029</t>
  </si>
  <si>
    <t>Croma -Akola-Kirti Nagar- A304</t>
  </si>
  <si>
    <t>Akola</t>
  </si>
  <si>
    <t>store_001030</t>
  </si>
  <si>
    <t>Croma -Ahmednagar-Kohinoor Mall- A314</t>
  </si>
  <si>
    <t>Ahmednagar</t>
  </si>
  <si>
    <t>store_001031</t>
  </si>
  <si>
    <t>Croma -Nashik-Pathardi Phata- A341</t>
  </si>
  <si>
    <t>store_001032</t>
  </si>
  <si>
    <t>Croma - Raipur-Ge Road- A350</t>
  </si>
  <si>
    <t>store_001033</t>
  </si>
  <si>
    <t>Croma -Chandrapur-Nagpur Road- A352</t>
  </si>
  <si>
    <t>Chandrapur</t>
  </si>
  <si>
    <t>store_001034</t>
  </si>
  <si>
    <t>Croma -Nagpur-Wardha Road- A354</t>
  </si>
  <si>
    <t>Nagpur</t>
  </si>
  <si>
    <t>store_001035</t>
  </si>
  <si>
    <t>Croma -Jalna-Old Mondha- A413</t>
  </si>
  <si>
    <t>Jalna</t>
  </si>
  <si>
    <t>store_001036</t>
  </si>
  <si>
    <t>Croma - Rajnandgaon-Basantpur Road- A441</t>
  </si>
  <si>
    <t>Rajnandgaon</t>
  </si>
  <si>
    <t>store_001037</t>
  </si>
  <si>
    <t>Croma -Ichalkranjii-Fortune Plaza Ii- A444</t>
  </si>
  <si>
    <t>Ichalkranjii</t>
  </si>
  <si>
    <t>store_001038</t>
  </si>
  <si>
    <t>Croma -Solapur-Hotgi Road- A458</t>
  </si>
  <si>
    <t>store_001039</t>
  </si>
  <si>
    <t>Croma -Miraj-Vantmure Corner- A466</t>
  </si>
  <si>
    <t>Miraj</t>
  </si>
  <si>
    <t>store_001040</t>
  </si>
  <si>
    <t>Croma -Chhatrapati Sambhaji Nagar-Jalna Road- A469</t>
  </si>
  <si>
    <t>store_001041</t>
  </si>
  <si>
    <t>Croma -Beed-Shivaji Maharaj Chowk- A479</t>
  </si>
  <si>
    <t>Beed</t>
  </si>
  <si>
    <t>store_001042</t>
  </si>
  <si>
    <t>Croma -Nashik-Dindori Road- A488</t>
  </si>
  <si>
    <t>store_001043</t>
  </si>
  <si>
    <t>Croma -Nashik-Gangapur Road- A491</t>
  </si>
  <si>
    <t>store_001044</t>
  </si>
  <si>
    <t>Croma - Raipur-Bhatagaon- A501</t>
  </si>
  <si>
    <t>store_001045</t>
  </si>
  <si>
    <t>Croma -Durg-Station Road- A519</t>
  </si>
  <si>
    <t>Durg</t>
  </si>
  <si>
    <t>store_001046</t>
  </si>
  <si>
    <t>Croma -Korba-Transport Nagar- A531</t>
  </si>
  <si>
    <t>Korba</t>
  </si>
  <si>
    <t>store_001047</t>
  </si>
  <si>
    <t>Croma -Nagpur-Manish Nagar- A559</t>
  </si>
  <si>
    <t>store_001048</t>
  </si>
  <si>
    <t>Croma -Nanded-Iti Road- A566</t>
  </si>
  <si>
    <t>Nanded</t>
  </si>
  <si>
    <t>store_001049</t>
  </si>
  <si>
    <t>Croma -Nagpur-Ganeshpeth- A568</t>
  </si>
  <si>
    <t>store_001051</t>
  </si>
  <si>
    <t>Croma - Bilaspur-Sarkanada- A579</t>
  </si>
  <si>
    <t>store_001052</t>
  </si>
  <si>
    <t>Croma -Ratnagiri-Arihant Mall- A582</t>
  </si>
  <si>
    <t>Ratnagiri</t>
  </si>
  <si>
    <t>store_001053</t>
  </si>
  <si>
    <t>Croma -Sangamner-College Road- A601</t>
  </si>
  <si>
    <t>Sangamner</t>
  </si>
  <si>
    <t>store_001054</t>
  </si>
  <si>
    <t>Croma -Nashik-Govind Nagar- A610</t>
  </si>
  <si>
    <t>store_001055</t>
  </si>
  <si>
    <t>Croma -Machilipatnam-Ramanaidupet- A629</t>
  </si>
  <si>
    <t>Machilipatnam</t>
  </si>
  <si>
    <t>executive_00023</t>
  </si>
  <si>
    <t>Amin Ul Raheman</t>
  </si>
  <si>
    <t>store_001056</t>
  </si>
  <si>
    <t>Croma -Erode-Perundurai Road- A631</t>
  </si>
  <si>
    <t>Erode</t>
  </si>
  <si>
    <t>store_001057</t>
  </si>
  <si>
    <t>Croma -Chennai-Tambaram West- A647</t>
  </si>
  <si>
    <t>store_001058</t>
  </si>
  <si>
    <t>Croma -Sangli-Ram Mandir Chowk- A692</t>
  </si>
  <si>
    <t>Sangli</t>
  </si>
  <si>
    <t>store_001059</t>
  </si>
  <si>
    <t>Croma -Shahad-Kalyan Ahmednagar Highway</t>
  </si>
  <si>
    <t>Shahad</t>
  </si>
  <si>
    <t>store_001060</t>
  </si>
  <si>
    <t>Croma -Ranchi-Kanke Road- A713</t>
  </si>
  <si>
    <t>Ranchi</t>
  </si>
  <si>
    <t>executive_00016</t>
  </si>
  <si>
    <t>Sanjay Sonkar</t>
  </si>
  <si>
    <t>store_001061</t>
  </si>
  <si>
    <t>Croma -Kolhapur -Station Road</t>
  </si>
  <si>
    <t>Kolhapur</t>
  </si>
  <si>
    <t>store_001062</t>
  </si>
  <si>
    <t>Croma -Chhatrapati Sambhaji Nagar-Beed Bypass Road- A716</t>
  </si>
  <si>
    <t>store_001063</t>
  </si>
  <si>
    <t>Croma - Raipur-Pandri- A723</t>
  </si>
  <si>
    <t>store_001064</t>
  </si>
  <si>
    <t>Croma -Thane-Teen Hath Naka- A728</t>
  </si>
  <si>
    <t>store_001065</t>
  </si>
  <si>
    <t>Croma -Delhi-Airport Terminal 1 D- A733</t>
  </si>
  <si>
    <t>store_001066</t>
  </si>
  <si>
    <t>Croma -Guwahati ? Lokhara- A735</t>
  </si>
  <si>
    <t>store_001067</t>
  </si>
  <si>
    <t>Croma -Ghaziabad-Ambedkar Road- A738</t>
  </si>
  <si>
    <t>executive_00002, executive_00027, executive_00031, executive_00030, executive_00026, executive_00043</t>
  </si>
  <si>
    <t>Kanishk Bhardwaj, Rohan Saxena, Bisma Nadeem, Avantika Gupta, Sonal Kumar, Anirudh shankar</t>
  </si>
  <si>
    <t>store_001068</t>
  </si>
  <si>
    <t>LULU DIGITAL</t>
  </si>
  <si>
    <t>North And Middle Andaman</t>
  </si>
  <si>
    <t>brand_001</t>
  </si>
  <si>
    <t>Godrej</t>
  </si>
  <si>
    <t>store_001072</t>
  </si>
  <si>
    <t>SS DIGITAL ZONE</t>
  </si>
  <si>
    <t>Hooghly</t>
  </si>
  <si>
    <t>store_001076</t>
  </si>
  <si>
    <t>GANGA ELECTRONICS</t>
  </si>
  <si>
    <t>store_001077</t>
  </si>
  <si>
    <t>Mittal Electronics</t>
  </si>
  <si>
    <t>store_001078</t>
  </si>
  <si>
    <t>Padma Enterprise</t>
  </si>
  <si>
    <t>store_001080</t>
  </si>
  <si>
    <t>UMA ENTERPRISE</t>
  </si>
  <si>
    <t>Howrah</t>
  </si>
  <si>
    <t>store_001081</t>
  </si>
  <si>
    <t>SALKIA RADIO</t>
  </si>
  <si>
    <t>store_001083</t>
  </si>
  <si>
    <t>PRINCE ELECTRONICS</t>
  </si>
  <si>
    <t>store_001085</t>
  </si>
  <si>
    <t>ROLTRONEX GALLERY</t>
  </si>
  <si>
    <t>store_001086</t>
  </si>
  <si>
    <t>MATRI ELECTRONICS</t>
  </si>
  <si>
    <t>store_001087</t>
  </si>
  <si>
    <t>MIRA TELECOM</t>
  </si>
  <si>
    <t>store_001088</t>
  </si>
  <si>
    <t>RANA DIGITAL</t>
  </si>
  <si>
    <t>store_001106</t>
  </si>
  <si>
    <t>Denco electronics Godrej</t>
  </si>
  <si>
    <t>executive_00006, executive_00031, executive_00030, executive_00027, executive_00026, executive_00039, executive_00041</t>
  </si>
  <si>
    <t>Neeraj Kandwal, Bisma Nadeem, Avantika Gupta, Rohan Saxena, Sonal Kumar, Sweety Suman, Kumari Nishav Mishra</t>
  </si>
  <si>
    <t>store_001109</t>
  </si>
  <si>
    <t>Balaji Digital World Godrej</t>
  </si>
  <si>
    <t>store_001110</t>
  </si>
  <si>
    <t>Lassi Trading Dombivili Godrej</t>
  </si>
  <si>
    <t>executive_00004, executive_00040</t>
  </si>
  <si>
    <t>Soham Patil, Swetabh Srivastava</t>
  </si>
  <si>
    <t>store_001113</t>
  </si>
  <si>
    <t>Uni Pvr Disributors (Budh Vihar)</t>
  </si>
  <si>
    <t>store_001116</t>
  </si>
  <si>
    <t>Ambey Electronic and Electrical PBO Godrej</t>
  </si>
  <si>
    <t>Gautam Buddha Nagar</t>
  </si>
  <si>
    <t>executive_00002, executive_00031, executive_00030, executive_00027, executive_00026</t>
  </si>
  <si>
    <t>Kanishk Bhardwaj, Bisma Nadeem, Avantika Gupta, Rohan Saxena, Sonal Kumar</t>
  </si>
  <si>
    <t>store_001121</t>
  </si>
  <si>
    <t>Kaushik Electronics and Furniture and Mobile House Godrej</t>
  </si>
  <si>
    <t>store_001123</t>
  </si>
  <si>
    <t>Rys (Kanti Nagar)</t>
  </si>
  <si>
    <t>store_001124</t>
  </si>
  <si>
    <t>Cool Care Airconditioning Godrej</t>
  </si>
  <si>
    <t>store_001127</t>
  </si>
  <si>
    <t>sangam electronics Godrej</t>
  </si>
  <si>
    <t>executive_00006, executive_00031, executive_00030, executive_00027, executive_00007, executive_00026, executive_00043, executive_00046</t>
  </si>
  <si>
    <t>Neeraj Kandwal, Bisma Nadeem, Avantika Gupta, Rohan Saxena, Ayush Joshi, Sonal Kumar, Anirudh shankar, Abhishek Kumar Singh</t>
  </si>
  <si>
    <t>store_001129</t>
  </si>
  <si>
    <t>Glowfast Electronics Godrej</t>
  </si>
  <si>
    <t>executive_00002, executive_00031, executive_00030, executive_00027, executive_00026, executive_00043</t>
  </si>
  <si>
    <t>Kanishk Bhardwaj, Bisma Nadeem, Avantika Gupta, Rohan Saxena, Sonal Kumar, Anirudh shankar</t>
  </si>
  <si>
    <t>store_001131</t>
  </si>
  <si>
    <t>Rama Shoppee Godrej</t>
  </si>
  <si>
    <t>store_001133</t>
  </si>
  <si>
    <t>Mix Mobile Godrej</t>
  </si>
  <si>
    <t>store_001138</t>
  </si>
  <si>
    <t>RYS Ent Durgapuri Godrej</t>
  </si>
  <si>
    <t>executive_00006, executive_00026, executive_00031, executive_00030, executive_00027, executive_00039, executive_00041</t>
  </si>
  <si>
    <t>Neeraj Kandwal, Sonal Kumar, Bisma Nadeem, Avantika Gupta, Rohan Saxena, Sweety Suman, Kumari Nishav Mishra</t>
  </si>
  <si>
    <t>store_001139</t>
  </si>
  <si>
    <t>Golden Electronics Godrej</t>
  </si>
  <si>
    <t>executive_00015, executive_00019</t>
  </si>
  <si>
    <t xml:space="preserve">Avneesh Mishra, Ashutosh Singh </t>
  </si>
  <si>
    <t>store_001141</t>
  </si>
  <si>
    <t>UNI Harisharan and Sons Godrej</t>
  </si>
  <si>
    <t>store_001149</t>
  </si>
  <si>
    <t>Globe Enterprises Godrej</t>
  </si>
  <si>
    <t>store_001152</t>
  </si>
  <si>
    <t>Kirti Electroworld PBO Godrej</t>
  </si>
  <si>
    <t>store_001161</t>
  </si>
  <si>
    <t>Star Enterprises</t>
  </si>
  <si>
    <t>store_001165</t>
  </si>
  <si>
    <t>RakeshDabas Electronics Bawana Godrej</t>
  </si>
  <si>
    <t>store_001170</t>
  </si>
  <si>
    <t>Kataria Sales Corp Godrej</t>
  </si>
  <si>
    <t>store_001186</t>
  </si>
  <si>
    <t>Uni Electronics Narela Godrej</t>
  </si>
  <si>
    <t>store_001188</t>
  </si>
  <si>
    <t>Anisha TV Corner Godrej</t>
  </si>
  <si>
    <t>store_001193</t>
  </si>
  <si>
    <t>Krishna Electronics Godrej</t>
  </si>
  <si>
    <t>store_001208</t>
  </si>
  <si>
    <t>Haryana TV Centre Godrej</t>
  </si>
  <si>
    <t>store_001221</t>
  </si>
  <si>
    <t>Sahu Agency Godrej</t>
  </si>
  <si>
    <t>store_001223</t>
  </si>
  <si>
    <t>Hindustan Distributor Godrej</t>
  </si>
  <si>
    <t>store_001255</t>
  </si>
  <si>
    <t>Lakshmi grace enterprises Godrej</t>
  </si>
  <si>
    <t>store_001270</t>
  </si>
  <si>
    <t>Khushi Electronics PBO Godrej</t>
  </si>
  <si>
    <t>store_001271</t>
  </si>
  <si>
    <t>Deepti Electronics Godrej</t>
  </si>
  <si>
    <t>store_001320</t>
  </si>
  <si>
    <t>kavita electronics Bawana Godrej</t>
  </si>
  <si>
    <t>executive_00031, executive_00030, executive_00006, executive_00027, executive_00026, executive_00039, executive_00041</t>
  </si>
  <si>
    <t>Bisma Nadeem, Avantika Gupta, Neeraj Kandwal, Rohan Saxena, Sonal Kumar, Sweety Suman, Kumari Nishav Mishra</t>
  </si>
  <si>
    <t>store_001327</t>
  </si>
  <si>
    <t>Blue Gagan Enterprises</t>
  </si>
  <si>
    <t>executive_00029, executive_00028</t>
  </si>
  <si>
    <t>Konika Khetan, Pratyush Kumar Mohapatra</t>
  </si>
  <si>
    <t>store_001328</t>
  </si>
  <si>
    <t>Nanak Services</t>
  </si>
  <si>
    <t>store_001329</t>
  </si>
  <si>
    <t>ASP - A S Services</t>
  </si>
  <si>
    <t>store_001330</t>
  </si>
  <si>
    <t>ASP - D K Enterprises</t>
  </si>
  <si>
    <t>store_001332</t>
  </si>
  <si>
    <t>ASP - Next Gen Services</t>
  </si>
  <si>
    <t>store_001333</t>
  </si>
  <si>
    <t>Alliance Solutions</t>
  </si>
  <si>
    <t>store_001335</t>
  </si>
  <si>
    <t>Handa Refrigeration</t>
  </si>
  <si>
    <t>store_001336</t>
  </si>
  <si>
    <t>Royal Refrigeration</t>
  </si>
  <si>
    <t>store_001339</t>
  </si>
  <si>
    <t>ASP - MS Arth Enterprises</t>
  </si>
  <si>
    <t>store_001340</t>
  </si>
  <si>
    <t>ASP - United Home Care</t>
  </si>
  <si>
    <t>store_001341</t>
  </si>
  <si>
    <t>Ms Atharva Sales And Services</t>
  </si>
  <si>
    <t>executive_00018, executive_00045</t>
  </si>
  <si>
    <t>Rushikesh Sarode, Jatin Hegde</t>
  </si>
  <si>
    <t>store_001344</t>
  </si>
  <si>
    <t>Infiniti Sales And Services</t>
  </si>
  <si>
    <t>store_001345</t>
  </si>
  <si>
    <t>ASP - E zone Services</t>
  </si>
  <si>
    <t>store_001346</t>
  </si>
  <si>
    <t>Shaurya Aircon</t>
  </si>
  <si>
    <t>store_001348</t>
  </si>
  <si>
    <t>ASP - smart service</t>
  </si>
  <si>
    <t>store_001350</t>
  </si>
  <si>
    <t>Roy Services</t>
  </si>
  <si>
    <t>executive_00016, executive_00032, executive_00042</t>
  </si>
  <si>
    <t>Sanjay Sonkar, Ankan Das, Megha Mondal</t>
  </si>
  <si>
    <t>store_001351</t>
  </si>
  <si>
    <t>Star Service</t>
  </si>
  <si>
    <t>store_001353</t>
  </si>
  <si>
    <t>M S Rita Refrigeration Works</t>
  </si>
  <si>
    <t>store_001354</t>
  </si>
  <si>
    <t>M S Shree Services</t>
  </si>
  <si>
    <t>store_001355</t>
  </si>
  <si>
    <t>Hamdan Aircon</t>
  </si>
  <si>
    <t>store_001359</t>
  </si>
  <si>
    <t>ASP - S k enterprises</t>
  </si>
  <si>
    <t>store_001360</t>
  </si>
  <si>
    <t>Alpha Enterprises</t>
  </si>
  <si>
    <t>executive_00031, executive_00030, executive_00007, executive_00027, executive_00026, executive_00035, executive_00038, executive_00039, executive_00041</t>
  </si>
  <si>
    <t>Bisma Nadeem, Avantika Gupta, Ayush Joshi, Rohan Saxena, Sonal Kumar, Nishant Gaurav, Anurag Yadav, Sweety Suman, Kumari Nishav Mishra</t>
  </si>
  <si>
    <t>store_001362</t>
  </si>
  <si>
    <t>ASP - HI TECH SERVICE</t>
  </si>
  <si>
    <t>store_001363</t>
  </si>
  <si>
    <t>ASP - PAUL AND COMPANY</t>
  </si>
  <si>
    <t>store_001366</t>
  </si>
  <si>
    <t>Cnb Enterprises</t>
  </si>
  <si>
    <t>store_001367</t>
  </si>
  <si>
    <t>ASP - SMART REFRIGERATION</t>
  </si>
  <si>
    <t>store_001369</t>
  </si>
  <si>
    <t>M S S R Innovation</t>
  </si>
  <si>
    <t>store_001370</t>
  </si>
  <si>
    <t>ASP - COOLING POWER</t>
  </si>
  <si>
    <t>store_001371</t>
  </si>
  <si>
    <t>Sai Air Cool</t>
  </si>
  <si>
    <t>store_001372</t>
  </si>
  <si>
    <t>M S Creative Cool</t>
  </si>
  <si>
    <t>store_001374</t>
  </si>
  <si>
    <t>M S E Bug India Private Limited</t>
  </si>
  <si>
    <t>store_001375</t>
  </si>
  <si>
    <t>ASP - M S RACHANA ELECTRIC AND REFRIGERATION</t>
  </si>
  <si>
    <t>store_001376</t>
  </si>
  <si>
    <t>ASP - MS PHOENIX ENTERPRISES</t>
  </si>
  <si>
    <t>store_001378</t>
  </si>
  <si>
    <t>ASP - JJ ASSOCIATES</t>
  </si>
  <si>
    <t>Cochin</t>
  </si>
  <si>
    <t>store_001379</t>
  </si>
  <si>
    <t>ASP - M S IDEAL</t>
  </si>
  <si>
    <t>store_001381</t>
  </si>
  <si>
    <t>Maxxon</t>
  </si>
  <si>
    <t>store_001386</t>
  </si>
  <si>
    <t>M S Viva Services And Solutions</t>
  </si>
  <si>
    <t>store_001387</t>
  </si>
  <si>
    <t>Isha Enterprises</t>
  </si>
  <si>
    <t>executive_00025, executive_00037, executive_00040</t>
  </si>
  <si>
    <t>Utkarsh Narnaware, Naman Kabra, Swetabh Srivastava</t>
  </si>
  <si>
    <t>store_001392</t>
  </si>
  <si>
    <t>M S Elite Services</t>
  </si>
  <si>
    <t>store_001393</t>
  </si>
  <si>
    <t>Dolphin Services</t>
  </si>
  <si>
    <t>store_001396</t>
  </si>
  <si>
    <t>M S Smart Services</t>
  </si>
  <si>
    <t>store_001398</t>
  </si>
  <si>
    <t>ASP - M S SHREE RAM ENGINEERING</t>
  </si>
  <si>
    <t>store_001404</t>
  </si>
  <si>
    <t>ASP - M S ICEBERG SERVICES</t>
  </si>
  <si>
    <t>store_001408</t>
  </si>
  <si>
    <t>ASP - MS ICON ENTERPRISES</t>
  </si>
  <si>
    <t>store_001409</t>
  </si>
  <si>
    <t>M S Midas Services</t>
  </si>
  <si>
    <t>store_001411</t>
  </si>
  <si>
    <t>Shiv Enterprises</t>
  </si>
  <si>
    <t>executive_00006, executive_00031, executive_00030, executive_00027, executive_00026, executive_00046</t>
  </si>
  <si>
    <t>Neeraj Kandwal, Bisma Nadeem, Avantika Gupta, Rohan Saxena, Sonal Kumar, Abhishek Kumar Singh</t>
  </si>
  <si>
    <t>store_001412</t>
  </si>
  <si>
    <t>ASP - M S LEON AIRCON</t>
  </si>
  <si>
    <t>store_001413</t>
  </si>
  <si>
    <t>Perfect Service And Spare</t>
  </si>
  <si>
    <t>store_001415</t>
  </si>
  <si>
    <t>Servotex Service</t>
  </si>
  <si>
    <t>executive_00002, executive_00031, executive_00030, executive_00027, executive_00026, executive_00043, executive_00044</t>
  </si>
  <si>
    <t>Kanishk Bhardwaj, Bisma Nadeem, Avantika Gupta, Rohan Saxena, Sonal Kumar, Anirudh shankar, Priyanshu Prafulbhai Gohel</t>
  </si>
  <si>
    <t>store_001436</t>
  </si>
  <si>
    <t>Rdv Group</t>
  </si>
  <si>
    <t>store_001439</t>
  </si>
  <si>
    <t>Sgr Enterprises</t>
  </si>
  <si>
    <t>store_001440</t>
  </si>
  <si>
    <t>M S Kasotiya Services Center</t>
  </si>
  <si>
    <t>store_001442</t>
  </si>
  <si>
    <t>Shivashakthi Enterprises</t>
  </si>
  <si>
    <t>store_001443</t>
  </si>
  <si>
    <t>Maria Refrigeration</t>
  </si>
  <si>
    <t>store_001444</t>
  </si>
  <si>
    <t>ASP - M S SIVASENTHURAN ENGINEERING</t>
  </si>
  <si>
    <t>store_001450</t>
  </si>
  <si>
    <t>ASP - M S RAGHUVANSHI ENTERPRISES</t>
  </si>
  <si>
    <t>store_001452</t>
  </si>
  <si>
    <t>Dio Enterprises</t>
  </si>
  <si>
    <t>store_001454</t>
  </si>
  <si>
    <t>Trade Max Refrrgeation</t>
  </si>
  <si>
    <t>store_001476</t>
  </si>
  <si>
    <t>Classic Airconditioning</t>
  </si>
  <si>
    <t>store_001477</t>
  </si>
  <si>
    <t>M S Sri Ayyappa Enterprises</t>
  </si>
  <si>
    <t>store_001489</t>
  </si>
  <si>
    <t>ASP - RELIABLE SERVICE CENTER</t>
  </si>
  <si>
    <t>store_001509</t>
  </si>
  <si>
    <t>ASP - M S NIGEL ENGINEERING</t>
  </si>
  <si>
    <t>store_001516</t>
  </si>
  <si>
    <t>Kooltech Refrigertion</t>
  </si>
  <si>
    <t>store_001517</t>
  </si>
  <si>
    <t>Vanisha Cooltech System</t>
  </si>
  <si>
    <t>store_001536</t>
  </si>
  <si>
    <t>Shree Enterprises</t>
  </si>
  <si>
    <t>store_001551</t>
  </si>
  <si>
    <t>ASP - M S GREENCITY AIRCON</t>
  </si>
  <si>
    <t>store_001555</t>
  </si>
  <si>
    <t>ASP - M S THREE STAR SERVICE</t>
  </si>
  <si>
    <t>store_001562</t>
  </si>
  <si>
    <t>Vp Ventures</t>
  </si>
  <si>
    <t>store_001567</t>
  </si>
  <si>
    <t>Lakshay Enterprise</t>
  </si>
  <si>
    <t>store_001568</t>
  </si>
  <si>
    <t>ASP - POWER COOL ENGINEERING WORKS</t>
  </si>
  <si>
    <t>store_001583</t>
  </si>
  <si>
    <t>M S Home Care Service</t>
  </si>
  <si>
    <t>Ernakulam</t>
  </si>
  <si>
    <t>store_001598</t>
  </si>
  <si>
    <t>Shree Krupa</t>
  </si>
  <si>
    <t>store_001599</t>
  </si>
  <si>
    <t>Vasanth &amp; Co MANALI - 1129</t>
  </si>
  <si>
    <t>store_001600</t>
  </si>
  <si>
    <t>Vasanth &amp; Co THIRUVOTTIYUR - 1130</t>
  </si>
  <si>
    <t>store_001601</t>
  </si>
  <si>
    <t>Vasanth &amp; Co ROYAPURAM - (1105)</t>
  </si>
  <si>
    <t>store_001602</t>
  </si>
  <si>
    <t>Vasanth &amp; Co COIMBATORE-3 - (1209)</t>
  </si>
  <si>
    <t>store_001603</t>
  </si>
  <si>
    <t>Vasanth &amp; Co WASHERMENPET - (1106)</t>
  </si>
  <si>
    <t>store_001604</t>
  </si>
  <si>
    <t>Vasanth &amp; Co PATTUKOTTAI - (1401)</t>
  </si>
  <si>
    <t>Thanjavur</t>
  </si>
  <si>
    <t>store_001605</t>
  </si>
  <si>
    <t>Vasanth &amp; Co PUDUKOTTAI - (1403)</t>
  </si>
  <si>
    <t>Pudukkottai</t>
  </si>
  <si>
    <t>store_001606</t>
  </si>
  <si>
    <t>Vasanth &amp; Co PERAMBALUR (1406)</t>
  </si>
  <si>
    <t>Perambalur</t>
  </si>
  <si>
    <t>store_001607</t>
  </si>
  <si>
    <t>Vasanth &amp; Co PADI-2 (1128)</t>
  </si>
  <si>
    <t>store_001608</t>
  </si>
  <si>
    <t>Vasanth &amp; Co THENI - (1313)</t>
  </si>
  <si>
    <t>Theni</t>
  </si>
  <si>
    <t>store_001609</t>
  </si>
  <si>
    <t>Vasanth &amp; Co AARANI - 1509</t>
  </si>
  <si>
    <t>Thiruvannamalai</t>
  </si>
  <si>
    <t>store_001610</t>
  </si>
  <si>
    <t>Vasanth &amp; Co KALLAKURICHI - 1512</t>
  </si>
  <si>
    <t>Viluppuram</t>
  </si>
  <si>
    <t>store_001611</t>
  </si>
  <si>
    <t>Vasanth &amp; Co VIRUDHACHALAM - 1511</t>
  </si>
  <si>
    <t>Cuddalore</t>
  </si>
  <si>
    <t>store_001612</t>
  </si>
  <si>
    <t>Vasanth &amp; Co PURASAIWALKAM-2 (1121)</t>
  </si>
  <si>
    <t>store_001613</t>
  </si>
  <si>
    <t>Vasanth &amp; Co REDHILLS - 1125</t>
  </si>
  <si>
    <t>store_001614</t>
  </si>
  <si>
    <t>Vasanth &amp; Co KUMBAKONAM - (1404)</t>
  </si>
  <si>
    <t>store_001615</t>
  </si>
  <si>
    <t>Vasanth &amp; Co THIRUVANNAMALAI - (1521)</t>
  </si>
  <si>
    <t>Tiruvannamalai</t>
  </si>
  <si>
    <t>store_001616</t>
  </si>
  <si>
    <t>Vasanth &amp; Co GUMMIDIPOONDI - 1518</t>
  </si>
  <si>
    <t>Thiruvallur</t>
  </si>
  <si>
    <t>store_001617</t>
  </si>
  <si>
    <t>Vasanth &amp; Co ULLAGARAM - (1116)</t>
  </si>
  <si>
    <t>store_001618</t>
  </si>
  <si>
    <t>Vasanth &amp; Co CHIDAMBARAM - (1502)</t>
  </si>
  <si>
    <t>store_001619</t>
  </si>
  <si>
    <t>Vasanth &amp; Co TRICHY - (1400)</t>
  </si>
  <si>
    <t>store_001620</t>
  </si>
  <si>
    <t>Vasanth &amp; Co ARUPPUKOTTAI - 1322</t>
  </si>
  <si>
    <t>Virudhunagar</t>
  </si>
  <si>
    <t>store_001621</t>
  </si>
  <si>
    <t>Vasanth &amp; Co VALLIYOOR (1319)</t>
  </si>
  <si>
    <t>Tirunelveli</t>
  </si>
  <si>
    <t>store_001622</t>
  </si>
  <si>
    <t>Vasanth &amp; Co PALAYAMKOTTAI - (1302)</t>
  </si>
  <si>
    <t>store_001623</t>
  </si>
  <si>
    <t>Vasanth &amp; Co SAIDAPET - (1115)</t>
  </si>
  <si>
    <t>store_001624</t>
  </si>
  <si>
    <t>Vasanth &amp; Co MADURAI -2 - (1303)</t>
  </si>
  <si>
    <t>store_001625</t>
  </si>
  <si>
    <t>Vasanth &amp; Co MARTHANDAM - (1312)</t>
  </si>
  <si>
    <t>Kanyakumari</t>
  </si>
  <si>
    <t>store_001626</t>
  </si>
  <si>
    <t>Vasanth &amp; Co CUMBUM - (1310)</t>
  </si>
  <si>
    <t>store_001627</t>
  </si>
  <si>
    <t>Vasanth &amp; Co NORTH USMAN ROAD - (1110)</t>
  </si>
  <si>
    <t>store_001628</t>
  </si>
  <si>
    <t>Vasanth &amp; Co TRICHY-2 - 1413</t>
  </si>
  <si>
    <t>store_001629</t>
  </si>
  <si>
    <t>Vasanth &amp; Co SHOLINGANALLUR - 1122</t>
  </si>
  <si>
    <t>store_001630</t>
  </si>
  <si>
    <t>Vasanth &amp; Co TAMBARAM II - (1120)</t>
  </si>
  <si>
    <t>store_001631</t>
  </si>
  <si>
    <t>Vasanth &amp; Co SATHYAMANGALAM 1213</t>
  </si>
  <si>
    <t>store_001632</t>
  </si>
  <si>
    <t>Vasanth &amp; Co ATTUR - (1504)</t>
  </si>
  <si>
    <t>store_001633</t>
  </si>
  <si>
    <t>Vasanth &amp; Co ADAYAR - (1107)</t>
  </si>
  <si>
    <t>store_001634</t>
  </si>
  <si>
    <t>Vasanth &amp; Co VELACHERY - (1114)</t>
  </si>
  <si>
    <t>store_001635</t>
  </si>
  <si>
    <t>Vasanth &amp; Co Tiruppur II - (1223)</t>
  </si>
  <si>
    <t>Tirupur</t>
  </si>
  <si>
    <t>store_001636</t>
  </si>
  <si>
    <t>Vasanth &amp; Co ROYAPURAM - II (1109)</t>
  </si>
  <si>
    <t>store_001637</t>
  </si>
  <si>
    <t>Vasanth &amp; Co VINAYAGAPURAM - 1123</t>
  </si>
  <si>
    <t>store_001638</t>
  </si>
  <si>
    <t>Vasanth &amp; Co SALEM-3 - 1214</t>
  </si>
  <si>
    <t>store_001639</t>
  </si>
  <si>
    <t>Vasanth &amp; Co TIRUPPUR - (1205)</t>
  </si>
  <si>
    <t>store_001640</t>
  </si>
  <si>
    <t>Vasanth &amp; Co VILLUPURAM (1510)</t>
  </si>
  <si>
    <t>store_001641</t>
  </si>
  <si>
    <t>VS -Pune(Dange Chowk)</t>
  </si>
  <si>
    <t>executive_00005, executive_00018, executive_00045</t>
  </si>
  <si>
    <t>Shrusti Gudmeti, Rushikesh Sarode, Jatin Hegde</t>
  </si>
  <si>
    <t>store_001642</t>
  </si>
  <si>
    <t>Vs - Currey Road</t>
  </si>
  <si>
    <t>store_001643</t>
  </si>
  <si>
    <t>Vs - Delhi(Rohini Sector-16)</t>
  </si>
  <si>
    <t>store_001645</t>
  </si>
  <si>
    <t>Indira Enterprisers</t>
  </si>
  <si>
    <t>store_001666</t>
  </si>
  <si>
    <t>Mamata Electrical And Electronics</t>
  </si>
  <si>
    <t>store_001667</t>
  </si>
  <si>
    <t>Mobile Mania</t>
  </si>
  <si>
    <t>C, B</t>
  </si>
  <si>
    <t>store_001710</t>
  </si>
  <si>
    <t>The Home Makers</t>
  </si>
  <si>
    <t>store_001776</t>
  </si>
  <si>
    <t>BASANT COMMUNICATION</t>
  </si>
  <si>
    <t>store_001778</t>
  </si>
  <si>
    <t>DARBAR TRADERS</t>
  </si>
  <si>
    <t>store_001784</t>
  </si>
  <si>
    <t>Khattar Electronics</t>
  </si>
  <si>
    <t>store_001785</t>
  </si>
  <si>
    <t>KUMRA ENGINEERING</t>
  </si>
  <si>
    <t>store_001788</t>
  </si>
  <si>
    <t>Malik Cycle</t>
  </si>
  <si>
    <t>store_001790</t>
  </si>
  <si>
    <t>MOVIE ELECTRONICS</t>
  </si>
  <si>
    <t>store_001794</t>
  </si>
  <si>
    <t>PANDIT JI MOBILE CARE</t>
  </si>
  <si>
    <t>store_001798</t>
  </si>
  <si>
    <t>SAREENS ELECTRONICS</t>
  </si>
  <si>
    <t>store_001805</t>
  </si>
  <si>
    <t>VARDHMAN ELECTRONIC</t>
  </si>
  <si>
    <t>store_001806</t>
  </si>
  <si>
    <t>Verma Electronics</t>
  </si>
  <si>
    <t>store_001891</t>
  </si>
  <si>
    <t>NAVEEN ELECTRONICS</t>
  </si>
  <si>
    <t>brand_003</t>
  </si>
  <si>
    <t>Hitachi</t>
  </si>
  <si>
    <t>executive_00007, executive_00031, executive_00030, executive_00006, executive_00027, executive_00026, executive_00035, executive_00038, executive_00039, executive_00041</t>
  </si>
  <si>
    <t>Ayush Joshi, Bisma Nadeem, Avantika Gupta, Neeraj Kandwal, Rohan Saxena, Sonal Kumar, Nishant Gaurav, Anurag Yadav, Sweety Suman, Kumari Nishav Mishra</t>
  </si>
  <si>
    <t>store_001948</t>
  </si>
  <si>
    <t>A.G MARKETING</t>
  </si>
  <si>
    <t>store_001953</t>
  </si>
  <si>
    <t>All Mega Mart</t>
  </si>
  <si>
    <t>store_001955</t>
  </si>
  <si>
    <t>BANKE BIHARI AGENCIES</t>
  </si>
  <si>
    <t>store_001965</t>
  </si>
  <si>
    <t>India Supply Corpn</t>
  </si>
  <si>
    <t>store_001970</t>
  </si>
  <si>
    <t>KANPUR COOLING SERVICES PRIVATE LIM</t>
  </si>
  <si>
    <t>store_001978</t>
  </si>
  <si>
    <t>Mishra Electricals</t>
  </si>
  <si>
    <t>store_001981</t>
  </si>
  <si>
    <t>New Jeet Electronics</t>
  </si>
  <si>
    <t>store_002034</t>
  </si>
  <si>
    <t>ABHISHEK ELECTRONICS</t>
  </si>
  <si>
    <t>store_002050</t>
  </si>
  <si>
    <t>POOJA ELECTRONICS</t>
  </si>
  <si>
    <t>store_002056</t>
  </si>
  <si>
    <t>Satish Electronics</t>
  </si>
  <si>
    <t>store_002101</t>
  </si>
  <si>
    <t>Bindra  Radios</t>
  </si>
  <si>
    <t>store_002103</t>
  </si>
  <si>
    <t>Harish Watch   Electronics</t>
  </si>
  <si>
    <t>store_002186</t>
  </si>
  <si>
    <t>Rakesh Electronics (Budh Vihar) Godrej</t>
  </si>
  <si>
    <t>store_002187</t>
  </si>
  <si>
    <t>Rakesh electronics(Patel Nagar) Godrej</t>
  </si>
  <si>
    <t>executive_00007, executive_00031, executive_00030, executive_00027, executive_00006, executive_00026, executive_00035, executive_00038, executive_00039, executive_00041</t>
  </si>
  <si>
    <t>Ayush Joshi, Bisma Nadeem, Avantika Gupta, Rohan Saxena, Neeraj Kandwal, Sonal Kumar, Nishant Gaurav, Anurag Yadav, Sweety Suman, Kumari Nishav Mishra</t>
  </si>
  <si>
    <t>store_002188</t>
  </si>
  <si>
    <t>Rakesh Electronics (Kanti Nagar) Godrej</t>
  </si>
  <si>
    <t>store_002190</t>
  </si>
  <si>
    <t>Rakesh Electronics (Uttam Nagar) Godrej</t>
  </si>
  <si>
    <t>store_002191</t>
  </si>
  <si>
    <t>Rakesh Electronics-M2K Godrej</t>
  </si>
  <si>
    <t>store_002193</t>
  </si>
  <si>
    <t>Rakesh Electronics-Ashok Vihar Godrej</t>
  </si>
  <si>
    <t>store_002196</t>
  </si>
  <si>
    <t>Rakesh Electronics-Rohini Sec-17 Godrej</t>
  </si>
  <si>
    <t>store_002197</t>
  </si>
  <si>
    <t>Rakesh Electronics (RK Puram) Godrej</t>
  </si>
  <si>
    <t>store_002200</t>
  </si>
  <si>
    <t>VS -Vadodara( Vihav Cbd )</t>
  </si>
  <si>
    <t>store_002201</t>
  </si>
  <si>
    <t>VS -Mahavir Nagar</t>
  </si>
  <si>
    <t>executive_00004, executive_00014, executive_00040</t>
  </si>
  <si>
    <t>Soham Patil, Vinod Khatik, Swetabh Srivastava</t>
  </si>
  <si>
    <t>store_002202</t>
  </si>
  <si>
    <t>Sadana Electric Store</t>
  </si>
  <si>
    <t>B, B</t>
  </si>
  <si>
    <t>store_002203</t>
  </si>
  <si>
    <t>Uni Prakash Trading</t>
  </si>
  <si>
    <t>store_002204</t>
  </si>
  <si>
    <t>Vs - Delhi(Ashok Vihar)</t>
  </si>
  <si>
    <t>store_002205</t>
  </si>
  <si>
    <t>New Ganapati Electronic</t>
  </si>
  <si>
    <t>store_002207</t>
  </si>
  <si>
    <t>Rakesh Electronics ( Narela ) Godrej</t>
  </si>
  <si>
    <t>store_002209</t>
  </si>
  <si>
    <t>Sangam Electronics</t>
  </si>
  <si>
    <t>store_002210</t>
  </si>
  <si>
    <t>Shadab Electronic</t>
  </si>
  <si>
    <t>store_002215</t>
  </si>
  <si>
    <t>Atlantic</t>
  </si>
  <si>
    <t>store_002216</t>
  </si>
  <si>
    <t>Vardhman Light and Sound Ent Godrej</t>
  </si>
  <si>
    <t>executive_00007, executive_00006, executive_00031, executive_00030, executive_00027, executive_00026, executive_00035, executive_00038, executive_00039, executive_00041</t>
  </si>
  <si>
    <t>Ayush Joshi, Neeraj Kandwal, Bisma Nadeem, Avantika Gupta, Rohan Saxena, Sonal Kumar, Nishant Gaurav, Anurag Yadav, Sweety Suman, Kumari Nishav Mishra</t>
  </si>
  <si>
    <t>store_002219</t>
  </si>
  <si>
    <t>NEW PANKAJ ELECTRONICS Godrej</t>
  </si>
  <si>
    <t>store_002220</t>
  </si>
  <si>
    <t>AGGARWAL ELECTRONICS</t>
  </si>
  <si>
    <t>brand_001, brand_003</t>
  </si>
  <si>
    <t>Godrej, Hitachi</t>
  </si>
  <si>
    <t>store_002221</t>
  </si>
  <si>
    <t>Anugrah electronics Godrej</t>
  </si>
  <si>
    <t>store_002222</t>
  </si>
  <si>
    <t>Anugrah Electronic and Appliances K Godrej</t>
  </si>
  <si>
    <t>store_002223</t>
  </si>
  <si>
    <t>Shri Bala Pritam Electronics Godrej</t>
  </si>
  <si>
    <t>store_002224</t>
  </si>
  <si>
    <t>Ambica Electronics Godrej</t>
  </si>
  <si>
    <t>store_002226</t>
  </si>
  <si>
    <t>HARI SHARAN AND SONS Godrej</t>
  </si>
  <si>
    <t>store_002227</t>
  </si>
  <si>
    <t>Sahu Electronics Godrej</t>
  </si>
  <si>
    <t>store_002228</t>
  </si>
  <si>
    <t>Kumar Electronics India Godrej</t>
  </si>
  <si>
    <t>store_002231</t>
  </si>
  <si>
    <t>V N Agencies Godrej</t>
  </si>
  <si>
    <t>store_002232</t>
  </si>
  <si>
    <t>CHAMPARAN ELECTRONICS PVT LTD Godrej</t>
  </si>
  <si>
    <t>store_002241</t>
  </si>
  <si>
    <t>NANDAJI ELECTRICALS ELECTRONICS Godrej</t>
  </si>
  <si>
    <t>store_002243</t>
  </si>
  <si>
    <t>Kpsk Enterprises</t>
  </si>
  <si>
    <t>store_002244</t>
  </si>
  <si>
    <t>MANCHANDA ELECTRICAL WORKS Godrej</t>
  </si>
  <si>
    <t>store_002245</t>
  </si>
  <si>
    <t>RPG ELECTRADE PRIVATE LIMITED Godrej</t>
  </si>
  <si>
    <t>store_002260</t>
  </si>
  <si>
    <t>ALFA ELECTRONICS</t>
  </si>
  <si>
    <t>store_002265</t>
  </si>
  <si>
    <t>RYS Ent East Vinod Ngr Godrej</t>
  </si>
  <si>
    <t>store_002273</t>
  </si>
  <si>
    <t>Vardhman Electronics Jawala Burari Godrej</t>
  </si>
  <si>
    <t>store_002293</t>
  </si>
  <si>
    <t>mk electronics refrigeration Godrej</t>
  </si>
  <si>
    <t>store_002340</t>
  </si>
  <si>
    <t>Sadana Electricals Godrej</t>
  </si>
  <si>
    <t>store_002341</t>
  </si>
  <si>
    <t>Initiative Data Systems Godrej</t>
  </si>
  <si>
    <t>store_002342</t>
  </si>
  <si>
    <t>Refrico Godrej</t>
  </si>
  <si>
    <t>store_002343</t>
  </si>
  <si>
    <t>Melody House Godrej</t>
  </si>
  <si>
    <t>store_002344</t>
  </si>
  <si>
    <t>Refrico Havells</t>
  </si>
  <si>
    <t>store_002345</t>
  </si>
  <si>
    <t>satish electronics Godrej</t>
  </si>
  <si>
    <t>store_002346</t>
  </si>
  <si>
    <t>Shree Ram Electronics</t>
  </si>
  <si>
    <t>store_002348</t>
  </si>
  <si>
    <t>Vs - Ts(Kukatpally)</t>
  </si>
  <si>
    <t>store_002349</t>
  </si>
  <si>
    <t>Goyal Electronics ( Ovot )</t>
  </si>
  <si>
    <t>store_002350</t>
  </si>
  <si>
    <t>Raj Kumar Electronics ( UNI )</t>
  </si>
  <si>
    <t>store_002354</t>
  </si>
  <si>
    <t>Croma -Meerut Garg Road</t>
  </si>
  <si>
    <t>store_002357</t>
  </si>
  <si>
    <t>DIGITAL WORLD ELECTRONIC HUB</t>
  </si>
  <si>
    <t>store_002358</t>
  </si>
  <si>
    <t>S R ELECTRO WORLD</t>
  </si>
  <si>
    <t>store_002360</t>
  </si>
  <si>
    <t>THE ELECTRONIC SHOP</t>
  </si>
  <si>
    <t>store_002361</t>
  </si>
  <si>
    <t>LEO INTERNATIONAL</t>
  </si>
  <si>
    <t>store_002362</t>
  </si>
  <si>
    <t>Singh Electronics</t>
  </si>
  <si>
    <t>store_002363</t>
  </si>
  <si>
    <t>Tech solutions</t>
  </si>
  <si>
    <t>store_002364</t>
  </si>
  <si>
    <t>Laxmi electromart</t>
  </si>
  <si>
    <t>store_002366</t>
  </si>
  <si>
    <t>NEELAM ELECTRONICS</t>
  </si>
  <si>
    <t>DEORIA</t>
  </si>
  <si>
    <t>store_002367</t>
  </si>
  <si>
    <t>M/S CLIMATE WORLD</t>
  </si>
  <si>
    <t>GORAKHPUR</t>
  </si>
  <si>
    <t>store_002368</t>
  </si>
  <si>
    <t>RAMA ELECTRONIC WORLD</t>
  </si>
  <si>
    <t>store_002370</t>
  </si>
  <si>
    <t>GARAG DIGITAL</t>
  </si>
  <si>
    <t>store_002372</t>
  </si>
  <si>
    <t>JAI MATA DI ELECTRONIC</t>
  </si>
  <si>
    <t>store_002373</t>
  </si>
  <si>
    <t>A To Z Electronics</t>
  </si>
  <si>
    <t>Siddharthnagar</t>
  </si>
  <si>
    <t>store_002374</t>
  </si>
  <si>
    <t>Croma-Gorakhpur - Taramandal- A740</t>
  </si>
  <si>
    <t>store_002375</t>
  </si>
  <si>
    <t>Electronic paradise</t>
  </si>
  <si>
    <t>store_002377</t>
  </si>
  <si>
    <t>Electronic Bazar</t>
  </si>
  <si>
    <t>store_002378</t>
  </si>
  <si>
    <t>Croma-Chennai-Kolathur- A665</t>
  </si>
  <si>
    <t>store_002380</t>
  </si>
  <si>
    <t>Croma-Bengaluru ? Kadugodi- A742</t>
  </si>
  <si>
    <t>store_002381</t>
  </si>
  <si>
    <t>Croma-Nashik- Jail Road- A737</t>
  </si>
  <si>
    <t>store_002382</t>
  </si>
  <si>
    <t>Croma-Surat-Bardoli- A324</t>
  </si>
  <si>
    <t>executive_00004, executive_00025, executive_00037</t>
  </si>
  <si>
    <t>Soham Patil, Utkarsh Narnaware, Naman Kabra</t>
  </si>
  <si>
    <t>store_002383</t>
  </si>
  <si>
    <t>Croma-Virar-Redbricks- A288</t>
  </si>
  <si>
    <t>store_002385</t>
  </si>
  <si>
    <t>Vasanth &amp; Co PORUR - (1112)</t>
  </si>
  <si>
    <t>store_002386</t>
  </si>
  <si>
    <t>Vasanth &amp; Co TIRUPATTUR - 1515</t>
  </si>
  <si>
    <t>Tirupathur</t>
  </si>
  <si>
    <t>store_002387</t>
  </si>
  <si>
    <t>Vasanth &amp; Co AVADI - 1126</t>
  </si>
  <si>
    <t>store_002388</t>
  </si>
  <si>
    <t>Vasanth &amp; Co GOWRIVAKKAM - 1127</t>
  </si>
  <si>
    <t>store_002389</t>
  </si>
  <si>
    <t>Vasanth &amp; Co CUDDALORE - (1505)</t>
  </si>
  <si>
    <t>store_002390</t>
  </si>
  <si>
    <t>Vasanth &amp; Co NAGERCOIL-2 - (1316)</t>
  </si>
  <si>
    <t>Nagercoil-2</t>
  </si>
  <si>
    <t>store_002391</t>
  </si>
  <si>
    <t>Vasanth &amp; Co GUDUVANCHERRY - (1101)</t>
  </si>
  <si>
    <t>store_002392</t>
  </si>
  <si>
    <t>Vasanth &amp; Co AMBATTUR - 1124</t>
  </si>
  <si>
    <t>store_002393</t>
  </si>
  <si>
    <t>Vasanth &amp; Co CHENGELPET - (1108)</t>
  </si>
  <si>
    <t>store_002394</t>
  </si>
  <si>
    <t>Vasanth &amp; Co NAGERCOIL - (1305)</t>
  </si>
  <si>
    <t>Nagercoil</t>
  </si>
  <si>
    <t>store_002395</t>
  </si>
  <si>
    <t>Vasanth &amp; Co ARAKKONAM - 1516</t>
  </si>
  <si>
    <t>store_002396</t>
  </si>
  <si>
    <t>Vasanth &amp; Co ERODE - (1203)</t>
  </si>
  <si>
    <t>store_002397</t>
  </si>
  <si>
    <t>Vasanth &amp; Co DHARMAPURI - (1211)</t>
  </si>
  <si>
    <t>store_002398</t>
  </si>
  <si>
    <t>Vasanth &amp; Co KUNDRATHUR - (1131)</t>
  </si>
  <si>
    <t>store_002399</t>
  </si>
  <si>
    <t>Vasanth &amp; Co THIRUVARUR - 1409</t>
  </si>
  <si>
    <t>store_002400</t>
  </si>
  <si>
    <t>Vasanth &amp; Co KARAIKUDI - (1405)</t>
  </si>
  <si>
    <t>store_002401</t>
  </si>
  <si>
    <t>Vasanth &amp; Co DINDIGUL - (1307)</t>
  </si>
  <si>
    <t>store_002402</t>
  </si>
  <si>
    <t>Vasanth &amp; Co SINGANALLUR - 1217</t>
  </si>
  <si>
    <t>store_002403</t>
  </si>
  <si>
    <t>Vasanth &amp; Co PANRUTI - (1507)</t>
  </si>
  <si>
    <t>store_002404</t>
  </si>
  <si>
    <t>Vasanth &amp; Co MINJUR - 1519</t>
  </si>
  <si>
    <t>store_002405</t>
  </si>
  <si>
    <t>Vasanth &amp; Co KELAMBAKKAM - (1132)</t>
  </si>
  <si>
    <t>store_002406</t>
  </si>
  <si>
    <t>Vasanth &amp; Co SIVAKASI - (1314)</t>
  </si>
  <si>
    <t>store_002407</t>
  </si>
  <si>
    <t>Vasanth &amp; Co PONDICHERRY - (2100)</t>
  </si>
  <si>
    <t>store_002408</t>
  </si>
  <si>
    <t>Vasanth &amp; Co KARUNGAL (1318)</t>
  </si>
  <si>
    <t>store_002409</t>
  </si>
  <si>
    <t>Vasanth &amp; Co NAMAKKAL - (1207)</t>
  </si>
  <si>
    <t>store_002410</t>
  </si>
  <si>
    <t>Vasanth &amp; Co KRISHNAGIRI - 1216</t>
  </si>
  <si>
    <t>store_002411</t>
  </si>
  <si>
    <t>Vasanth &amp; Co KARUR - (1206)</t>
  </si>
  <si>
    <t>store_002412</t>
  </si>
  <si>
    <t>Vasanth &amp; Co MAYILADUTHURAI - 1408</t>
  </si>
  <si>
    <t>store_002413</t>
  </si>
  <si>
    <t>Vasanth &amp; Co THIRUCHENGODE - 1219</t>
  </si>
  <si>
    <t>store_002414</t>
  </si>
  <si>
    <t>Vasanth &amp; Co NANGANALLUR - (1113)</t>
  </si>
  <si>
    <t>store_002415</t>
  </si>
  <si>
    <t>Vasanth &amp; Co TANJAVUR - (1402)</t>
  </si>
  <si>
    <t>store_002416</t>
  </si>
  <si>
    <t>Vasanth &amp; Co MADURAI -3 - (1311)</t>
  </si>
  <si>
    <t>store_002417</t>
  </si>
  <si>
    <t>Vasanth &amp; Co TUTICORIN - (1304)</t>
  </si>
  <si>
    <t>store_002418</t>
  </si>
  <si>
    <t>Vasanth &amp; Co ARCOT - 1514</t>
  </si>
  <si>
    <t>store_002419</t>
  </si>
  <si>
    <t>Vasanth &amp; Co PONDICHERRY - (2101) - II</t>
  </si>
  <si>
    <t>store_002420</t>
  </si>
  <si>
    <t>Vasanth &amp; Co TANJAVUR II - 1418</t>
  </si>
  <si>
    <t>store_002421</t>
  </si>
  <si>
    <t>Vasanth &amp; Co DINDIGUL (1327) - II</t>
  </si>
  <si>
    <t>store_002422</t>
  </si>
  <si>
    <t>Vasanth &amp; Co KATPADI (1522)</t>
  </si>
  <si>
    <t>store_002423</t>
  </si>
  <si>
    <t>Vasanth &amp; Co HARUR - 1218</t>
  </si>
  <si>
    <t>store_002424</t>
  </si>
  <si>
    <t>Vasanth &amp; Co SANKARAN KOVIL 1317</t>
  </si>
  <si>
    <t>store_002425</t>
  </si>
  <si>
    <t>Vasanth &amp; Co TIRUTTANI - (1520)</t>
  </si>
  <si>
    <t>store_002426</t>
  </si>
  <si>
    <t>Vasanth &amp; Co THIRUVALLUR - (1506)</t>
  </si>
  <si>
    <t>store_002427</t>
  </si>
  <si>
    <t>Vasanth &amp; Co KOVILPATTI - 2 (1301)</t>
  </si>
  <si>
    <t>store_002428</t>
  </si>
  <si>
    <t>Vasanth &amp; Co JAYANKONDAM - 1411</t>
  </si>
  <si>
    <t>store_002429</t>
  </si>
  <si>
    <t>Vasanth &amp; Co THINDIVANAM - (1503)</t>
  </si>
  <si>
    <t>store_002430</t>
  </si>
  <si>
    <t>Vasanth &amp; Co THURAIYUR - 1412</t>
  </si>
  <si>
    <t>store_002431</t>
  </si>
  <si>
    <t>Vasanth &amp; Co COIMBATORE-4 - 1215</t>
  </si>
  <si>
    <t>store_002432</t>
  </si>
  <si>
    <t>Vasanth &amp; Co GOBICHETTIPALAYAM - (1212)</t>
  </si>
  <si>
    <t>store_002433</t>
  </si>
  <si>
    <t>Vasanth &amp; Co ARIYALUR - (1414)</t>
  </si>
  <si>
    <t>store_002434</t>
  </si>
  <si>
    <t>Vasanth &amp; Co Trichy - III (1415)</t>
  </si>
  <si>
    <t>store_002435</t>
  </si>
  <si>
    <t>Vasanth &amp; Co RAMANATHAPURAM-2 - 1323</t>
  </si>
  <si>
    <t>store_002436</t>
  </si>
  <si>
    <t>Vasanth &amp; Co TISAIYANVILAI - 1320</t>
  </si>
  <si>
    <t>store_002437</t>
  </si>
  <si>
    <t>Vasanth &amp; Co VATHALAGUNDU - 1321</t>
  </si>
  <si>
    <t>store_002438</t>
  </si>
  <si>
    <t>Vasanth &amp; Co SALEM - (1202)</t>
  </si>
  <si>
    <t>store_002439</t>
  </si>
  <si>
    <t>Vasanth &amp; Co 50,SOUTH USMAN ROAD - (1118)</t>
  </si>
  <si>
    <t>store_002440</t>
  </si>
  <si>
    <t>Vasanth &amp; Co KUMBAKONAM-2 - 1407</t>
  </si>
  <si>
    <t>store_002441</t>
  </si>
  <si>
    <t>Vasanth &amp; Co KALIYAKKAVILAI - 1325</t>
  </si>
  <si>
    <t>store_002442</t>
  </si>
  <si>
    <t>Vasanth &amp; Co HOSUR - (1201)</t>
  </si>
  <si>
    <t>store_002443</t>
  </si>
  <si>
    <t>Vasanth &amp; Co VELLORE-1 - (1500)</t>
  </si>
  <si>
    <t>store_002444</t>
  </si>
  <si>
    <t>Vasanth &amp; Co KOLATHUR - (1119)</t>
  </si>
  <si>
    <t>store_002445</t>
  </si>
  <si>
    <t>Vasanth &amp; Co EDAPPADI - (1221)</t>
  </si>
  <si>
    <t>store_002446</t>
  </si>
  <si>
    <t>Vasanth &amp; Co SURANDAI (1326)</t>
  </si>
  <si>
    <t>store_002447</t>
  </si>
  <si>
    <t>Vasanth &amp; Co VIRUDHUNAGAR (1328)</t>
  </si>
  <si>
    <t>store_002448</t>
  </si>
  <si>
    <t>Vasanth &amp; Co THUCKALAY - (1306)</t>
  </si>
  <si>
    <t>store_002449</t>
  </si>
  <si>
    <t>Vasanth &amp; Co COIMBATORE-2 (1204)</t>
  </si>
  <si>
    <t>store_002450</t>
  </si>
  <si>
    <t>Vasanth &amp; Co PONNAMARAVATHI - 1410</t>
  </si>
  <si>
    <t>store_002451</t>
  </si>
  <si>
    <t>Vasanth &amp; Co MELUR - (1315)</t>
  </si>
  <si>
    <t>store_002452</t>
  </si>
  <si>
    <t>Vasanth &amp; Co COIMBATORE-1 - (1200)</t>
  </si>
  <si>
    <t>store_002453</t>
  </si>
  <si>
    <t>Vasanth &amp; Co GUDIYATHAM (1508)</t>
  </si>
  <si>
    <t>store_002454</t>
  </si>
  <si>
    <t>Vasanth &amp; Co RAMANATHAPURAM - (1308)</t>
  </si>
  <si>
    <t>store_002455</t>
  </si>
  <si>
    <t>Vasanth &amp; Co SALEM-2 - (1210)</t>
  </si>
  <si>
    <t>store_002456</t>
  </si>
  <si>
    <t>Vasanth &amp; Co DEVAKKOTTAI - 1417</t>
  </si>
  <si>
    <t>store_002457</t>
  </si>
  <si>
    <t>Vasanth &amp; Co VAZHAPADI - 1231</t>
  </si>
  <si>
    <t>store_002458</t>
  </si>
  <si>
    <t>Vasanth &amp; Co Udumalpet - (1224)</t>
  </si>
  <si>
    <t>store_002459</t>
  </si>
  <si>
    <t>Vasanth &amp; Co SANGAGIRI - 1220</t>
  </si>
  <si>
    <t>store_002460</t>
  </si>
  <si>
    <t>Vasanth &amp; Co METTUR (1228)</t>
  </si>
  <si>
    <t>store_002461</t>
  </si>
  <si>
    <t>Vasanth &amp; Co HOSUR - II (1229)</t>
  </si>
  <si>
    <t>store_002462</t>
  </si>
  <si>
    <t>Vasanth &amp; Co OOTY - (1222)</t>
  </si>
  <si>
    <t>store_002463</t>
  </si>
  <si>
    <t>Vasanth &amp; Co 8A, SOUTH USMAN ROAD - (1104)</t>
  </si>
  <si>
    <t>store_002464</t>
  </si>
  <si>
    <t>Vasanth &amp; Co POCHAMPALLI (1227)</t>
  </si>
  <si>
    <t>store_002465</t>
  </si>
  <si>
    <t>Vasanth &amp; Co THARAMANGALAM (1226)</t>
  </si>
  <si>
    <t>store_002466</t>
  </si>
  <si>
    <t>Vasanth &amp; Co MUSIRI (1416)</t>
  </si>
  <si>
    <t>store_002467</t>
  </si>
  <si>
    <t>Vasanth &amp; Co RASIPURAM (1225)</t>
  </si>
  <si>
    <t>store_002468</t>
  </si>
  <si>
    <t>Vasanth &amp; Co SHOLINGHUR - 1517</t>
  </si>
  <si>
    <t>store_002469</t>
  </si>
  <si>
    <t>Vasanth &amp; Co PANACHAMOODU - 1324</t>
  </si>
  <si>
    <t>store_002470</t>
  </si>
  <si>
    <t>Vasanth &amp; Co PURASAWALKAM - (1103)</t>
  </si>
  <si>
    <t>store_002471</t>
  </si>
  <si>
    <t>Vasanth &amp; Co POLLACHI - (1208)</t>
  </si>
  <si>
    <t>store_002472</t>
  </si>
  <si>
    <t>Vasanth &amp; Co AMBUR - 1513</t>
  </si>
  <si>
    <t>store_002473</t>
  </si>
  <si>
    <t>Vasanth &amp; Co PALANI - (1309)</t>
  </si>
  <si>
    <t>store_002474</t>
  </si>
  <si>
    <t>Vasanth &amp; Co MADURAI-1 - (1300)</t>
  </si>
  <si>
    <t>store_002475</t>
  </si>
  <si>
    <t>Vasanth &amp; Co VELLORE-2 (1501)</t>
  </si>
  <si>
    <t>store_002476</t>
  </si>
  <si>
    <t>Vasanth &amp; Co PARAMATHIVELLUR (1230)</t>
  </si>
  <si>
    <t>store_002477</t>
  </si>
  <si>
    <t>Vasanth &amp; Co TAMBARAM - (1102)</t>
  </si>
  <si>
    <t>store_002478</t>
  </si>
  <si>
    <t>Vasanth &amp; Co BANGLORE - (4100)</t>
  </si>
  <si>
    <t>store_002479</t>
  </si>
  <si>
    <t>Vasanth &amp; Co LITTLE MOUNT - (1117)</t>
  </si>
  <si>
    <t>store_002480</t>
  </si>
  <si>
    <t>Vasanth &amp; Co 45,SOUTH USMAN ROAD -1100.</t>
  </si>
  <si>
    <t>store_002481</t>
  </si>
  <si>
    <t>Vasanth &amp; Co CHOOLAIMEDU - (1111)</t>
  </si>
  <si>
    <t>store_002482</t>
  </si>
  <si>
    <t>Hotspot- Bihar-Road 8 Kankarbagh</t>
  </si>
  <si>
    <t>RR</t>
  </si>
  <si>
    <t>store_002483</t>
  </si>
  <si>
    <t>Hotspot- Bihar-Dadan Handi</t>
  </si>
  <si>
    <t>store_002484</t>
  </si>
  <si>
    <t>Hotspot- Bihar-Madhubani Bazar</t>
  </si>
  <si>
    <t>Purnea</t>
  </si>
  <si>
    <t>store_002485</t>
  </si>
  <si>
    <t>Hotspot- Bihar-Saran</t>
  </si>
  <si>
    <t>Saran</t>
  </si>
  <si>
    <t>store_002486</t>
  </si>
  <si>
    <t>Hotspot- Bihar - Sasaram</t>
  </si>
  <si>
    <t>Sasaram</t>
  </si>
  <si>
    <t>store_002487</t>
  </si>
  <si>
    <t>Hotspot- Bihar-Parsha-Bazar</t>
  </si>
  <si>
    <t>store_002488</t>
  </si>
  <si>
    <t>Hotspot- Bihar - West Boring Road</t>
  </si>
  <si>
    <t>store_002489</t>
  </si>
  <si>
    <t>Hotspot- Bihar - Pashchim Champaran Bettiah</t>
  </si>
  <si>
    <t>West Champaran</t>
  </si>
  <si>
    <t>store_002490</t>
  </si>
  <si>
    <t>Hotspot- Bihar-Lakhisarai</t>
  </si>
  <si>
    <t>Laksisarai</t>
  </si>
  <si>
    <t>store_002491</t>
  </si>
  <si>
    <t>Hotspot- Bihar-Danapur Patna</t>
  </si>
  <si>
    <t>store_002492</t>
  </si>
  <si>
    <t>Hotspot- Chandigarh-Sector-17C</t>
  </si>
  <si>
    <t>store_002493</t>
  </si>
  <si>
    <t>Hotspot- Malviya Nagar</t>
  </si>
  <si>
    <t>store_002494</t>
  </si>
  <si>
    <t>Hotspot- Yusuf Sarai</t>
  </si>
  <si>
    <t>store_002495</t>
  </si>
  <si>
    <t>Hotspot- Daryaganj</t>
  </si>
  <si>
    <t>store_002496</t>
  </si>
  <si>
    <t>Hotspot- Gaffar Market</t>
  </si>
  <si>
    <t>store_002497</t>
  </si>
  <si>
    <t>Hotspot- Alaknanda</t>
  </si>
  <si>
    <t>store_002498</t>
  </si>
  <si>
    <t>Hotspot- Bhogal</t>
  </si>
  <si>
    <t>store_002499</t>
  </si>
  <si>
    <t>Hotspot- Munrika</t>
  </si>
  <si>
    <t>store_002500</t>
  </si>
  <si>
    <t>Hotspot- Delhi-Kalkaji-Iii</t>
  </si>
  <si>
    <t>store_002501</t>
  </si>
  <si>
    <t>Hotspot- Delhi-Nehru Place-Ii</t>
  </si>
  <si>
    <t>store_002502</t>
  </si>
  <si>
    <t>Hotspot- Delhi-Nehru Place 3</t>
  </si>
  <si>
    <t>store_002503</t>
  </si>
  <si>
    <t>Hotspot- Delhi-Saket 2</t>
  </si>
  <si>
    <t>store_002504</t>
  </si>
  <si>
    <t>Hotspot- Vikas Marg</t>
  </si>
  <si>
    <t>store_002505</t>
  </si>
  <si>
    <t>Hotspot- Durgapuri</t>
  </si>
  <si>
    <t>store_002506</t>
  </si>
  <si>
    <t>Hotspot- Vasundhara Encl</t>
  </si>
  <si>
    <t>store_002507</t>
  </si>
  <si>
    <t>Hotspot- Bhajanpura</t>
  </si>
  <si>
    <t>store_002509</t>
  </si>
  <si>
    <t>Hotspot- Delhi-Vikas Marg Ix</t>
  </si>
  <si>
    <t>store_002510</t>
  </si>
  <si>
    <t>Hotspot- Delhi-Vm-Experience Zone</t>
  </si>
  <si>
    <t>store_002511</t>
  </si>
  <si>
    <t>Hotspot- Delhi-Maujpur</t>
  </si>
  <si>
    <t>store_002512</t>
  </si>
  <si>
    <t>Hotspot- Delhi-Karawal Nagar</t>
  </si>
  <si>
    <t>store_002513</t>
  </si>
  <si>
    <t>Hotspot- Delhi-Bhajanpura 2</t>
  </si>
  <si>
    <t>store_002514</t>
  </si>
  <si>
    <t>Hotspot- Delhi-Vikas Marg Xi</t>
  </si>
  <si>
    <t>store_002515</t>
  </si>
  <si>
    <t>Hotspot- Delhi-Yusuf Sarai 2</t>
  </si>
  <si>
    <t>store_002516</t>
  </si>
  <si>
    <t>Hotspot- Delhi-Jail Road</t>
  </si>
  <si>
    <t>store_002517</t>
  </si>
  <si>
    <t>Hotspot- Delhi-Madipur</t>
  </si>
  <si>
    <t>store_002518</t>
  </si>
  <si>
    <t>Hotspot- Delhi - Dwarka Sector 7</t>
  </si>
  <si>
    <t>store_002519</t>
  </si>
  <si>
    <t>Hotspot- Delhi - Palamcolony</t>
  </si>
  <si>
    <t>store_002520</t>
  </si>
  <si>
    <t>Hotspot- Delhi - Mayurvuhar Ii</t>
  </si>
  <si>
    <t>store_002521</t>
  </si>
  <si>
    <t>Hotspot- Delhi - Malviya Nagar</t>
  </si>
  <si>
    <t>store_002522</t>
  </si>
  <si>
    <t>Hotspot- Delhi - Sarita Vihar</t>
  </si>
  <si>
    <t>store_002523</t>
  </si>
  <si>
    <t>Hotspot- Delhi - Hotspot Uttam Nagar</t>
  </si>
  <si>
    <t>store_002524</t>
  </si>
  <si>
    <t>Hotspot- Delhi - Nehru Place</t>
  </si>
  <si>
    <t>store_002525</t>
  </si>
  <si>
    <t>Hotspot- Delhi - Pehladpur</t>
  </si>
  <si>
    <t>store_002526</t>
  </si>
  <si>
    <t>Hotspot- Delhi_Janakpuri_1</t>
  </si>
  <si>
    <t>store_002527</t>
  </si>
  <si>
    <t>Hotspot- Delhi - Jankpuri Ii</t>
  </si>
  <si>
    <t>store_002528</t>
  </si>
  <si>
    <t>Hotspot- Delhi-New Connaught Place-Ii</t>
  </si>
  <si>
    <t>store_002529</t>
  </si>
  <si>
    <t>Hotspot- Delhi - Devli Extn</t>
  </si>
  <si>
    <t>store_002530</t>
  </si>
  <si>
    <t>Hotspot- Delhi - New Paschim Vihar</t>
  </si>
  <si>
    <t>store_002531</t>
  </si>
  <si>
    <t>Hotspot- Delhi - New Rohini Sector - 16</t>
  </si>
  <si>
    <t>store_002532</t>
  </si>
  <si>
    <t>Hotspot- Delhi- New Lodhi</t>
  </si>
  <si>
    <t>store_002533</t>
  </si>
  <si>
    <t>Hotspot- Delhi- Pvr Saket</t>
  </si>
  <si>
    <t>store_002534</t>
  </si>
  <si>
    <t>Hotspot- Delhi-New Karampura</t>
  </si>
  <si>
    <t>store_002535</t>
  </si>
  <si>
    <t>Hotspot- Delhi- New Sherpur</t>
  </si>
  <si>
    <t>store_002536</t>
  </si>
  <si>
    <t>Hotspot- Delhi-New Ramesh Nagar</t>
  </si>
  <si>
    <t>store_002537</t>
  </si>
  <si>
    <t>Hotspot- Delhi- New Ashok Vihar</t>
  </si>
  <si>
    <t>store_002538</t>
  </si>
  <si>
    <t>Hotspot- Gurugram-Galleria Market</t>
  </si>
  <si>
    <t>store_002539</t>
  </si>
  <si>
    <t>Hotspot- Haryana-Panchkula Sec-11</t>
  </si>
  <si>
    <t>store_002540</t>
  </si>
  <si>
    <t>Hotspot- Haryana-Kalka</t>
  </si>
  <si>
    <t>store_002541</t>
  </si>
  <si>
    <t>Hotspot- Haryana - Panchkula Ii</t>
  </si>
  <si>
    <t>store_002542</t>
  </si>
  <si>
    <t>Hotspot- Haryana - Sonipat</t>
  </si>
  <si>
    <t>store_002543</t>
  </si>
  <si>
    <t>Hotspot- Haryana - Julana</t>
  </si>
  <si>
    <t>Julana</t>
  </si>
  <si>
    <t>store_002544</t>
  </si>
  <si>
    <t>Hotspot- Haryana-Yamuna Nagar</t>
  </si>
  <si>
    <t>Yamuna Nagar</t>
  </si>
  <si>
    <t>store_002545</t>
  </si>
  <si>
    <t>Hotspot- Gurgaon - New Sahara Mall</t>
  </si>
  <si>
    <t>store_002546</t>
  </si>
  <si>
    <t>Hotspot- Haryana - Ambala</t>
  </si>
  <si>
    <t>Ambala</t>
  </si>
  <si>
    <t>store_002547</t>
  </si>
  <si>
    <t>Hotspot- Mp-Lashkar-Gwalior</t>
  </si>
  <si>
    <t>store_002548</t>
  </si>
  <si>
    <t>Hotspot- Aurangabad-Kranti Chowk</t>
  </si>
  <si>
    <t>store_002549</t>
  </si>
  <si>
    <t>Hotspot- Mohali-Sec 60 Sas Nagar</t>
  </si>
  <si>
    <t>Mohali</t>
  </si>
  <si>
    <t>store_002550</t>
  </si>
  <si>
    <t>Hotspot- Mohali-Sec 55 Sas Nagar</t>
  </si>
  <si>
    <t>store_002551</t>
  </si>
  <si>
    <t>Hotspot- Punjab-Sarabha Nagar</t>
  </si>
  <si>
    <t>store_002552</t>
  </si>
  <si>
    <t>Hotspot- Punjab-Patiala</t>
  </si>
  <si>
    <t>store_002553</t>
  </si>
  <si>
    <t>Hotspot- Punjab - Muktsar</t>
  </si>
  <si>
    <t>Mukstar</t>
  </si>
  <si>
    <t>store_002554</t>
  </si>
  <si>
    <t>Hotspot- Punjab - Gurdaspur Road</t>
  </si>
  <si>
    <t>store_002555</t>
  </si>
  <si>
    <t>Hotspot- Punjab - Faridkot</t>
  </si>
  <si>
    <t>Faridkot</t>
  </si>
  <si>
    <t>store_002556</t>
  </si>
  <si>
    <t>Hotspot- Punjab - Mohali Kharar</t>
  </si>
  <si>
    <t>store_002557</t>
  </si>
  <si>
    <t>Hotspot- Panjab - Muktsar Malout</t>
  </si>
  <si>
    <t>store_002558</t>
  </si>
  <si>
    <t>Hotspot- Punjab - Ludhiana Gobind Nagar</t>
  </si>
  <si>
    <t>store_002559</t>
  </si>
  <si>
    <t>Hotspot- Punjab - Chandni Chowk Patiala</t>
  </si>
  <si>
    <t>store_002560</t>
  </si>
  <si>
    <t>Hotspot- Punjab-Ferozepur</t>
  </si>
  <si>
    <t>Ferozepur</t>
  </si>
  <si>
    <t>store_002561</t>
  </si>
  <si>
    <t>Hotspot- Punjab - Mohali Phase-7</t>
  </si>
  <si>
    <t>store_002562</t>
  </si>
  <si>
    <t>Hotspot- Punjab - Peer Muchalla Mohali</t>
  </si>
  <si>
    <t>Peer Muchalla</t>
  </si>
  <si>
    <t>store_002563</t>
  </si>
  <si>
    <t>Hotspot- Punjab - Ludhiana Kashmir</t>
  </si>
  <si>
    <t>store_002564</t>
  </si>
  <si>
    <t>Hotspot- Punjab - Ludhiana Model Town</t>
  </si>
  <si>
    <t>store_002565</t>
  </si>
  <si>
    <t>Hotspot- Punjab-Moga</t>
  </si>
  <si>
    <t>store_002567</t>
  </si>
  <si>
    <t>Hotspot- Rajasthan- Purana Bazar</t>
  </si>
  <si>
    <t>Hanumangarh</t>
  </si>
  <si>
    <t>store_002568</t>
  </si>
  <si>
    <t>Hotspot- Rajasthan - Kotputli</t>
  </si>
  <si>
    <t>store_002569</t>
  </si>
  <si>
    <t>Hotspot- Rajasthan - Bhilwara</t>
  </si>
  <si>
    <t>Bhilwara</t>
  </si>
  <si>
    <t>store_002570</t>
  </si>
  <si>
    <t>Hotspot- Rajasthan - Paota</t>
  </si>
  <si>
    <t>store_002571</t>
  </si>
  <si>
    <t>Hotspot- Rajasthan - Ganganagar</t>
  </si>
  <si>
    <t>Shri Ganganagar</t>
  </si>
  <si>
    <t>store_002572</t>
  </si>
  <si>
    <t>Hotspot- Rajasthan - Raja Park</t>
  </si>
  <si>
    <t>store_002573</t>
  </si>
  <si>
    <t>Hotspot- Rajasthan - Ajmer</t>
  </si>
  <si>
    <t>Ajmer</t>
  </si>
  <si>
    <t>store_002574</t>
  </si>
  <si>
    <t>Hotspot- Rajasthan - Ajmer Vaishali Nagar</t>
  </si>
  <si>
    <t>store_002575</t>
  </si>
  <si>
    <t>Hotspot- Rajasthan - Alwar</t>
  </si>
  <si>
    <t>Alwar</t>
  </si>
  <si>
    <t>store_002576</t>
  </si>
  <si>
    <t>Hotspot- Rajasthan - Bikaner Lunkaransar</t>
  </si>
  <si>
    <t>Bikaner</t>
  </si>
  <si>
    <t>store_002577</t>
  </si>
  <si>
    <t>Hotspot- Rajasthan - Jaipur Khatipura</t>
  </si>
  <si>
    <t>store_002578</t>
  </si>
  <si>
    <t>Hotspot- Rajasthan - Jaipur Malviya Nagar</t>
  </si>
  <si>
    <t>store_002579</t>
  </si>
  <si>
    <t>Hotspot- Rajasthan- Ajmer Station Road</t>
  </si>
  <si>
    <t>store_002580</t>
  </si>
  <si>
    <t>Hotspot- Rajasthan -Jodhpur</t>
  </si>
  <si>
    <t>Jodhpur</t>
  </si>
  <si>
    <t>store_002581</t>
  </si>
  <si>
    <t>Hotspot- Rajasthan - Udaipur</t>
  </si>
  <si>
    <t>store_002582</t>
  </si>
  <si>
    <t>Hotspot- Rajasthan-Vki</t>
  </si>
  <si>
    <t>store_002583</t>
  </si>
  <si>
    <t>Hotspot- Raj Nagar</t>
  </si>
  <si>
    <t>store_002584</t>
  </si>
  <si>
    <t>Hotspot- Pacific Mall</t>
  </si>
  <si>
    <t>store_002585</t>
  </si>
  <si>
    <t>Hotspot- Noida-Sector18-Ii</t>
  </si>
  <si>
    <t>store_002586</t>
  </si>
  <si>
    <t>Hotspot- Ghaziabad-Indirapuram-Foco-Cc7</t>
  </si>
  <si>
    <t>store_002587</t>
  </si>
  <si>
    <t>Hotspot- Ghaziabad-Gandhi Nagar</t>
  </si>
  <si>
    <t>store_002588</t>
  </si>
  <si>
    <t>Hotspot- Noida-Mallofindia</t>
  </si>
  <si>
    <t>store_002589</t>
  </si>
  <si>
    <t>Hotspot- Bijnor-Dattiyana Road</t>
  </si>
  <si>
    <t>Bijnor</t>
  </si>
  <si>
    <t>store_002590</t>
  </si>
  <si>
    <t>Hotspot- Uttar Pradesh - Muzaffarnagar</t>
  </si>
  <si>
    <t>Muzaffarnagar</t>
  </si>
  <si>
    <t>store_002591</t>
  </si>
  <si>
    <t>Hotspot- Ghaziabad - Vaishali</t>
  </si>
  <si>
    <t>store_002592</t>
  </si>
  <si>
    <t>Hotspot- Chinsura</t>
  </si>
  <si>
    <t>executive_00013</t>
  </si>
  <si>
    <t>Suvam Chatterjee</t>
  </si>
  <si>
    <t>store_002593</t>
  </si>
  <si>
    <t>Hotspot- Khardah</t>
  </si>
  <si>
    <t>executive_00013, executive_00032, executive_00042</t>
  </si>
  <si>
    <t>Suvam Chatterjee, Ankan Das, Megha Mondal</t>
  </si>
  <si>
    <t>store_002594</t>
  </si>
  <si>
    <t>Hotspot- Behala</t>
  </si>
  <si>
    <t>store_002595</t>
  </si>
  <si>
    <t>Hotspot- Howrah</t>
  </si>
  <si>
    <t>store_002596</t>
  </si>
  <si>
    <t>Hotspot- Kolkata Srirampur</t>
  </si>
  <si>
    <t>store_002597</t>
  </si>
  <si>
    <t>Hotspot- Kolkata-Barrackpore</t>
  </si>
  <si>
    <t>store_002598</t>
  </si>
  <si>
    <t>Hotspot- Kolkata-Linton Street</t>
  </si>
  <si>
    <t>store_002599</t>
  </si>
  <si>
    <t>Hotspot- Kolkata-Chandan Nagar</t>
  </si>
  <si>
    <t>store_002600</t>
  </si>
  <si>
    <t>Hotspot- Kolkata-New Park Circus-2</t>
  </si>
  <si>
    <t>store_002601</t>
  </si>
  <si>
    <t>Hotspot- Kolkata-Esplanade-2</t>
  </si>
  <si>
    <t>store_002602</t>
  </si>
  <si>
    <t>Hotspot- Kolkata- Elliot Road</t>
  </si>
  <si>
    <t>store_002603</t>
  </si>
  <si>
    <t>Hotspot- Bardhaman- Begunia</t>
  </si>
  <si>
    <t>Bardhaman</t>
  </si>
  <si>
    <t>store_002604</t>
  </si>
  <si>
    <t>Hotspot- Delhi - New Shahadra</t>
  </si>
  <si>
    <t>store_002605</t>
  </si>
  <si>
    <t>Hotspot- Delhi-New Kalka Ji</t>
  </si>
  <si>
    <t>store_002606</t>
  </si>
  <si>
    <t>Hotspot- Ghaziabad- New Gt Road</t>
  </si>
  <si>
    <t>store_002607</t>
  </si>
  <si>
    <t>Hotspot- Punjab - Barnala</t>
  </si>
  <si>
    <t>Barnala</t>
  </si>
  <si>
    <t>store_002608</t>
  </si>
  <si>
    <t>Hotspot- Delhi - Jaitpur</t>
  </si>
  <si>
    <t>store_002609</t>
  </si>
  <si>
    <t>Hotspot- Himachal Pradesh - Baddi</t>
  </si>
  <si>
    <t>Baddi</t>
  </si>
  <si>
    <t>Himachal Pradesh</t>
  </si>
  <si>
    <t>store_002610</t>
  </si>
  <si>
    <t>Hotspot- Up-Hasanpur</t>
  </si>
  <si>
    <t>Amroha</t>
  </si>
  <si>
    <t>store_002611</t>
  </si>
  <si>
    <t>Hotspot- Punjab - Ludhiana Mundian Kalan</t>
  </si>
  <si>
    <t>store_002612</t>
  </si>
  <si>
    <t>Hotspot- Haryana-Panchkula Sec 20</t>
  </si>
  <si>
    <t>store_002613</t>
  </si>
  <si>
    <t>Hotspot- Punjab-Abohar</t>
  </si>
  <si>
    <t>Abohar</t>
  </si>
  <si>
    <t>store_002615</t>
  </si>
  <si>
    <t>Hotspot- Haryana-Rohtak</t>
  </si>
  <si>
    <t>Rohtak</t>
  </si>
  <si>
    <t>store_002616</t>
  </si>
  <si>
    <t>Hotspot- Haryana-Kurukshetra</t>
  </si>
  <si>
    <t>Kurukshetra</t>
  </si>
  <si>
    <t>store_002617</t>
  </si>
  <si>
    <t>Hotspot- Rajasthan-Jagatpura Jaipur</t>
  </si>
  <si>
    <t>store_002618</t>
  </si>
  <si>
    <t>Nnema Endeavour Pvt Ltd</t>
  </si>
  <si>
    <t>store_002619</t>
  </si>
  <si>
    <t>Reliance Digital -Rrl Cdit Axis Mall Kolkata St -8955</t>
  </si>
  <si>
    <t>store_002620</t>
  </si>
  <si>
    <t>Reliance Digital -Rrl Cdit Sp Marg Allahabad -8982</t>
  </si>
  <si>
    <t>Allahabad</t>
  </si>
  <si>
    <t>store_002621</t>
  </si>
  <si>
    <t>Reliance Digital -Rrl Cdit Kharavela Nagar Bhub -8928</t>
  </si>
  <si>
    <t>store_002622</t>
  </si>
  <si>
    <t>Reliance Digital -Rrl Cdit Avni River Side Mall -8956</t>
  </si>
  <si>
    <t>store_002623</t>
  </si>
  <si>
    <t>Reliance Digital -Rrl Cdit Hampankatta Mangalor -8897</t>
  </si>
  <si>
    <t>store_002624</t>
  </si>
  <si>
    <t>Reliance Digital -Rrl Cdit Central Mall Guwahati -8963</t>
  </si>
  <si>
    <t>store_002625</t>
  </si>
  <si>
    <t>Reliance Digital -Rrl Cdit Forum Esplanade -TE58</t>
  </si>
  <si>
    <t>store_002626</t>
  </si>
  <si>
    <t>Reliance Digital -Rrl Cdit Diamond City Mall Ko -8957</t>
  </si>
  <si>
    <t>store_002627</t>
  </si>
  <si>
    <t>Reliance Digital -Rrl Cdit Sevoke Road Siliguri -8798</t>
  </si>
  <si>
    <t>store_002628</t>
  </si>
  <si>
    <t>Reliance Digital- Maredpaly Secundrabd</t>
  </si>
  <si>
    <t>Secunderabad</t>
  </si>
  <si>
    <t>store_002629</t>
  </si>
  <si>
    <t>Reliance Digital -Rrl Cdit Infiniti Malad Mumba -8912</t>
  </si>
  <si>
    <t>store_002630</t>
  </si>
  <si>
    <t>Reliance Digital -Rrl Cdit East Coast Road Thiru -8977</t>
  </si>
  <si>
    <t>executive_00024, executive_00034</t>
  </si>
  <si>
    <t>Venkat Raman, Santo P Sebastian</t>
  </si>
  <si>
    <t>store_002631</t>
  </si>
  <si>
    <t>Reliance Digital -Rrl Cdit Ss High Poi -T7BJ</t>
  </si>
  <si>
    <t>store_002632</t>
  </si>
  <si>
    <t>Reliance Digital -Rrl Cdit As Rao Speciality St -8959</t>
  </si>
  <si>
    <t>store_002633</t>
  </si>
  <si>
    <t>Reliance Digital -Rrl Cdit Navi Mumbai Speciali -8917</t>
  </si>
  <si>
    <t>store_002634</t>
  </si>
  <si>
    <t>Reliance Digital- Rrl Cdit Tollygunge Store Ko -8953</t>
  </si>
  <si>
    <t>store_002635</t>
  </si>
  <si>
    <t>Reliance Digital -Rrl Cdit Orion Mall Brigade B -8892</t>
  </si>
  <si>
    <t>store_002636</t>
  </si>
  <si>
    <t>Reliance Digital -Rrl Cdit Bhagirathi Square -T762</t>
  </si>
  <si>
    <t>executive_00018, executive_00011, executive_00045</t>
  </si>
  <si>
    <t>Rushikesh Sarode, Shubham Gaikwad, Jatin Hegde</t>
  </si>
  <si>
    <t>store_002637</t>
  </si>
  <si>
    <t>Reliance Digital -Rrl Cdit Gaur City Mall -TP32</t>
  </si>
  <si>
    <t>store_002638</t>
  </si>
  <si>
    <t>Reliance Digital -Rrl D Xpress Ashok Pillar Bang -8717</t>
  </si>
  <si>
    <t>store_002639</t>
  </si>
  <si>
    <t>Reliance Digital -Rrl Cdit Orchid Greengorakhpur -TB85</t>
  </si>
  <si>
    <t>store_002640</t>
  </si>
  <si>
    <t>Reliance Digital -Rrl Cdit City Mall Bhopal Sto -8902</t>
  </si>
  <si>
    <t>executive_00022</t>
  </si>
  <si>
    <t>Hardeep Singh</t>
  </si>
  <si>
    <t>store_002641</t>
  </si>
  <si>
    <t>Reliance Digital -Rrl Cdit Lake Mall Kolkata -8734</t>
  </si>
  <si>
    <t>store_002642</t>
  </si>
  <si>
    <t>Reliance Digital -Rrl Cdit E Mall Kolkata -TLY1</t>
  </si>
  <si>
    <t>store_002643</t>
  </si>
  <si>
    <t>Reliance Digital -Rrl Cdit Ultadanga Crossing -TTZ7</t>
  </si>
  <si>
    <t>store_002644</t>
  </si>
  <si>
    <t>Reliance Digital -Rrl Cdit- Kanke Road -TY7C</t>
  </si>
  <si>
    <t>executive_00015, executive_00013</t>
  </si>
  <si>
    <t>Avneesh Mishra, Suvam Chatterjee</t>
  </si>
  <si>
    <t>store_002645</t>
  </si>
  <si>
    <t>Reliance Digital -Rrl Cdit Indiranagar 100 Ft Ro -TML2</t>
  </si>
  <si>
    <t>store_002646</t>
  </si>
  <si>
    <t>Reliance Digital -Rrl Cdit Century Corbel Banga -8887</t>
  </si>
  <si>
    <t>store_002647</t>
  </si>
  <si>
    <t>Reliance Digital -Rrl Cdit Vishaal De Mal Madur -8943</t>
  </si>
  <si>
    <t>store_002648</t>
  </si>
  <si>
    <t>Reliance Digital -Rrl Cdit Sandya Tower Ranchi -8757</t>
  </si>
  <si>
    <t>store_002649</t>
  </si>
  <si>
    <t>Reliance Digital -Rrl Cdit College Square Cuttac -8976</t>
  </si>
  <si>
    <t>executive_00013, executive_00028, executive_00029</t>
  </si>
  <si>
    <t>Suvam Chatterjee, Pratyush Kumar Mohapatra, Konika Khetan</t>
  </si>
  <si>
    <t>store_002650</t>
  </si>
  <si>
    <t>Reliance Digital -Rrl Cdit Sector 29 Gurgaon -6744</t>
  </si>
  <si>
    <t>store_002651</t>
  </si>
  <si>
    <t>Reliance Digital -Rrl Cdit Crown Interiorz Mall -8689</t>
  </si>
  <si>
    <t>store_002652</t>
  </si>
  <si>
    <t>Reliance Digital -Rrl Cdit Perundurai Road Erode -6916</t>
  </si>
  <si>
    <t>store_002653</t>
  </si>
  <si>
    <t>Reliance Digital -Rrl Cdit Elante Mall Chandigar -8964</t>
  </si>
  <si>
    <t>store_002654</t>
  </si>
  <si>
    <t>Reliance Digital -Rrl Cdit Suchitra Junction Kom -8661</t>
  </si>
  <si>
    <t>store_002655</t>
  </si>
  <si>
    <t>Reliance Digital -Rrl Cdit Vizag Store -8841</t>
  </si>
  <si>
    <t>store_002656</t>
  </si>
  <si>
    <t>Reliance Digital -Rrl Cdit Mantri Mall -T619</t>
  </si>
  <si>
    <t>store_002657</t>
  </si>
  <si>
    <t>Reliance Digital -Rrl Cdit  Ncs Square Adabai -TW2F</t>
  </si>
  <si>
    <t>store_002658</t>
  </si>
  <si>
    <t>Reliance Digital -Rrl D Xpress V3S Mall Delhi -8633</t>
  </si>
  <si>
    <t>store_002659</t>
  </si>
  <si>
    <t>Reliance Digital -Rrl Cdit Vajra World Gangtok -TCR7</t>
  </si>
  <si>
    <t>Gangtok</t>
  </si>
  <si>
    <t>Sikkim</t>
  </si>
  <si>
    <t>store_002660</t>
  </si>
  <si>
    <t>Reliance Digital -Rrl Cdit Ambience Delhi Store -8844</t>
  </si>
  <si>
    <t>store_002661</t>
  </si>
  <si>
    <t>Reliance Digital- Panjagutta Hyderabad -TB83</t>
  </si>
  <si>
    <t>store_002662</t>
  </si>
  <si>
    <t>Reliance Digital -Rrl Cdit Anna Nagar Chennai S -8934</t>
  </si>
  <si>
    <t>store_002663</t>
  </si>
  <si>
    <t>Reliance Digital- Bb-Noida-Mall Of Ind -TA9U</t>
  </si>
  <si>
    <t>executive_00031, executive_00030, executive_00002, executive_00027, executive_00026, executive_00043</t>
  </si>
  <si>
    <t>Bisma Nadeem, Avantika Gupta, Kanishk Bhardwaj, Rohan Saxena, Sonal Kumar, Anirudh shankar</t>
  </si>
  <si>
    <t>store_002664</t>
  </si>
  <si>
    <t>Reliance Digital -Rrl Cdit Msr Elements Bangalo -8793</t>
  </si>
  <si>
    <t>store_002665</t>
  </si>
  <si>
    <t>Reliance Digital -Rrl Cdit R City Ghatkopar Mum -8910</t>
  </si>
  <si>
    <t>store_002666</t>
  </si>
  <si>
    <t>Reliance Digital -Rrl D Xpress Sea Breeze Prabha -8636</t>
  </si>
  <si>
    <t>store_002667</t>
  </si>
  <si>
    <t>Reliance Digital -Rrl Cdit Ahmednagar Rd Store -8919</t>
  </si>
  <si>
    <t>store_002668</t>
  </si>
  <si>
    <t>Reliance Digital -Rrl Cdit Marbaniang Hub Shill -8975</t>
  </si>
  <si>
    <t>store_002669</t>
  </si>
  <si>
    <t>Reliance Digital -Rrl Cdit Kamanhalli Bangalore -8885</t>
  </si>
  <si>
    <t>store_002670</t>
  </si>
  <si>
    <t>Reliance Digital -Rrl Cdit Apr City Central Mall -6368</t>
  </si>
  <si>
    <t>store_002671</t>
  </si>
  <si>
    <t>Reliance Digital -Rrl Cdit Chrompet Chennai -8978</t>
  </si>
  <si>
    <t>store_002672</t>
  </si>
  <si>
    <t>Reliance Digital -Rrl Cdit Davanagere -T665</t>
  </si>
  <si>
    <t>Davangere</t>
  </si>
  <si>
    <t>store_002673</t>
  </si>
  <si>
    <t>Reliance Digital -Rrl Cdit Mansarovar Plaza Jaip -8766</t>
  </si>
  <si>
    <t>store_002674</t>
  </si>
  <si>
    <t>Reliance Digital- New Delhi South Exte -TJW9</t>
  </si>
  <si>
    <t>store_002675</t>
  </si>
  <si>
    <t>Reliance Digital -Rrl Cdit Sharath City Centre -TK86</t>
  </si>
  <si>
    <t>store_002676</t>
  </si>
  <si>
    <t>Reliance Digital -Rrl Cdit Orion Mall Panvel -9143</t>
  </si>
  <si>
    <t>store_002677</t>
  </si>
  <si>
    <t>Reliance Digital -Rrl Cdit Patia Main Rd -TX33</t>
  </si>
  <si>
    <t>store_002678</t>
  </si>
  <si>
    <t>Reliance Digital -Rrl Cdit Danapur Sagunamore -TEI3</t>
  </si>
  <si>
    <t>store_002679</t>
  </si>
  <si>
    <t>Reliance Digital -Rrl Cdit Ansal Plaza Palam Vi -8877</t>
  </si>
  <si>
    <t>store_002680</t>
  </si>
  <si>
    <t>Reliance Digital- Rrl Cdit Kolathur Chennai -6629</t>
  </si>
  <si>
    <t>store_002681</t>
  </si>
  <si>
    <t>Reliance Digital- Rrl Cdit Logix City Centre -9154</t>
  </si>
  <si>
    <t>store_002682</t>
  </si>
  <si>
    <t>Reliance Digital -Rrl Cdit Madinaguda Hyderabad -8827</t>
  </si>
  <si>
    <t>store_002683</t>
  </si>
  <si>
    <t>Reliance Digital -Rrl Cdit-Forum Falco -T1KQ</t>
  </si>
  <si>
    <t>store_002684</t>
  </si>
  <si>
    <t>Reliance Digital -Rrl Cdit- Vip Road -TSF1</t>
  </si>
  <si>
    <t>executive_00014</t>
  </si>
  <si>
    <t>Vinod Khatik</t>
  </si>
  <si>
    <t>store_002685</t>
  </si>
  <si>
    <t>Reliance Digital- Sarathy Ngr Vellore -6150</t>
  </si>
  <si>
    <t>store_002686</t>
  </si>
  <si>
    <t>Reliance Digital -Rrl Cdit Saraidhela -TI0Z</t>
  </si>
  <si>
    <t>store_002687</t>
  </si>
  <si>
    <t>Reliance Digital- Rrl Cdit Tirunelveli -7952</t>
  </si>
  <si>
    <t>store_002688</t>
  </si>
  <si>
    <t>Reliance Digital -Rrl Cdit Shahadra Delhi -8843</t>
  </si>
  <si>
    <t>store_002689</t>
  </si>
  <si>
    <t>Reliance Digital -Rrl Cdit Cd06 Cuttack -TJI1</t>
  </si>
  <si>
    <t>store_002690</t>
  </si>
  <si>
    <t>Reliance Digital -Rrl D Xpress Center Square Mal -8645</t>
  </si>
  <si>
    <t>store_002691</t>
  </si>
  <si>
    <t>Reliance Digital- Sector 22 -TB2B</t>
  </si>
  <si>
    <t>store_002692</t>
  </si>
  <si>
    <t>Reliance Digital- Rrl Cdit Kilkattalai Chennai -8938</t>
  </si>
  <si>
    <t>store_002693</t>
  </si>
  <si>
    <t>Reliance Digital- S P Verma Road -TO57</t>
  </si>
  <si>
    <t>store_002694</t>
  </si>
  <si>
    <t>Reliance Digital -Rrl Cdit Attapur Hyderabad -8836</t>
  </si>
  <si>
    <t>store_002695</t>
  </si>
  <si>
    <t>Reliance Digital- Rrl Cdit- Shalimar I -TZ8F</t>
  </si>
  <si>
    <t>store_002696</t>
  </si>
  <si>
    <t>Reliance Digital -Rrl D Xpress Urban Oasis Mall -8738</t>
  </si>
  <si>
    <t>store_002697</t>
  </si>
  <si>
    <t>Reliance Digital- Rrl Cdit Phoenix Lucknow Stor -8948</t>
  </si>
  <si>
    <t>store_002698</t>
  </si>
  <si>
    <t>Reliance Digital- Rrl Cdit Krishna Vatika Jalpa -TJV7</t>
  </si>
  <si>
    <t>store_002699</t>
  </si>
  <si>
    <t>Reliance Digital -Rrl Cdit Laxmi Heights -TI73</t>
  </si>
  <si>
    <t>Durg-Bhilainagar</t>
  </si>
  <si>
    <t>store_002700</t>
  </si>
  <si>
    <t>Reliance Digital -Rrl Cdit Prozone Mall -TR68</t>
  </si>
  <si>
    <t>store_002701</t>
  </si>
  <si>
    <t>Reliance Digital -Rrl Cdit Lawate Nagar Nasik -8916</t>
  </si>
  <si>
    <t>store_002702</t>
  </si>
  <si>
    <t>Reliance Digital -Rrl Cdit Westend Mall Yavatmal -TOH3</t>
  </si>
  <si>
    <t>Yavatmal</t>
  </si>
  <si>
    <t>store_002703</t>
  </si>
  <si>
    <t>Reliance Digital- Rrl Cdit Brookefields Plaza -8941</t>
  </si>
  <si>
    <t>store_002704</t>
  </si>
  <si>
    <t>Reliance Digital -Rrl Cdit-Itangar -T1CA</t>
  </si>
  <si>
    <t>Itanagar</t>
  </si>
  <si>
    <t>Arunachal Pradesh</t>
  </si>
  <si>
    <t>store_002705</t>
  </si>
  <si>
    <t>Reliance Digital -Rrl D Xpress Viva City Thane M -8667</t>
  </si>
  <si>
    <t>store_002706</t>
  </si>
  <si>
    <t>Reliance Digital- Rrl Cdit-Kamla Prasa -T24N</t>
  </si>
  <si>
    <t>store_002707</t>
  </si>
  <si>
    <t>Reliance Digital- Rrl D Xpress Park Mansion Kolk -8709</t>
  </si>
  <si>
    <t>store_002708</t>
  </si>
  <si>
    <t>Reliance Digital- Rrl Cdit Hewett Road -TXFY</t>
  </si>
  <si>
    <t>store_002709</t>
  </si>
  <si>
    <t>Reliance Digital -Rrl D Xpress Gaurav Tower Jaip -8722</t>
  </si>
  <si>
    <t>store_002710</t>
  </si>
  <si>
    <t>Reliance Digital- Rrl Cdit-Lulu Mall L -TVK8</t>
  </si>
  <si>
    <t>store_002711</t>
  </si>
  <si>
    <t>Reliance Digital -Rrl Cdit Inorbit Hyderabad -9136</t>
  </si>
  <si>
    <t>store_002712</t>
  </si>
  <si>
    <t>Reliance Digital -Rrl Cdit Trilium Mall Nagpur -TB86</t>
  </si>
  <si>
    <t>store_002713</t>
  </si>
  <si>
    <t>Reliance Digital -Rrl Cdit Ghaziabad Specialit -8945</t>
  </si>
  <si>
    <t>store_002714</t>
  </si>
  <si>
    <t>Reliance Digital -Rrl Cdit Phoenix Mal -TH0R</t>
  </si>
  <si>
    <t>store_002715</t>
  </si>
  <si>
    <t>Reliance Digital- Rrl Cdit Ideal Plaza Kolkata -8988</t>
  </si>
  <si>
    <t>store_002716</t>
  </si>
  <si>
    <t>Reliance Digital -Rrl Cdit E 144 Main Road Saket -TNE5</t>
  </si>
  <si>
    <t>store_002717</t>
  </si>
  <si>
    <t>Reliance Digital -Rrl Cdit Celebration Mall Udai -8701</t>
  </si>
  <si>
    <t>store_002718</t>
  </si>
  <si>
    <t>Reliance Digital -Rrl Cdit Belathur Bangalore -TNP0</t>
  </si>
  <si>
    <t>store_002719</t>
  </si>
  <si>
    <t>Reliance Digital -Rrl Cdit Bull Temple Road Ban -8890</t>
  </si>
  <si>
    <t>store_002720</t>
  </si>
  <si>
    <t>Reliance Digital -Rrl Cdit Nallagandala Hyd -TJY0</t>
  </si>
  <si>
    <t>store_002721</t>
  </si>
  <si>
    <t>Reliance Digital -Rrl Cdit Ttmc Vijayanagar Bang -8684</t>
  </si>
  <si>
    <t>store_002722</t>
  </si>
  <si>
    <t>Reliance Digital- Rrl Cdit-Kalikapur K -T79Q</t>
  </si>
  <si>
    <t>store_002723</t>
  </si>
  <si>
    <t>Reliance Digital -Rrl Cdit Imperial Mall -T763</t>
  </si>
  <si>
    <t>Silchar</t>
  </si>
  <si>
    <t>store_002724</t>
  </si>
  <si>
    <t>Reliance Digital -Rrl Cdit Elpro Chinchwad -TX08</t>
  </si>
  <si>
    <t>store_002725</t>
  </si>
  <si>
    <t>Reliance Digital -Rrl Cdit Kukatpally Hyderabad -8822</t>
  </si>
  <si>
    <t>store_002726</t>
  </si>
  <si>
    <t>Reliance Digital- Rrl Cdit Mogappair Chennai St -8936</t>
  </si>
  <si>
    <t>store_002727</t>
  </si>
  <si>
    <t>Reliance Digital -Rrl Cdit Asian Mall Gulbarga -8967</t>
  </si>
  <si>
    <t>Gulbarga</t>
  </si>
  <si>
    <t>store_002728</t>
  </si>
  <si>
    <t>Reliance Digital- Kothapet 2 Hyderabad -TP56</t>
  </si>
  <si>
    <t>store_002729</t>
  </si>
  <si>
    <t>Reliance Digital -Rrl Cdit Alto Porvorim -TN64</t>
  </si>
  <si>
    <t>Panaji</t>
  </si>
  <si>
    <t>store_002730</t>
  </si>
  <si>
    <t>Reliance Digital- Rrl Cdit Phoenix Marketcity L -TCW6</t>
  </si>
  <si>
    <t>store_002731</t>
  </si>
  <si>
    <t>Reliance Digital -Rrl Cdit- Kr Puram -TVL9</t>
  </si>
  <si>
    <t>store_002732</t>
  </si>
  <si>
    <t>Reliance Digital -Rrl Cdit Madhuri Chandra Patna -8671</t>
  </si>
  <si>
    <t>store_002733</t>
  </si>
  <si>
    <t>Reliance Digital- Rrl Cdit Navalur -9193</t>
  </si>
  <si>
    <t>store_002734</t>
  </si>
  <si>
    <t>Reliance Digital- Rrl Cdit Galaxy Mall Asansol -8952</t>
  </si>
  <si>
    <t>store_002735</t>
  </si>
  <si>
    <t>Reliance Digital -Rrl Cdit Banjara Hills -9131</t>
  </si>
  <si>
    <t>store_002736</t>
  </si>
  <si>
    <t>Reliance Digital -Rrl Cdit Najafgarh Delhi -8676</t>
  </si>
  <si>
    <t>store_002737</t>
  </si>
  <si>
    <t>Reliance Digital -Rrl Cdit Windsor Bangalore St -8886</t>
  </si>
  <si>
    <t>store_002738</t>
  </si>
  <si>
    <t>Reliance Digital -Rrl Cdit-Hennur Road -TXSN</t>
  </si>
  <si>
    <t>store_002739</t>
  </si>
  <si>
    <t>Reliance Digital -Rrl Cdit Prestige Shantiniket -TP73</t>
  </si>
  <si>
    <t>store_002740</t>
  </si>
  <si>
    <t>Reliance Digital -Rrl Cdit Kakinada Ap -8727</t>
  </si>
  <si>
    <t>store_002741</t>
  </si>
  <si>
    <t>Reliance Digital- Bb Pune Kothrud City Pride Mul -TSE1</t>
  </si>
  <si>
    <t>store_002742</t>
  </si>
  <si>
    <t>Reliance Digital- Rrl Cdit Kanth Road Moradabad -T618</t>
  </si>
  <si>
    <t>Moradabad</t>
  </si>
  <si>
    <t>executive_00031, executive_00030, executive_00002, executive_00027</t>
  </si>
  <si>
    <t>Bisma Nadeem, Avantika Gupta, Kanishk Bhardwaj, Rohan Saxena</t>
  </si>
  <si>
    <t>store_002743</t>
  </si>
  <si>
    <t>Reliance Digital -Rrl Cdit-Margao Bypa -TVK4</t>
  </si>
  <si>
    <t>store_002744</t>
  </si>
  <si>
    <t>Reliance Digital -Rrl Cdit Dwarka -9595</t>
  </si>
  <si>
    <t>store_002745</t>
  </si>
  <si>
    <t>Reliance Digital- Rrl Cdit Medical College Road -TVK2</t>
  </si>
  <si>
    <t>store_002746</t>
  </si>
  <si>
    <t>Reliance Digital- Rrl Cdit Curzon Residency Burd -8985</t>
  </si>
  <si>
    <t>store_002747</t>
  </si>
  <si>
    <t>Reliance Digital- Cdit- Dunlop -TSF5</t>
  </si>
  <si>
    <t>store_002748</t>
  </si>
  <si>
    <t>Reliance Digital- Rrl Cdit Z Square Mall Kanpur -8947</t>
  </si>
  <si>
    <t>store_002749</t>
  </si>
  <si>
    <t>Reliance Digital- Deep Cinema -TFF2</t>
  </si>
  <si>
    <t>store_002750</t>
  </si>
  <si>
    <t>Reliance Digital- Elite Complex -TXUD</t>
  </si>
  <si>
    <t>store_002751</t>
  </si>
  <si>
    <t>Reliance Digital- Nalgonda Telangana -9184</t>
  </si>
  <si>
    <t>Nalgonda</t>
  </si>
  <si>
    <t>store_002752</t>
  </si>
  <si>
    <t>Reliance Digital- Madhurwada -TTZ6</t>
  </si>
  <si>
    <t>store_002753</t>
  </si>
  <si>
    <t>Reliance Digital- Rrl Cdit-Vijaya Mall -TAZ4</t>
  </si>
  <si>
    <t>store_002754</t>
  </si>
  <si>
    <t>Reliance Digital -Rrl Cdit Solitaire Aundh Stor -8923</t>
  </si>
  <si>
    <t>store_002755</t>
  </si>
  <si>
    <t>Reliance Digital -Rrl Cdit Sparsh Plaza Pune St -8924</t>
  </si>
  <si>
    <t>store_002756</t>
  </si>
  <si>
    <t>Reliance Digital -Rrl Cdit Rt Nagar Bang -TSD4</t>
  </si>
  <si>
    <t>store_002757</t>
  </si>
  <si>
    <t>Reliance Digital -Rrl Cdit Siddaganga Math -9562</t>
  </si>
  <si>
    <t>store_002758</t>
  </si>
  <si>
    <t>Reliance Digital -Rrl Cdit J P Nagar Store -8883</t>
  </si>
  <si>
    <t>store_002759</t>
  </si>
  <si>
    <t>Reliance Digital -Rrl Cdit Lulu Mall B -TB1G</t>
  </si>
  <si>
    <t>store_002760</t>
  </si>
  <si>
    <t>Reliance Digital- Shilpukri Guwahati -9632</t>
  </si>
  <si>
    <t>store_002761</t>
  </si>
  <si>
    <t>Reliance Digital- Rrl Cdit The Capital By Lake S -TWXI</t>
  </si>
  <si>
    <t>store_002762</t>
  </si>
  <si>
    <t>Reliance Digital -Rrl Cdit Shewalkar Arcade Dhar -TOA2</t>
  </si>
  <si>
    <t>store_002763</t>
  </si>
  <si>
    <t>Reliance Digital- Ril Mall Nagarcoil -T592</t>
  </si>
  <si>
    <t>Nagarcoil</t>
  </si>
  <si>
    <t>store_002764</t>
  </si>
  <si>
    <t>Reliance Digital- Rrl Cdit Banik Gariahat -3834</t>
  </si>
  <si>
    <t>store_002765</t>
  </si>
  <si>
    <t>Reliance Digital -Rrl D Xpress Star Zone Nashik -8718</t>
  </si>
  <si>
    <t>store_002766</t>
  </si>
  <si>
    <t>Reliance Digital -Rrl Cdit Cine Mall Ajmer -8703</t>
  </si>
  <si>
    <t>store_002767</t>
  </si>
  <si>
    <t>Reliance Digital- Rrl Cdit Axiom Mall Dehradun -7575</t>
  </si>
  <si>
    <t>store_002768</t>
  </si>
  <si>
    <t>Reliance Digital -Rrl Cdit Mangaldeep Surat -6369</t>
  </si>
  <si>
    <t>store_002769</t>
  </si>
  <si>
    <t>Reliance Digital -Rrl Cdit Suncity Hydrabad -TIY6</t>
  </si>
  <si>
    <t>store_002770</t>
  </si>
  <si>
    <t>Reliance Digital- Rrl Cdit Omaxe Mall Greater No -TC82</t>
  </si>
  <si>
    <t>store_002771</t>
  </si>
  <si>
    <t>Reliance Digital -Rrl Cdit-Akhaura Roa -T53Y</t>
  </si>
  <si>
    <t>Agartala</t>
  </si>
  <si>
    <t>store_002772</t>
  </si>
  <si>
    <t>Reliance Digital- Rrl Cdit Chinsurah Hooghly -TGE6</t>
  </si>
  <si>
    <t>store_002773</t>
  </si>
  <si>
    <t>Reliance Digital -Rrl Cdit Chinchwad -T768</t>
  </si>
  <si>
    <t>store_002774</t>
  </si>
  <si>
    <t>Reliance Digital -Rrl Cdit Chorda Bye Pass Jajp -TCC1</t>
  </si>
  <si>
    <t>Jajpur</t>
  </si>
  <si>
    <t>store_002775</t>
  </si>
  <si>
    <t>Reliance Digital- Rrl Cdit Barrackpore -8699</t>
  </si>
  <si>
    <t>store_002776</t>
  </si>
  <si>
    <t>Reliance Digital -Rrl Cdit Bidar -9186</t>
  </si>
  <si>
    <t>Bidar</t>
  </si>
  <si>
    <t>store_002777</t>
  </si>
  <si>
    <t>Reliance Digital- Rrl Cdit Shagun Insignia Ulwe -TEH3</t>
  </si>
  <si>
    <t>store_002778</t>
  </si>
  <si>
    <t>Reliance Digital -Rrl Cdit Haralur Bangalore -TNQ1</t>
  </si>
  <si>
    <t>store_002779</t>
  </si>
  <si>
    <t>Reliance Digital- Sf Road Siliguri -TU39</t>
  </si>
  <si>
    <t>store_002780</t>
  </si>
  <si>
    <t>Reliance Digital -Rrl Cdit  Shi Kant Verma Marg -TSE8</t>
  </si>
  <si>
    <t>store_002781</t>
  </si>
  <si>
    <t>Reliance Digital -Rrl Cdit Ardee Mall -TX24</t>
  </si>
  <si>
    <t>store_002782</t>
  </si>
  <si>
    <t>Reliance Digital- Rrl Cdit Seawoods Grand Centra -TB88</t>
  </si>
  <si>
    <t>store_002783</t>
  </si>
  <si>
    <t>Reliance Digital- Rrl Cdit-Rajendra Na -TFJ5</t>
  </si>
  <si>
    <t>store_002784</t>
  </si>
  <si>
    <t>Reliance Digital- Rrl Cdit Times V Square Belapu -8464</t>
  </si>
  <si>
    <t>store_002785</t>
  </si>
  <si>
    <t>Reliance Digital- Rrl Cdit Poonamallee -9145</t>
  </si>
  <si>
    <t>store_002786</t>
  </si>
  <si>
    <t>Reliance Digital- Rrl Cdit Porur -TW47</t>
  </si>
  <si>
    <t>store_002787</t>
  </si>
  <si>
    <t>Reliance Digital- Cdit-Spectrum Metro -TLL4</t>
  </si>
  <si>
    <t>store_002788</t>
  </si>
  <si>
    <t>Reliance Digital- Rrl Cdit-Kengeri -TSF3</t>
  </si>
  <si>
    <t>store_002789</t>
  </si>
  <si>
    <t>Reliance Digital- Rrl Cdit Velachery -9192</t>
  </si>
  <si>
    <t>store_002790</t>
  </si>
  <si>
    <t>Reliance Digital- Rrl Cdit Meyyanur Salem -8725</t>
  </si>
  <si>
    <t>store_002791</t>
  </si>
  <si>
    <t>Reliance Digital- Rrl Cdit- Oasis Hari -T1BY</t>
  </si>
  <si>
    <t>store_002792</t>
  </si>
  <si>
    <t>Reliance Digital- Rrl Cdit Banaswadi Bangalore -8758</t>
  </si>
  <si>
    <t>store_002793</t>
  </si>
  <si>
    <t>Reliance Digital- Rrl Cdit Sodepur -9146</t>
  </si>
  <si>
    <t>store_002794</t>
  </si>
  <si>
    <t>Reliance Digital- Rrl Cdit Sr Nagar Hyd -TGJ6</t>
  </si>
  <si>
    <t>store_002795</t>
  </si>
  <si>
    <t>Reliance Digital- Rrl Cdit Ak Hitech O -T8TK</t>
  </si>
  <si>
    <t>store_002796</t>
  </si>
  <si>
    <t>Reliance Digital- Rrl Cdit Nd Elite Bangalore S -8893</t>
  </si>
  <si>
    <t>store_002797</t>
  </si>
  <si>
    <t>Reliance Digital- Rrl Cdit Bb Road Devanhalli Ma -TXFZ</t>
  </si>
  <si>
    <t>Devanhalli</t>
  </si>
  <si>
    <t>store_002798</t>
  </si>
  <si>
    <t>Reliance Digital- Rrl Cdit Shivam Road Hyderaba -8823</t>
  </si>
  <si>
    <t>store_002799</t>
  </si>
  <si>
    <t>Reliance Digital- Rrl Cdit Central Plaza Eluru -8673</t>
  </si>
  <si>
    <t>store_002800</t>
  </si>
  <si>
    <t>Reliance Digital- Rrl Cdit Orion Omr Mall Bangal -TES0</t>
  </si>
  <si>
    <t>store_002801</t>
  </si>
  <si>
    <t>Reliance Digital- Rrl Cdit Udayaravi Rd Kuvempu -TW2A</t>
  </si>
  <si>
    <t>store_002802</t>
  </si>
  <si>
    <t>Reliance Digital- Rrl Cdit Halwasiya Court Luck -8950</t>
  </si>
  <si>
    <t>store_002803</t>
  </si>
  <si>
    <t>Reliance Digital- Rrl Cdit Ge Road -TH0M</t>
  </si>
  <si>
    <t>store_002804</t>
  </si>
  <si>
    <t>Reliance Digital- Narapally Hyderabad -TR67</t>
  </si>
  <si>
    <t>store_002805</t>
  </si>
  <si>
    <t>Reliance Digital- Rrl Cdit Kondapur Hyd -TUF5</t>
  </si>
  <si>
    <t>store_002806</t>
  </si>
  <si>
    <t>Reliance Digital- Rrl Cdit Yelahanka Bng -TCJ6</t>
  </si>
  <si>
    <t>store_002807</t>
  </si>
  <si>
    <t>Reliance Digital- Rrl Cdit Sarajapur Road Bangal -TOD3</t>
  </si>
  <si>
    <t>store_002808</t>
  </si>
  <si>
    <t>Reliance Digital- Gangapur Road -TVK5</t>
  </si>
  <si>
    <t>store_002809</t>
  </si>
  <si>
    <t>Reliance Digital- Rrl Cdit-Swaroop Nag -T30E</t>
  </si>
  <si>
    <t>store_002810</t>
  </si>
  <si>
    <t>Reliance Digital- Parc Chembur Mumbai -3796</t>
  </si>
  <si>
    <t>store_002811</t>
  </si>
  <si>
    <t>Reliance Digital- Rrl Cdit Amisha Empire -9609</t>
  </si>
  <si>
    <t>store_002812</t>
  </si>
  <si>
    <t>Reliance Digital- Rrl Cdit-Rama Arcade -TVM4</t>
  </si>
  <si>
    <t>store_002813</t>
  </si>
  <si>
    <t>Reliance Digital- Rrl Cdit Altair Duma -TG7K</t>
  </si>
  <si>
    <t>store_002814</t>
  </si>
  <si>
    <t>Reliance Digital- Rrl Cdit Market City Mall -8935</t>
  </si>
  <si>
    <t>store_002815</t>
  </si>
  <si>
    <t>Reliance Digital- Rrl Cdit Ipcl Jvpd Juhu Mumbai -8972</t>
  </si>
  <si>
    <t>store_002816</t>
  </si>
  <si>
    <t>Reliance Digital- Rrl Cdit Katchehry Road Raebar -TEH1</t>
  </si>
  <si>
    <t>Raebareli</t>
  </si>
  <si>
    <t>store_002817</t>
  </si>
  <si>
    <t>Reliance Digital- Rrl Cdit Rr Nagar Bangalore -8745</t>
  </si>
  <si>
    <t>store_002818</t>
  </si>
  <si>
    <t>Reliance Digital- Rrl Cdit Vaishali Nagarjaipur -T051</t>
  </si>
  <si>
    <t>store_002819</t>
  </si>
  <si>
    <t>Reliance Digital- Rrl Cdit Neeladhri Road -TU92</t>
  </si>
  <si>
    <t>store_002820</t>
  </si>
  <si>
    <t>Reliance Digital- Rrl Cdit-Forum Sujan -TAE4</t>
  </si>
  <si>
    <t>store_002821</t>
  </si>
  <si>
    <t>Reliance Digital- Arcot, Bye Pass Road -TXTV</t>
  </si>
  <si>
    <t>Arcot</t>
  </si>
  <si>
    <t>store_002822</t>
  </si>
  <si>
    <t>Reliance Digital- Rrl Cdit Pathardi Mu -TZ8E</t>
  </si>
  <si>
    <t>store_002823</t>
  </si>
  <si>
    <t>Reliance Digital- Rrl Cdit City Centre -T8RL</t>
  </si>
  <si>
    <t>store_002824</t>
  </si>
  <si>
    <t>Reliance Digital- Rrl Cdit Grand Malll Maripur M -TCI0</t>
  </si>
  <si>
    <t>Muzzafarpur</t>
  </si>
  <si>
    <t>store_002825</t>
  </si>
  <si>
    <t>Reliance Digital- Rrl Cdit Kilpauk Chennai Stor -8937</t>
  </si>
  <si>
    <t>store_002826</t>
  </si>
  <si>
    <t>Reliance Digital- Rrl Cdit Bearys City Center S -TC80</t>
  </si>
  <si>
    <t>Shimoga</t>
  </si>
  <si>
    <t>store_002827</t>
  </si>
  <si>
    <t>Reliance Digital- Rrl Cdit Pacific Nsp Pitampura -TXFW</t>
  </si>
  <si>
    <t>store_002828</t>
  </si>
  <si>
    <t>Reliance Digital- Rrl Cdit Rabindra Avenue Mal -TCO0</t>
  </si>
  <si>
    <t>Malda</t>
  </si>
  <si>
    <t>store_002829</t>
  </si>
  <si>
    <t>Reliance Digital- Rrl Cdit Gachibowli Hyderabad -6362</t>
  </si>
  <si>
    <t>store_002830</t>
  </si>
  <si>
    <t>Reliance Digital- Rrl Cdit Alpha One Mall Amrits -T591</t>
  </si>
  <si>
    <t>store_002831</t>
  </si>
  <si>
    <t>Reliance Digital- Rrl Cdit Patliputra -TR64</t>
  </si>
  <si>
    <t>store_002832</t>
  </si>
  <si>
    <t>Reliance Digital- Rrl Cdit Perambur Chennai -8755</t>
  </si>
  <si>
    <t>store_002833</t>
  </si>
  <si>
    <t>Reliance Digital- Rrl Cdit Sonal Business Park G -TTZ9</t>
  </si>
  <si>
    <t>store_002834</t>
  </si>
  <si>
    <t>Reliance Digital- Rrl Cdit Mudichur -T765</t>
  </si>
  <si>
    <t>store_002835</t>
  </si>
  <si>
    <t>Reliance Digital- City Centre Haldiya -TR21</t>
  </si>
  <si>
    <t>Haldia</t>
  </si>
  <si>
    <t>store_002836</t>
  </si>
  <si>
    <t>Reliance Digital- Rrl Cdit Satyam Kolkata Store -8954</t>
  </si>
  <si>
    <t>store_002837</t>
  </si>
  <si>
    <t>Reliance Digital- Rrl Cdit Beside Municipal Off -TY90</t>
  </si>
  <si>
    <t>Kamareddy</t>
  </si>
  <si>
    <t>store_002838</t>
  </si>
  <si>
    <t>Reliance Digital- Rrl Cdit Helix Ghatk -T5RQ</t>
  </si>
  <si>
    <t>store_002839</t>
  </si>
  <si>
    <t>Reliance Digital- Rrl Cdit Nagole Hyd -TUC5</t>
  </si>
  <si>
    <t>store_002840</t>
  </si>
  <si>
    <t>Reliance Digital- Rrl Cdit-Sheth House -TXXH</t>
  </si>
  <si>
    <t>store_002841</t>
  </si>
  <si>
    <t>Reliance Digital- Rrl Cdit-Banashankar -T32N</t>
  </si>
  <si>
    <t>store_002842</t>
  </si>
  <si>
    <t>Reliance Digital- Rrl Cdit United Phoenix Mall -8944</t>
  </si>
  <si>
    <t>Bareily</t>
  </si>
  <si>
    <t>store_002843</t>
  </si>
  <si>
    <t>Reliance Digital- Rrl Cdit Vidyanagar Hubli -8896</t>
  </si>
  <si>
    <t>store_002844</t>
  </si>
  <si>
    <t>Reliance Digital- Rrl Cdit Geetai Sankul Paud Ro -TDQ0</t>
  </si>
  <si>
    <t>store_002845</t>
  </si>
  <si>
    <t>Reliance Digital- Rrl Cdit Near Shashti Bridge J -TLL2</t>
  </si>
  <si>
    <t>store_002846</t>
  </si>
  <si>
    <t>Reliance Digital- Rrl Cdit Mahagun Metro Mall G -8946</t>
  </si>
  <si>
    <t>store_002847</t>
  </si>
  <si>
    <t>Reliance Digital- Rrl Cdit Ambience Mall Gurgao -8875</t>
  </si>
  <si>
    <t>store_002848</t>
  </si>
  <si>
    <t>Reliance Digital- Kancharapara Kolkata -TG67</t>
  </si>
  <si>
    <t>store_002849</t>
  </si>
  <si>
    <t>Reliance Digital- Rrl Cdit Keshwapur H -T5ZV</t>
  </si>
  <si>
    <t>store_002850</t>
  </si>
  <si>
    <t>Reliance Digital- Rrl Cdit Sec 9 Panchkula -8465</t>
  </si>
  <si>
    <t>store_002851</t>
  </si>
  <si>
    <t>Reliance Digital- Rrl Cdit Providence Mall -3686</t>
  </si>
  <si>
    <t>Puducherry</t>
  </si>
  <si>
    <t>Pondicherry</t>
  </si>
  <si>
    <t>store_002852</t>
  </si>
  <si>
    <t>Reliance Digital- Rrl Cdit Jorhat -3845</t>
  </si>
  <si>
    <t>Jorhat</t>
  </si>
  <si>
    <t>store_002853</t>
  </si>
  <si>
    <t>Reliance Digital- Rrl Cdit Marathalli Bangalore -8792</t>
  </si>
  <si>
    <t>store_002854</t>
  </si>
  <si>
    <t>Reliance Digital- Forum Heights Puttur -9162</t>
  </si>
  <si>
    <t>store_002855</t>
  </si>
  <si>
    <t>Reliance Digital- Rrl Cdit Selaiyur -T767</t>
  </si>
  <si>
    <t>store_002856</t>
  </si>
  <si>
    <t>Reliance Digital- Rrl Cdit Station Road Rajahmun -8962</t>
  </si>
  <si>
    <t>store_002857</t>
  </si>
  <si>
    <t>Reliance Digital- Rrl Cdit-Amalapuram -TZRA</t>
  </si>
  <si>
    <t>Amalapuram</t>
  </si>
  <si>
    <t>store_002858</t>
  </si>
  <si>
    <t>Reliance Digital- Rrl Cdit Jn Road Rajahmundry -9512</t>
  </si>
  <si>
    <t>store_002859</t>
  </si>
  <si>
    <t>Reliance Digital- Rrl Cdit Almonte Pune -8721</t>
  </si>
  <si>
    <t>store_002860</t>
  </si>
  <si>
    <t>Reliance Digital- Rrl Cdit Vizianagaram -7633</t>
  </si>
  <si>
    <t>Vizianagaram</t>
  </si>
  <si>
    <t>store_002861</t>
  </si>
  <si>
    <t>Reliance Digital- Mohinpura Siddipet -9183</t>
  </si>
  <si>
    <t>Siddipet</t>
  </si>
  <si>
    <t>store_002862</t>
  </si>
  <si>
    <t>Reliance Digital- Rrl Cdit Chandan Nagar -TN23</t>
  </si>
  <si>
    <t>store_002863</t>
  </si>
  <si>
    <t>Reliance Digital- Rrl Cdit Ambattur Chennai -8979</t>
  </si>
  <si>
    <t>store_002864</t>
  </si>
  <si>
    <t>Reliance Digital- Rrl Cdit Amar Empire -3868</t>
  </si>
  <si>
    <t>Belgaum</t>
  </si>
  <si>
    <t>store_002865</t>
  </si>
  <si>
    <t>Reliance Digital- Rrl Cdit Elet Arcade Purnea -TCJ8</t>
  </si>
  <si>
    <t>store_002866</t>
  </si>
  <si>
    <t>Reliance Digital- Rrl Cdit Market City Kurla -8787</t>
  </si>
  <si>
    <t>store_002867</t>
  </si>
  <si>
    <t>Reliance Digital- Rrl D Xpress Drishti Mini Mall -8730</t>
  </si>
  <si>
    <t>store_002868</t>
  </si>
  <si>
    <t>Reliance Digital- Rrl Cdit Boulevard P -TI3I</t>
  </si>
  <si>
    <t>store_002869</t>
  </si>
  <si>
    <t>Reliance Digital- Rrl Cdit Pacific Mall Dwarka -TDI7</t>
  </si>
  <si>
    <t>store_002870</t>
  </si>
  <si>
    <t>Reliance Digital- Shubhas Rd Anantapur -8750</t>
  </si>
  <si>
    <t>Anantapur</t>
  </si>
  <si>
    <t>store_002871</t>
  </si>
  <si>
    <t>Reliance Digital- Rrl Cdit Adajan Surat -TY02</t>
  </si>
  <si>
    <t>store_002872</t>
  </si>
  <si>
    <t>Reliance Digital- Rrlcdit Mall Of Asia -TG1N</t>
  </si>
  <si>
    <t>store_002873</t>
  </si>
  <si>
    <t>Reliance Digital- Rrl Cdit Saharanpur -T2RX</t>
  </si>
  <si>
    <t>store_002874</t>
  </si>
  <si>
    <t>Reliance Digital- Rrl Cdit Jubilee Circle -TQ50</t>
  </si>
  <si>
    <t>store_002875</t>
  </si>
  <si>
    <t>Reliance Digital- Rrl Digital Hastinapuram Hyde -8769</t>
  </si>
  <si>
    <t>store_002876</t>
  </si>
  <si>
    <t>Reliance Digital- Rrl Cdit Forum Galleria Rourke -TN22</t>
  </si>
  <si>
    <t>Raurkela</t>
  </si>
  <si>
    <t>store_002877</t>
  </si>
  <si>
    <t>Reliance Digital- Rrl Cdit Season Mall Pune -TKR8</t>
  </si>
  <si>
    <t>store_002878</t>
  </si>
  <si>
    <t>Reliance Digital- Rrl Cdit Indiranagar Extn Sto -8898</t>
  </si>
  <si>
    <t>store_002879</t>
  </si>
  <si>
    <t>Reliance Digital- Balanagar Hyderabad -T750</t>
  </si>
  <si>
    <t>store_002880</t>
  </si>
  <si>
    <t>Reliance Digital- Rrl Cdit-Hsr Layout -T9OE</t>
  </si>
  <si>
    <t>store_002881</t>
  </si>
  <si>
    <t>Reliance Digital- Rrl Cdit-Orbit Plaza -TVM3</t>
  </si>
  <si>
    <t>Junagarh</t>
  </si>
  <si>
    <t>store_002882</t>
  </si>
  <si>
    <t>Reliance Digital- Rrl Cdit-Land Mark 2 -TVL8</t>
  </si>
  <si>
    <t>store_002883</t>
  </si>
  <si>
    <t>Reliance Digital- Reliance Digital Aims Mall -8751</t>
  </si>
  <si>
    <t>store_002884</t>
  </si>
  <si>
    <t>Reliance Digital- Nizamabad Telangana -T754</t>
  </si>
  <si>
    <t>Nizamabad</t>
  </si>
  <si>
    <t>store_002885</t>
  </si>
  <si>
    <t>Reliance Digital- New Scheme Road Pollachi -TCJ5</t>
  </si>
  <si>
    <t>Pollachi</t>
  </si>
  <si>
    <t>store_002886</t>
  </si>
  <si>
    <t>Reliance Digital- Rrl Cdit Guru Towers Chennai -8765</t>
  </si>
  <si>
    <t>store_002887</t>
  </si>
  <si>
    <t>Reliance Digital- Rrl Cdit Gs Road Six -T6AB</t>
  </si>
  <si>
    <t>store_002888</t>
  </si>
  <si>
    <t>Reliance Digital- Rrl Cdit Girija Towe -TJ4W</t>
  </si>
  <si>
    <t>store_002889</t>
  </si>
  <si>
    <t>Reliance Digital- Rrl D Xpress 8D Rcp Ghansoli -8635</t>
  </si>
  <si>
    <t>store_002890</t>
  </si>
  <si>
    <t>Reliance Digital- Rrl Cdit Dwarakanagar Visakhap -TX81</t>
  </si>
  <si>
    <t>store_002891</t>
  </si>
  <si>
    <t>Reliance Digital- Rrl Cdit Ratan Khan -T2QM</t>
  </si>
  <si>
    <t>store_002892</t>
  </si>
  <si>
    <t>Reliance Digital- Rrl Cdit Barasat Mall Kolkata -8987</t>
  </si>
  <si>
    <t>store_002893</t>
  </si>
  <si>
    <t>Reliance Digital- Rrl Cdit Laxmi Puri Kolhapur -8970</t>
  </si>
  <si>
    <t>store_002894</t>
  </si>
  <si>
    <t>Reliance Digital- Rrl Cdit Brookefield -T4LC</t>
  </si>
  <si>
    <t>store_002895</t>
  </si>
  <si>
    <t>Reliance Digital- Rrl Cdit Treasure Island Bhila -8726</t>
  </si>
  <si>
    <t>store_002896</t>
  </si>
  <si>
    <t>Reliance Digital- Rrl Cdit Cross Point Mall Alw -8930</t>
  </si>
  <si>
    <t>store_002897</t>
  </si>
  <si>
    <t>Reliance Digital- Rrl Cdit Hospet College Road -TG68</t>
  </si>
  <si>
    <t>Hospet</t>
  </si>
  <si>
    <t>store_002898</t>
  </si>
  <si>
    <t>Reliance Digital- Rrl Cdit Abz Baner -TKQ7</t>
  </si>
  <si>
    <t>store_002899</t>
  </si>
  <si>
    <t>Reliance Digital- Darga Mitta Nellore -6200</t>
  </si>
  <si>
    <t>store_002900</t>
  </si>
  <si>
    <t>Reliance Digital- Rrl Cdit-Doddaballap -TZZS</t>
  </si>
  <si>
    <t>Doddaballapura</t>
  </si>
  <si>
    <t>store_002901</t>
  </si>
  <si>
    <t>Reliance Digital- Rrl Cdit North Usman Road T N -TCI7</t>
  </si>
  <si>
    <t>store_002902</t>
  </si>
  <si>
    <t>Reliance Digital- Rrl Cdit- Bypass Roa -TVL0</t>
  </si>
  <si>
    <t>store_002903</t>
  </si>
  <si>
    <t>Reliance Digital- Rrl Cdit-Nirmal -T43O</t>
  </si>
  <si>
    <t>Nirmal</t>
  </si>
  <si>
    <t>store_002904</t>
  </si>
  <si>
    <t>Reliance Digital- Rrl Cdit Experia Mall -9135</t>
  </si>
  <si>
    <t>store_002905</t>
  </si>
  <si>
    <t>Reliance Digital- Rrl Cdit Pacific Ma -T2UB</t>
  </si>
  <si>
    <t>Matigara</t>
  </si>
  <si>
    <t>store_002906</t>
  </si>
  <si>
    <t>Reliance Digital- Rrl Cdit Forum Fizaa Mall Man -TDI4</t>
  </si>
  <si>
    <t>store_002907</t>
  </si>
  <si>
    <t>Reliance Digital- Dev Aurum Ahmedabad -TM19</t>
  </si>
  <si>
    <t>executive_00004, executive_00033, executive_00044</t>
  </si>
  <si>
    <t>Soham Patil, Priyanshu Prasad, Priyanshu Prafulbhai Gohel</t>
  </si>
  <si>
    <t>store_002908</t>
  </si>
  <si>
    <t>Reliance Digital- Rrl Cdit Lothiya Complex Nande -TI05</t>
  </si>
  <si>
    <t>store_002909</t>
  </si>
  <si>
    <t>Reliance Digital- Rrl Cdit Lecturuers Colony N -TJI0</t>
  </si>
  <si>
    <t>store_002910</t>
  </si>
  <si>
    <t>Reliance Digital- Rrl Cdit Gowlidoddy Hyd -TFJ6</t>
  </si>
  <si>
    <t>store_002911</t>
  </si>
  <si>
    <t>Reliance Digital- Rrl Cdit Bijapur -3675</t>
  </si>
  <si>
    <t>Bijapur</t>
  </si>
  <si>
    <t>store_002912</t>
  </si>
  <si>
    <t>Reliance Digital- Rrl Cdit Fortune Terraces -TX34</t>
  </si>
  <si>
    <t>store_002913</t>
  </si>
  <si>
    <t>Reliance Digital- Rrl Cdit Vr Mall Chennai -TC78</t>
  </si>
  <si>
    <t>store_002914</t>
  </si>
  <si>
    <t>Reliance Digital- Rrl Cdit- Jessore Ro -TVL4</t>
  </si>
  <si>
    <t>Habra</t>
  </si>
  <si>
    <t>store_002915</t>
  </si>
  <si>
    <t>Reliance Digital- Rrl Cdit-Moshi Pune -T61V</t>
  </si>
  <si>
    <t>store_002916</t>
  </si>
  <si>
    <t>Reliance Digital- Rrl Cdit Subhadra Mall -T753</t>
  </si>
  <si>
    <t>store_002917</t>
  </si>
  <si>
    <t>Reliance Digital- Phoenix Mall, Indore -8944</t>
  </si>
  <si>
    <t>store_002918</t>
  </si>
  <si>
    <t>Reliance Digital- Rrl Cdit Alpha One Ahmedabad -8872</t>
  </si>
  <si>
    <t>store_002919</t>
  </si>
  <si>
    <t>Reliance Digital- Rrl Cdit Hanumakonda Warangal -8736</t>
  </si>
  <si>
    <t>store_002920</t>
  </si>
  <si>
    <t>Reliance Digital- Rrl D Xpress Anna Nagar Madura -8716</t>
  </si>
  <si>
    <t>store_002921</t>
  </si>
  <si>
    <t>Reliance Digital- Rrl Cdit Bm Road -TVK9</t>
  </si>
  <si>
    <t>Kushalnagar</t>
  </si>
  <si>
    <t>store_002922</t>
  </si>
  <si>
    <t>Reliance Digital- Rrl Cdit Garvebhavipalya Hosu -TJI9</t>
  </si>
  <si>
    <t>store_002923</t>
  </si>
  <si>
    <t>Reliance Digital- Rrl Cdit Near Chennai Silks -TN51</t>
  </si>
  <si>
    <t>store_002924</t>
  </si>
  <si>
    <t>Reliance Digital- Rrl Cdit Avinashi Road Coimba -TQA7</t>
  </si>
  <si>
    <t>store_002925</t>
  </si>
  <si>
    <t>Reliance Digital- Rrl Cdit Jayendra Ganj Gwalior -TOI4</t>
  </si>
  <si>
    <t>store_002926</t>
  </si>
  <si>
    <t>Reliance Digital- Rrl Cdit-Tapadia Cit -TVL5</t>
  </si>
  <si>
    <t>store_002927</t>
  </si>
  <si>
    <t>Reliance Digital- Rrl Cdit Reach Aria Mall Gurga -TIX4</t>
  </si>
  <si>
    <t>executive_00031, executive_00030, executive_00006, executive_00027, executive_00007, executive_00026, executive_00043, executive_00046</t>
  </si>
  <si>
    <t>Bisma Nadeem, Avantika Gupta, Neeraj Kandwal, Rohan Saxena, Ayush Joshi, Sonal Kumar, Anirudh shankar, Abhishek Kumar Singh</t>
  </si>
  <si>
    <t>store_002928</t>
  </si>
  <si>
    <t>Reliance Digital- Rrl Cdit Shelar Park Khadapada -TED7</t>
  </si>
  <si>
    <t>store_002929</t>
  </si>
  <si>
    <t>Reliance Digital- Rrlcdit- Mii Square -TVK3</t>
  </si>
  <si>
    <t>store_002930</t>
  </si>
  <si>
    <t>Reliance Digital- Rrl Cdit- Madhyamgra -T86Y</t>
  </si>
  <si>
    <t>store_002931</t>
  </si>
  <si>
    <t>Reliance Digital- Rrl Cdit Tarabai Park -TQ44</t>
  </si>
  <si>
    <t>store_002932</t>
  </si>
  <si>
    <t>Reliance Digital- Rrl Cdit Anakapalli -TTZ8</t>
  </si>
  <si>
    <t>Anakapalle</t>
  </si>
  <si>
    <t>store_002933</t>
  </si>
  <si>
    <t>Reliance Digital- Rrl Cdit Saraswati Nagar -TS21</t>
  </si>
  <si>
    <t>store_002934</t>
  </si>
  <si>
    <t>Reliance Digital- Rrl Cdit-Dimpaur -TZZO</t>
  </si>
  <si>
    <t>Dimapur</t>
  </si>
  <si>
    <t>Nagaland</t>
  </si>
  <si>
    <t>store_002935</t>
  </si>
  <si>
    <t>Reliance Digital- Rrl Cdit Balasore -9611</t>
  </si>
  <si>
    <t>Balasore</t>
  </si>
  <si>
    <t>store_002936</t>
  </si>
  <si>
    <t>Reliance Digital- Rrl Cdit-Sec14 Delhi -TSF4</t>
  </si>
  <si>
    <t>store_002937</t>
  </si>
  <si>
    <t>Reliance Digital- Rrl Cdit- Chakrata R -TVM2</t>
  </si>
  <si>
    <t>store_002938</t>
  </si>
  <si>
    <t>Reliance Digital- Rrl Cdit The Hive K -T2VO</t>
  </si>
  <si>
    <t>store_002939</t>
  </si>
  <si>
    <t>Reliance Digital- Rrl Cdit Orion Business Park -8909</t>
  </si>
  <si>
    <t>store_002940</t>
  </si>
  <si>
    <t>Reliance Digital- Rrl Cdit Sangeeta Heights Amba -TEE0</t>
  </si>
  <si>
    <t>store_002941</t>
  </si>
  <si>
    <t>Reliance Digital- Rrl Cdit Hotel Grace Pipli Roa -TLK6</t>
  </si>
  <si>
    <t>store_002942</t>
  </si>
  <si>
    <t>Reliance Digital- Rrl Cdit Koramangala Bangalor -8882</t>
  </si>
  <si>
    <t>store_002943</t>
  </si>
  <si>
    <t>Reliance Digital- Civil Lines Bareilly -TW40</t>
  </si>
  <si>
    <t>store_002944</t>
  </si>
  <si>
    <t>Reliance Digital- Rrl Cdit Sahyog Alina Karelib -TBA6</t>
  </si>
  <si>
    <t>store_002945</t>
  </si>
  <si>
    <t>Reliance Digital- Allahabad Road -TVL6</t>
  </si>
  <si>
    <t>store_002946</t>
  </si>
  <si>
    <t>Reliance Digital- Rrl Cdit- Pacific Ma -T44L</t>
  </si>
  <si>
    <t>executive_00031, executive_00030, executive_00006, executive_00027, executive_00026, executive_00046</t>
  </si>
  <si>
    <t>Bisma Nadeem, Avantika Gupta, Neeraj Kandwal, Rohan Saxena, Sonal Kumar, Abhishek Kumar Singh</t>
  </si>
  <si>
    <t>store_002947</t>
  </si>
  <si>
    <t>Reliance Digital- Rrl Cdit Mahaboobnagar -TI04</t>
  </si>
  <si>
    <t>store_002948</t>
  </si>
  <si>
    <t>Reliance Digital- Theni Tamilnadu -TW39</t>
  </si>
  <si>
    <t>store_002949</t>
  </si>
  <si>
    <t>Reliance Digital- Rrl Cdit- Ashtapad -T82A</t>
  </si>
  <si>
    <t>store_002950</t>
  </si>
  <si>
    <t>Reliance Digital- Rrl Cdit Km Road Chickmagaluru -TTS2</t>
  </si>
  <si>
    <t>Chickmangaluru</t>
  </si>
  <si>
    <t>store_002951</t>
  </si>
  <si>
    <t>Reliance Digital- Rrl Cdit- Sipri Road -T9RG</t>
  </si>
  <si>
    <t>Jhansi</t>
  </si>
  <si>
    <t>store_002952</t>
  </si>
  <si>
    <t>Reliance Digital- Rrl Cdit Wakad Pune -TNP5</t>
  </si>
  <si>
    <t>store_002953</t>
  </si>
  <si>
    <t>Reliance Digital- Rrl Cdit Genesis Mall -TI03</t>
  </si>
  <si>
    <t>store_002954</t>
  </si>
  <si>
    <t>Reliance Digital- Rrl Cdit Forum Rangoli -TO11</t>
  </si>
  <si>
    <t>store_002955</t>
  </si>
  <si>
    <t>Reliance Digital- Rrl Cdit- Indrapuri -TVL1</t>
  </si>
  <si>
    <t>store_002956</t>
  </si>
  <si>
    <t>Reliance Digital- Rrl Cdit Western Express High -8905</t>
  </si>
  <si>
    <t>store_002957</t>
  </si>
  <si>
    <t>Reliance Digital- Rrl Cdit- Sanagaredd -T9RJ</t>
  </si>
  <si>
    <t>Sangareddy</t>
  </si>
  <si>
    <t>store_002958</t>
  </si>
  <si>
    <t>Reliance Digital- Rrl Cdit Sawan Life Style -TB84</t>
  </si>
  <si>
    <t>store_002959</t>
  </si>
  <si>
    <t>Reliance Digital- Rrl Cdit Old Bh Rd Nelamangala -TTS4</t>
  </si>
  <si>
    <t>store_002960</t>
  </si>
  <si>
    <t>Reliance Digital- Rrl Cdit Nacharam Hyderabad -8961</t>
  </si>
  <si>
    <t>store_002961</t>
  </si>
  <si>
    <t>Reliance Digital- Rrl Cdit Lb Nagar Kothapet Hy -8834</t>
  </si>
  <si>
    <t>store_002962</t>
  </si>
  <si>
    <t>Reliance Digital- Rrl Cdit Coastal Castle Bheem -8526</t>
  </si>
  <si>
    <t>Bheemavaram</t>
  </si>
  <si>
    <t>store_002963</t>
  </si>
  <si>
    <t>Reliance Digital- Rrl Cdit City Centre Jodhp -8989</t>
  </si>
  <si>
    <t>store_002964</t>
  </si>
  <si>
    <t>Reliance Digital- Rrl Cdit Sambalpur -3814</t>
  </si>
  <si>
    <t>Sambalpur</t>
  </si>
  <si>
    <t>store_002965</t>
  </si>
  <si>
    <t>Reliance Digital- Rrl Cdit Yst Mall Khammam -TY23</t>
  </si>
  <si>
    <t>store_002966</t>
  </si>
  <si>
    <t>Reliance Digital- Rrl Cdit Bokaro Mall Bokaro -6400</t>
  </si>
  <si>
    <t>Bokaro Steel City</t>
  </si>
  <si>
    <t>store_002967</t>
  </si>
  <si>
    <t>Reliance Digital- Rrl Cdit Mancotta Road Dibruga -TCR5</t>
  </si>
  <si>
    <t>Dibrugarh</t>
  </si>
  <si>
    <t>store_002968</t>
  </si>
  <si>
    <t>Reliance Digital- Rrl Cdit Baruipur -TB82</t>
  </si>
  <si>
    <t>store_002969</t>
  </si>
  <si>
    <t>Reliance Digital- Rrl Cdit Avadi Chennai -3898</t>
  </si>
  <si>
    <t>store_002970</t>
  </si>
  <si>
    <t>Reliance Digital- Rrl Cdit New Bel Road Bangalor -6401</t>
  </si>
  <si>
    <t>store_002971</t>
  </si>
  <si>
    <t>Reliance Digital- Rrl Cdit Hosur Road Bangalore -6835</t>
  </si>
  <si>
    <t>store_002972</t>
  </si>
  <si>
    <t>Reliance Digital- Rrl Cdit One Word Hi -T0R1</t>
  </si>
  <si>
    <t>Himmatnagar</t>
  </si>
  <si>
    <t>store_002973</t>
  </si>
  <si>
    <t>Reliance Digital- Mansarova Rohtak Hr -3790</t>
  </si>
  <si>
    <t>store_002974</t>
  </si>
  <si>
    <t>Reliance Digital- Rrl Cdit Kalwar Road -TW28</t>
  </si>
  <si>
    <t>store_002975</t>
  </si>
  <si>
    <t>Reliance Digital- Rrl Cdit Asian Sridevi Mall Ha -TM91</t>
  </si>
  <si>
    <t>store_002976</t>
  </si>
  <si>
    <t>Reliance Digital- Rrl Cdit Sundergarh -TSE6</t>
  </si>
  <si>
    <t>Sundergarh</t>
  </si>
  <si>
    <t>store_002977</t>
  </si>
  <si>
    <t>Reliance Digital- Rrl Cdit Berhumpur -9114</t>
  </si>
  <si>
    <t>Berhampur</t>
  </si>
  <si>
    <t>store_002978</t>
  </si>
  <si>
    <t>Reliance Digital- Sankar Cine Angul Od -T764</t>
  </si>
  <si>
    <t>Anugul</t>
  </si>
  <si>
    <t>store_002979</t>
  </si>
  <si>
    <t>Reliance Digital- Rrl Cdit Civil Hospital Road -TSD3</t>
  </si>
  <si>
    <t>store_002980</t>
  </si>
  <si>
    <t>Reliance Digital- Rrl Cdit Shivdhari -T3BB</t>
  </si>
  <si>
    <t>Ambikapur</t>
  </si>
  <si>
    <t>store_002981</t>
  </si>
  <si>
    <t>Reliance Digital- Nagarbhavi Bangalore -3852</t>
  </si>
  <si>
    <t>store_002982</t>
  </si>
  <si>
    <t>Reliance Digital- Rrl Cdit Sfc Mall Sangli Sto -8927</t>
  </si>
  <si>
    <t>store_002983</t>
  </si>
  <si>
    <t>Reliance Digital- Nanital Rd Haldwani -TA92</t>
  </si>
  <si>
    <t>Haldwani</t>
  </si>
  <si>
    <t>store_002984</t>
  </si>
  <si>
    <t>Reliance Digital- Rrl Cdit Vinpalace Ring Road -TLL1</t>
  </si>
  <si>
    <t>store_002985</t>
  </si>
  <si>
    <t>Reliance Digital- Rrlcdit Riddhi Arcad -T6OZ</t>
  </si>
  <si>
    <t>store_002986</t>
  </si>
  <si>
    <t>Reliance Digital- Rrl Cdit- Toran Gard -T79S</t>
  </si>
  <si>
    <t>store_002987</t>
  </si>
  <si>
    <t>Reliance Digital- Rrl Cdit Gami Reaga -T2UZ</t>
  </si>
  <si>
    <t>store_002988</t>
  </si>
  <si>
    <t>Reliance Digital- Rrl Cdit Avenue Plaza Pimple -TEG6</t>
  </si>
  <si>
    <t>store_002989</t>
  </si>
  <si>
    <t>Reliance Digital- Rrl Cdit Sarbahal Road Jharsu -TLL0</t>
  </si>
  <si>
    <t>Jharsuguda</t>
  </si>
  <si>
    <t>store_002990</t>
  </si>
  <si>
    <t>Reliance Digital- Rrl Cdit Bawa Tanna Road Sone -TLK7</t>
  </si>
  <si>
    <t>Sonepat</t>
  </si>
  <si>
    <t>store_002991</t>
  </si>
  <si>
    <t>Reliance Digital- Rrl Cdit- Mth Road -TXWA</t>
  </si>
  <si>
    <t>store_002992</t>
  </si>
  <si>
    <t>Reliance Digital- Rrl Cdit Satature Dh -T6XD</t>
  </si>
  <si>
    <t>store_002993</t>
  </si>
  <si>
    <t>Reliance Digital- Rrl Cdit Prozone Mall Coimbato -9526</t>
  </si>
  <si>
    <t>store_002994</t>
  </si>
  <si>
    <t>Reliance Digital- Rrl Cditbangalore Ro -T4FB</t>
  </si>
  <si>
    <t>store_002995</t>
  </si>
  <si>
    <t>Reliance Digital- Pks Town Central, Noida Ncr -T3DA</t>
  </si>
  <si>
    <t>store_002996</t>
  </si>
  <si>
    <t>Reliance Digital- Ril - Dlf Cyber Hub Gurugram -TF6C</t>
  </si>
  <si>
    <t>store_002997</t>
  </si>
  <si>
    <t>Reliance Digital- Rrl Cdit City Mall Kota Store -8932</t>
  </si>
  <si>
    <t>store_002998</t>
  </si>
  <si>
    <t>Reliance Digital- Rrl Cdit-Naka Paharg -TAVD</t>
  </si>
  <si>
    <t>Ayodhya</t>
  </si>
  <si>
    <t>store_002999</t>
  </si>
  <si>
    <t>Reliance Digital- Rrl Cdit Kachiguda Hyderabad -8824</t>
  </si>
  <si>
    <t>store_003000</t>
  </si>
  <si>
    <t>Reliance Digital- Rrl Cdit Rupam Tower Kankerbag -TDJ0</t>
  </si>
  <si>
    <t>store_003001</t>
  </si>
  <si>
    <t>Reliance Digital- Rrl Cdit Miryalguda -TG9V</t>
  </si>
  <si>
    <t>Miryalguda</t>
  </si>
  <si>
    <t>store_003002</t>
  </si>
  <si>
    <t>Reliance Digital- Rrl Cdit-Palledium A -TA6P</t>
  </si>
  <si>
    <t>store_003003</t>
  </si>
  <si>
    <t>Reliance Digital- Rrl Cdit Jalahalli Bangalore -T730</t>
  </si>
  <si>
    <t>store_003004</t>
  </si>
  <si>
    <t>Reliance Digital- Ring Road Rajkot Gj -8764</t>
  </si>
  <si>
    <t>store_003005</t>
  </si>
  <si>
    <t>Reliance Digital- Rrl Cdit Station Roa -T6HR</t>
  </si>
  <si>
    <t>store_003006</t>
  </si>
  <si>
    <t>Reliance Digital- Rrl Cdit Kumaran Road -TW27</t>
  </si>
  <si>
    <t>store_003007</t>
  </si>
  <si>
    <t>Reliance Digital- Rrl Cdit Saraf Complex Wardha -TOD2</t>
  </si>
  <si>
    <t>Wardha</t>
  </si>
  <si>
    <t>store_003008</t>
  </si>
  <si>
    <t>Reliance Digital- Rrl Cdit-Bettiah -T13M</t>
  </si>
  <si>
    <t>Betiah</t>
  </si>
  <si>
    <t>executive_00013, executive_00015</t>
  </si>
  <si>
    <t>Suvam Chatterjee, Avneesh Mishra</t>
  </si>
  <si>
    <t>store_003009</t>
  </si>
  <si>
    <t>Reliance Digital- Badambadi -T4QG</t>
  </si>
  <si>
    <t>store_003010</t>
  </si>
  <si>
    <t>Reliance Digital- Bb-Pune-Amanora Park -T75V</t>
  </si>
  <si>
    <t>store_003011</t>
  </si>
  <si>
    <t>Reliance Digital- Rrl Cdit M G Road Vijaywada -8839</t>
  </si>
  <si>
    <t>store_003012</t>
  </si>
  <si>
    <t>Reliance Digital- Rrl Cdit Tumkur Karnataka -8729</t>
  </si>
  <si>
    <t>store_003013</t>
  </si>
  <si>
    <t>Reliance Digital- Rrl Cdit Srmt Mall -TO33</t>
  </si>
  <si>
    <t>store_003014</t>
  </si>
  <si>
    <t>Reliance Digital- Rrl Cdit Vikaspuri -9594</t>
  </si>
  <si>
    <t>store_003015</t>
  </si>
  <si>
    <t>Reliance Digital- Rrl Cdit Arya Nagar Jwalapur -TSE5</t>
  </si>
  <si>
    <t>store_003016</t>
  </si>
  <si>
    <t>Reliance Digital- Rrl Cdit Bmg Mall Rewari -8694</t>
  </si>
  <si>
    <t>Rewari</t>
  </si>
  <si>
    <t>store_003017</t>
  </si>
  <si>
    <t>Reliance Digital- Rrl Cdit- Uttam Talk -TSF0</t>
  </si>
  <si>
    <t>Ichalkaranji</t>
  </si>
  <si>
    <t>store_003018</t>
  </si>
  <si>
    <t>Reliance Digital- Rrl Cdit Pride Icon Hubli -TVA6</t>
  </si>
  <si>
    <t>store_003019</t>
  </si>
  <si>
    <t>Reliance Digital- Rrl Cdit Gt Road Asansol -TPO8</t>
  </si>
  <si>
    <t>store_003020</t>
  </si>
  <si>
    <t>Reliance Digital- Rrl Cdit Sugam Sudh -T2WX</t>
  </si>
  <si>
    <t>store_003021</t>
  </si>
  <si>
    <t>Reliance Digital- Rrl Cdit Br Ambekar Road Civi -TLL3</t>
  </si>
  <si>
    <t>store_003022</t>
  </si>
  <si>
    <t>Reliance Digital- Rrl Cdit Model Town -T0AW</t>
  </si>
  <si>
    <t>store_003023</t>
  </si>
  <si>
    <t>Reliance Digital- Rrl Cdit Thudiyulur -T7PW</t>
  </si>
  <si>
    <t>store_003024</t>
  </si>
  <si>
    <t>Reliance Digital- Rrl Cdit Asian Vaish -T752</t>
  </si>
  <si>
    <t>store_003025</t>
  </si>
  <si>
    <t>Reliance Digital- Sabde Tower Latur -TR65</t>
  </si>
  <si>
    <t>store_003026</t>
  </si>
  <si>
    <t>Reliance Digital- Rrl Cdit Charbhuja Nagar Chitt -TDQ1</t>
  </si>
  <si>
    <t>Chittogarh</t>
  </si>
  <si>
    <t>store_003027</t>
  </si>
  <si>
    <t>Reliance Digital- Bellary Karnataka -TQ28</t>
  </si>
  <si>
    <t>Bellary</t>
  </si>
  <si>
    <t>store_003028</t>
  </si>
  <si>
    <t>Reliance Digital- Rrl Cdit Raigunj -TI3G</t>
  </si>
  <si>
    <t>Raiganj</t>
  </si>
  <si>
    <t>store_003029</t>
  </si>
  <si>
    <t>Reliance Digital- Rrl Cdit Mohali City -T7UO</t>
  </si>
  <si>
    <t>store_003030</t>
  </si>
  <si>
    <t>Reliance Digital- Rrl Cdit 1 635 Janakpuri New D -TEG7</t>
  </si>
  <si>
    <t>store_003031</t>
  </si>
  <si>
    <t>Reliance Digital- Rrl Cdit India Expo -T2PN</t>
  </si>
  <si>
    <t>store_003032</t>
  </si>
  <si>
    <t>Reliance Digital- Rrl Cdit Shreeji Arcade Surat -6361</t>
  </si>
  <si>
    <t>store_003034</t>
  </si>
  <si>
    <t>Reliance Digital- Rrl Cdit Zirakapur -TR14</t>
  </si>
  <si>
    <t>Zirakpur</t>
  </si>
  <si>
    <t>store_003035</t>
  </si>
  <si>
    <t>Reliance Digital- Orion Avenue Mall -T0UR</t>
  </si>
  <si>
    <t>store_003036</t>
  </si>
  <si>
    <t>Reliance Digital- Rrl Cdit Hassan -TJ5N</t>
  </si>
  <si>
    <t>store_003037</t>
  </si>
  <si>
    <t>Reliance Digital- Gt Road, Dvc More, Bardhaman -TD9P</t>
  </si>
  <si>
    <t>store_003038</t>
  </si>
  <si>
    <t>Reliance Digital- Rrl Cdit Nandanvan -T0WH</t>
  </si>
  <si>
    <t>store_003039</t>
  </si>
  <si>
    <t>Reliance Digital- Rrl Cdit Coochbehar -TC88</t>
  </si>
  <si>
    <t>Cooch Behar</t>
  </si>
  <si>
    <t>store_003040</t>
  </si>
  <si>
    <t>Reliance Digital- Rrl Cdit Vanasthalipuram Hyder -8742</t>
  </si>
  <si>
    <t>store_003041</t>
  </si>
  <si>
    <t>Reliance Digital- Rrl Cdit Babunia Road Siwan -TX90</t>
  </si>
  <si>
    <t>Siwan</t>
  </si>
  <si>
    <t>store_003042</t>
  </si>
  <si>
    <t>Reliance Digital- Rrl Cdit Bargarh -T6YX</t>
  </si>
  <si>
    <t>Bargarh</t>
  </si>
  <si>
    <t>store_003043</t>
  </si>
  <si>
    <t>Reliance Digital- Rrl Cdit Mahmoorganj Varanasi -TDI8</t>
  </si>
  <si>
    <t>store_003044</t>
  </si>
  <si>
    <t>Reliance Digital- Rrl Cdit Bapuji Naga -T6UX</t>
  </si>
  <si>
    <t>store_003045</t>
  </si>
  <si>
    <t>Reliance Digital- Rrl Cdit The Rise Pratap Nagar -TCO1</t>
  </si>
  <si>
    <t>store_003046</t>
  </si>
  <si>
    <t>Reliance Digital- Rrl Cdit Bunglow Road Kamla Na -TNE6</t>
  </si>
  <si>
    <t>store_003047</t>
  </si>
  <si>
    <t>Reliance Digital- Rrl Cdit Mutyalareddypalle T -TLW7</t>
  </si>
  <si>
    <t>store_003048</t>
  </si>
  <si>
    <t>Reliance Digital- Rrl Cdit Maruti Solaris -TP19</t>
  </si>
  <si>
    <t>store_003049</t>
  </si>
  <si>
    <t>Reliance Digital- Rrl Cdit Salai Road -TW26</t>
  </si>
  <si>
    <t>store_003050</t>
  </si>
  <si>
    <t>Reliance Digital- Rrl Cdit Budhavarapupeta Kurn -6379</t>
  </si>
  <si>
    <t>store_003051</t>
  </si>
  <si>
    <t>Reliance Digital- Rrl Cdit Prestige Feroze Banga -7686</t>
  </si>
  <si>
    <t>store_003052</t>
  </si>
  <si>
    <t>Reliance Digital- Rrl Cdit Adilabad -TUC4</t>
  </si>
  <si>
    <t>Adilabad</t>
  </si>
  <si>
    <t>store_003053</t>
  </si>
  <si>
    <t>Reliance Digital- Rrl Cdit-4 Road Junc -TSF2</t>
  </si>
  <si>
    <t>store_003054</t>
  </si>
  <si>
    <t>Reliance Digital- Rrl Cdit- Venus Nehr -T1JW</t>
  </si>
  <si>
    <t>store_003055</t>
  </si>
  <si>
    <t>Reliance Digital- Rrl Cdit Rani Bazaar -9702</t>
  </si>
  <si>
    <t>store_003056</t>
  </si>
  <si>
    <t>Reliance Digital- Rrl Cdit Darbhanga -TQ27</t>
  </si>
  <si>
    <t>store_003057</t>
  </si>
  <si>
    <t>Reliance Digital- Rrl Cdit Nexus 4 Nadiad -TLY3</t>
  </si>
  <si>
    <t>store_003058</t>
  </si>
  <si>
    <t>Reliance Digital- Rrl Cdit Moosarambagh Dilsukh -TEZ7</t>
  </si>
  <si>
    <t>store_003059</t>
  </si>
  <si>
    <t>Reliance Digital- Rrl Cdit Rn Tagore Road Berha -TJH4</t>
  </si>
  <si>
    <t>Murshidabad</t>
  </si>
  <si>
    <t>store_003060</t>
  </si>
  <si>
    <t>Reliance Digital- Rrl Cdit-Durg-Indira -TZZT</t>
  </si>
  <si>
    <t>store_003061</t>
  </si>
  <si>
    <t>Reliance Digital- Cdit-South Main Stre -TLK5</t>
  </si>
  <si>
    <t>store_003062</t>
  </si>
  <si>
    <t>Reliance Digital- Rrlcdit Adoni Kurnool Dist -9505</t>
  </si>
  <si>
    <t>store_003063</t>
  </si>
  <si>
    <t>Reliance Digital- Rrl Cdit Vivekanandpuri Karimn -6917</t>
  </si>
  <si>
    <t>store_003064</t>
  </si>
  <si>
    <t>Reliance Digital- Rrl Cdit D B Gupta Road -TG89</t>
  </si>
  <si>
    <t>store_003065</t>
  </si>
  <si>
    <t>Reliance Digital- Rrl Cdit Punjabi Bag -T8XI</t>
  </si>
  <si>
    <t>store_003066</t>
  </si>
  <si>
    <t>Reliance Digital- Rrl Cdit Panipat -3815</t>
  </si>
  <si>
    <t>store_003067</t>
  </si>
  <si>
    <t>Reliance Digital- Rrl Cdit Rewa Satna -T5SZ</t>
  </si>
  <si>
    <t>store_003068</t>
  </si>
  <si>
    <t>Reliance Digital- Rrl Digital Vikrampuri Hydera -8768</t>
  </si>
  <si>
    <t>store_003069</t>
  </si>
  <si>
    <t>Reliance Digital- Rrl Cdit Bhilwara -9196</t>
  </si>
  <si>
    <t>store_003070</t>
  </si>
  <si>
    <t>Reliance Digital- Rrl Cdit Radharani Para Balang -TKI1</t>
  </si>
  <si>
    <t>Balangir</t>
  </si>
  <si>
    <t>store_003071</t>
  </si>
  <si>
    <t>Reliance Digital- Rrl Cdit Lepl Centro Vijayawa -8840</t>
  </si>
  <si>
    <t>store_003072</t>
  </si>
  <si>
    <t>Reliance Digital- Rrl Cdit - Pudupalay -TW2C</t>
  </si>
  <si>
    <t>store_003073</t>
  </si>
  <si>
    <t>Reliance Digital- Rrl Cdit- Sharan Cir -T1JX</t>
  </si>
  <si>
    <t>store_003074</t>
  </si>
  <si>
    <t>Reliance Digital- Rrl Cdit Court Road Saharanpur -TW3W</t>
  </si>
  <si>
    <t>store_003075</t>
  </si>
  <si>
    <t>Reliance Digital- Rrl Cdit-Stattion Ro -TLY4</t>
  </si>
  <si>
    <t>Bagalkot</t>
  </si>
  <si>
    <t>store_003076</t>
  </si>
  <si>
    <t>Reliance Digital- Rrl Cdit Crystal Mall Jamnagar -8669</t>
  </si>
  <si>
    <t>store_003077</t>
  </si>
  <si>
    <t>Reliance Digital- Rrl Cdit Puda Jalandhar -T597</t>
  </si>
  <si>
    <t>store_003078</t>
  </si>
  <si>
    <t>Reliance Digital- Rrl Cdit- E Boring C -T1DR</t>
  </si>
  <si>
    <t>store_003079</t>
  </si>
  <si>
    <t>Reliance Digital- Rrl Cdit- Manipal Ro -T1JM</t>
  </si>
  <si>
    <t>store_003080</t>
  </si>
  <si>
    <t>Reliance Digital- Rrl Cdit Southern Park Mall Sa -TXFV</t>
  </si>
  <si>
    <t>store_003081</t>
  </si>
  <si>
    <t>Reliance Digital- Rrl Cdit Chapaguri Road Bongai -TKI0</t>
  </si>
  <si>
    <t>Bongaigaon</t>
  </si>
  <si>
    <t>store_003082</t>
  </si>
  <si>
    <t>Reliance Digital- Bb-Navi Mumbai-Seawo -TA9T</t>
  </si>
  <si>
    <t>store_003083</t>
  </si>
  <si>
    <t>Reliance Digital- Rrl Cdit Maharaja Hall Mumbai -8908</t>
  </si>
  <si>
    <t>store_003084</t>
  </si>
  <si>
    <t>Reliance Digital- Mancherial Telengana -TH21</t>
  </si>
  <si>
    <t>Mancherial</t>
  </si>
  <si>
    <t>store_003085</t>
  </si>
  <si>
    <t>Reliance Digital- Rrl Cdit Thakker Baz -TJ3X</t>
  </si>
  <si>
    <t>Dhule</t>
  </si>
  <si>
    <t>store_003086</t>
  </si>
  <si>
    <t>Reliance Digital- Rajkumar Road -T8AN</t>
  </si>
  <si>
    <t>store_003087</t>
  </si>
  <si>
    <t>Reliance Digital- Rrl Cdit Srirampore -TK91</t>
  </si>
  <si>
    <t>Sreerampore</t>
  </si>
  <si>
    <t>store_003088</t>
  </si>
  <si>
    <t>Reliance Digital- Gaddi Cmplx Gadag Ka -TK89</t>
  </si>
  <si>
    <t>Gadag</t>
  </si>
  <si>
    <t>store_003089</t>
  </si>
  <si>
    <t>Reliance Digital- Rrl D Xpress Mylapore Chennai -8658</t>
  </si>
  <si>
    <t>store_003090</t>
  </si>
  <si>
    <t>Reliance Digital- Rrl Cdit Vellore Main Road Ka -TEH4</t>
  </si>
  <si>
    <t>store_003091</t>
  </si>
  <si>
    <t>Reliance Digital- Ts Unity Rohini Ncr -TC1L</t>
  </si>
  <si>
    <t>store_003092</t>
  </si>
  <si>
    <t>Reliance Digital- Rrl Cdit Laxmipuram Guntur -6440</t>
  </si>
  <si>
    <t>store_003093</t>
  </si>
  <si>
    <t>Reliance Digital- Miyapur -TI55</t>
  </si>
  <si>
    <t>store_003094</t>
  </si>
  <si>
    <t>Reliance Digital- Rrl Cdit Khammam Ap -8679</t>
  </si>
  <si>
    <t>store_003095</t>
  </si>
  <si>
    <t>Reliance Digital- Rrl Cdit Ashok Pillar Chennai -8939</t>
  </si>
  <si>
    <t>store_003096</t>
  </si>
  <si>
    <t>Reliance Digital- Suryapet Telangana -TC79</t>
  </si>
  <si>
    <t>Suryapet</t>
  </si>
  <si>
    <t>store_003097</t>
  </si>
  <si>
    <t>Reliance Digital- Rrl Cdit Vip Road Puri -9561</t>
  </si>
  <si>
    <t>Puri</t>
  </si>
  <si>
    <t>store_003098</t>
  </si>
  <si>
    <t>Reliance Digital- Rrl Cdit Acme Mall Mumbai -8687</t>
  </si>
  <si>
    <t>store_003099</t>
  </si>
  <si>
    <t>Reliance Digital- Rrl Cdit-Old Jewargi -TZB5</t>
  </si>
  <si>
    <t>store_003100</t>
  </si>
  <si>
    <t>Reliance Digital- Rrl Cdit Valasarawakkam Chenna -T050</t>
  </si>
  <si>
    <t>store_003101</t>
  </si>
  <si>
    <t>Reliance Digital- Rrl Cdit Guntakal -TH22</t>
  </si>
  <si>
    <t>store_003102</t>
  </si>
  <si>
    <t>Reliance Digital- Tadepalli Vijaywada -TK85</t>
  </si>
  <si>
    <t>store_003103</t>
  </si>
  <si>
    <t>Reliance Digital- Rrl Cdit Lakhimpur K -T4WN</t>
  </si>
  <si>
    <t>Lakhimpur</t>
  </si>
  <si>
    <t>store_003104</t>
  </si>
  <si>
    <t>Reliance Digital- Rrl Cdit Mandya -T8DD</t>
  </si>
  <si>
    <t>store_003105</t>
  </si>
  <si>
    <t>Reliance Digital- Rrl Cdit-Karimnagar -T52P</t>
  </si>
  <si>
    <t>store_003106</t>
  </si>
  <si>
    <t>Reliance Digital- Rrl Cdit Shahadat P -T2MD</t>
  </si>
  <si>
    <t>Mau</t>
  </si>
  <si>
    <t>store_003107</t>
  </si>
  <si>
    <t>Reliance Digital- Rrl Cdit- Gulmohar P -TVM6</t>
  </si>
  <si>
    <t>Satara</t>
  </si>
  <si>
    <t>store_003108</t>
  </si>
  <si>
    <t>Reliance Digital- Cdit-Bhuteshwar -TVL7</t>
  </si>
  <si>
    <t>Mathura</t>
  </si>
  <si>
    <t>store_003109</t>
  </si>
  <si>
    <t>Reliance Digital- Gorakhpur Road -T5SP</t>
  </si>
  <si>
    <t>Deoria</t>
  </si>
  <si>
    <t>store_003110</t>
  </si>
  <si>
    <t>Reliance Digital- Rrl Cdit In Cnc Advance Mills -T736</t>
  </si>
  <si>
    <t>store_003111</t>
  </si>
  <si>
    <t>Reliance Digital- Rrl Cdit Ot Road Inda Kharagpu -TKC2</t>
  </si>
  <si>
    <t>Kharagpur</t>
  </si>
  <si>
    <t>store_003112</t>
  </si>
  <si>
    <t>Reliance Digital- Hayatnagar -T0XY</t>
  </si>
  <si>
    <t>store_003113</t>
  </si>
  <si>
    <t>Reliance Digital- Rrl Cdit Bharatpur Rajasthan -9161</t>
  </si>
  <si>
    <t>Bharatpur</t>
  </si>
  <si>
    <t>store_003114</t>
  </si>
  <si>
    <t>Reliance Digital- Rrl Cdit Court Road -T6JU</t>
  </si>
  <si>
    <t>store_003115</t>
  </si>
  <si>
    <t>Reliance Digital- Rrl Cdit Ayushman Plaza -TW3V</t>
  </si>
  <si>
    <t>store_003116</t>
  </si>
  <si>
    <t>Reliance Digital- Dhimarapur Road -T4QN</t>
  </si>
  <si>
    <t>Raigarh</t>
  </si>
  <si>
    <t>store_003117</t>
  </si>
  <si>
    <t>Reliance Digital- Rrl Cdit Tollichowki Hyd -TSD5</t>
  </si>
  <si>
    <t>store_003118</t>
  </si>
  <si>
    <t>Reliance Digital- Rrl Cdit- Gt Road Gu -TZ8C</t>
  </si>
  <si>
    <t>store_003119</t>
  </si>
  <si>
    <t>Reliance Digital- Rrl Cdit Kolar -T6EW</t>
  </si>
  <si>
    <t>Kolar</t>
  </si>
  <si>
    <t>store_003120</t>
  </si>
  <si>
    <t>Reliance Digital- Rrl Cdit- Makroniya -T83J</t>
  </si>
  <si>
    <t>store_003121</t>
  </si>
  <si>
    <t>Reliance Digital- Rrl Cdit R City Mall Ghatkopa -TQB3</t>
  </si>
  <si>
    <t>store_003122</t>
  </si>
  <si>
    <t>Reliance Digital- Rrl Cdit-Shreeji Bus -T55S</t>
  </si>
  <si>
    <t>store_003123</t>
  </si>
  <si>
    <t>Reliance Digital- Rrl Cdit Dumdum Road -TKR1</t>
  </si>
  <si>
    <t>store_003124</t>
  </si>
  <si>
    <t>Reliance Digital- Rrl Cdit Gsrtc Ahemdabad -9176</t>
  </si>
  <si>
    <t>store_003125</t>
  </si>
  <si>
    <t>Reliance Digital- Rrl Cdit Imperial Sangamner -TW93</t>
  </si>
  <si>
    <t>store_003126</t>
  </si>
  <si>
    <t>Reliance Digital- Rrl Cdit Nizamabad -T4QO</t>
  </si>
  <si>
    <t>store_003127</t>
  </si>
  <si>
    <t>Reliance Digital- Rrl Cdit Jr Mall Armoor -TCO2</t>
  </si>
  <si>
    <t>Armoor</t>
  </si>
  <si>
    <t>store_003128</t>
  </si>
  <si>
    <t>Reliance Digital- Rrl Cdit Tambaram -TH5M</t>
  </si>
  <si>
    <t>store_003129</t>
  </si>
  <si>
    <t>Reliance Digital- Rrl Cdit Jakotia Complex Waran -8674</t>
  </si>
  <si>
    <t>store_003130</t>
  </si>
  <si>
    <t>Reliance Digital- Rrl Cdit Abhi Towers Tirupati -8690</t>
  </si>
  <si>
    <t>store_003131</t>
  </si>
  <si>
    <t>Reliance Digital- Rrl Cdit Sky City Ma -TD8J</t>
  </si>
  <si>
    <t>store_003132</t>
  </si>
  <si>
    <t>Reliance Digital- Rrl Cdit Tagore Road Krishnnag -TGM2</t>
  </si>
  <si>
    <t>store_003133</t>
  </si>
  <si>
    <t>Reliance Digital- RRL CDIT CITY CENTRE</t>
  </si>
  <si>
    <t>Bhagalpur</t>
  </si>
  <si>
    <t>store_003134</t>
  </si>
  <si>
    <t>Reliance Digital- Rrl Cdit A 69 Indore -TIY5</t>
  </si>
  <si>
    <t>store_003135</t>
  </si>
  <si>
    <t>Reliance Digital- Raghabpur Purulia Wb -9185</t>
  </si>
  <si>
    <t>Purulia</t>
  </si>
  <si>
    <t>store_003136</t>
  </si>
  <si>
    <t>Reliance Digital- Rrl Cdit Nisha Bafna Plaza Jal -TFI3</t>
  </si>
  <si>
    <t>store_003137</t>
  </si>
  <si>
    <t>Reliance Digital- Rrl Cdit Leela Mahal Centre -T590</t>
  </si>
  <si>
    <t>store_003138</t>
  </si>
  <si>
    <t>Reliance Digital- Rrl Cdit-Samrala Cho -T36M</t>
  </si>
  <si>
    <t>store_003139</t>
  </si>
  <si>
    <t>Reliance Digital- Rrl Cdit 93 Avenue Pune -TIY8</t>
  </si>
  <si>
    <t>store_003140</t>
  </si>
  <si>
    <t>Reliance Digital- Rrl Cdit Karnal -3729</t>
  </si>
  <si>
    <t>store_003141</t>
  </si>
  <si>
    <t>Reliance Digital- Rrl Cdit Garkheda Aurangabad -8693</t>
  </si>
  <si>
    <t>store_003142</t>
  </si>
  <si>
    <t>Reliance Digital- Rrl Cdit Gyan Babu Chowk Moti -TCN7</t>
  </si>
  <si>
    <t>Motihari</t>
  </si>
  <si>
    <t>store_003143</t>
  </si>
  <si>
    <t>Reliance Digital- Rrlcditnew Blue Ear -T2VP</t>
  </si>
  <si>
    <t>Srikakulam</t>
  </si>
  <si>
    <t>store_003144</t>
  </si>
  <si>
    <t>Reliance Digital- Rrl Cdit-Awas Vikas -T67J</t>
  </si>
  <si>
    <t>store_003145</t>
  </si>
  <si>
    <t>Reliance Digital- Rrl Cdit-Naihati -TXFX</t>
  </si>
  <si>
    <t>store_003146</t>
  </si>
  <si>
    <t>Reliance Digital- Rrl Cdit Perumbakkam -T728</t>
  </si>
  <si>
    <t>store_003147</t>
  </si>
  <si>
    <t>Reliance Digital- Rrl Cdit Enikepadu Vijayawada -TDJ8</t>
  </si>
  <si>
    <t>store_003148</t>
  </si>
  <si>
    <t>Reliance Digital- Rrl Cdit Bhavanipuram -TI56</t>
  </si>
  <si>
    <t>store_003149</t>
  </si>
  <si>
    <t>Reliance Digital- Rrl Cdit Jubilee Road Tadepal -TEG8</t>
  </si>
  <si>
    <t>store_003150</t>
  </si>
  <si>
    <t>Reliance Digital- Rrl Cdit Kadapa -6918</t>
  </si>
  <si>
    <t>Cuddapah</t>
  </si>
  <si>
    <t>store_003151</t>
  </si>
  <si>
    <t>Reliance Digital- Rrl Cdit Gopalpatnam -TVK7</t>
  </si>
  <si>
    <t>store_003152</t>
  </si>
  <si>
    <t>Reliance Digital- Rrl Cdit Uttarapara -TU64</t>
  </si>
  <si>
    <t>Uttarpara</t>
  </si>
  <si>
    <t>store_003153</t>
  </si>
  <si>
    <t>Reliance Digital- Kranti Hotel -TCB3</t>
  </si>
  <si>
    <t>Samastipur</t>
  </si>
  <si>
    <t>store_003154</t>
  </si>
  <si>
    <t>Reliance Digital- Rrl Cdit Vellore Road Thiruvan -TER9</t>
  </si>
  <si>
    <t>store_003155</t>
  </si>
  <si>
    <t>Reliance Digital- Rrl Cdit Chintamani -TB3N</t>
  </si>
  <si>
    <t>Chikkaballapur</t>
  </si>
  <si>
    <t>store_003156</t>
  </si>
  <si>
    <t>Reliance Digital- Rrl Cdit H 1 Model Town 3 -TDI9</t>
  </si>
  <si>
    <t>store_003157</t>
  </si>
  <si>
    <t>Reliance Digital- Rrl Cdit Kaithal Kur -T7PG</t>
  </si>
  <si>
    <t>Kaithal</t>
  </si>
  <si>
    <t>store_003158</t>
  </si>
  <si>
    <t>Reliance Digital- Rrl Cdit- Jalna Road -TZ8D</t>
  </si>
  <si>
    <t>store_003159</t>
  </si>
  <si>
    <t>Reliance Digital- Rrl Digital R Mart Barnala Ro -8770</t>
  </si>
  <si>
    <t>store_003160</t>
  </si>
  <si>
    <t>Reliance Digital- Rrl Cdit-Salem Main -TW2E</t>
  </si>
  <si>
    <t>store_003161</t>
  </si>
  <si>
    <t>Reliance Digital- Rrl Cdit Centre One Talegaon -TJV6</t>
  </si>
  <si>
    <t>store_003162</t>
  </si>
  <si>
    <t>Reliance Digital- RRL CDIT Station Roa</t>
  </si>
  <si>
    <t>Raichur</t>
  </si>
  <si>
    <t>store_003163</t>
  </si>
  <si>
    <t>Reliance Digital- Station Road Buxar -T8RF</t>
  </si>
  <si>
    <t>Buxar</t>
  </si>
  <si>
    <t>store_003164</t>
  </si>
  <si>
    <t>Reliance Digital- Rrl Cdit Nizampura Road Vadoda -8873</t>
  </si>
  <si>
    <t>store_003165</t>
  </si>
  <si>
    <t>Reliance Digital- Rrl Cdit Uttarahalli -TA91</t>
  </si>
  <si>
    <t>store_003166</t>
  </si>
  <si>
    <t>Reliance Digital- Rrl Cdit Bankmod Dh -T2TZ</t>
  </si>
  <si>
    <t>store_003167</t>
  </si>
  <si>
    <t>Reliance Digital- Kothapet Guntur Ap -TL14</t>
  </si>
  <si>
    <t>store_003168</t>
  </si>
  <si>
    <t>Reliance Digital- Ambedkar Chauraha -TC0J</t>
  </si>
  <si>
    <t>Orai</t>
  </si>
  <si>
    <t>store_003169</t>
  </si>
  <si>
    <t>Reliance Digital- Rrlcdit Vidyaranyap -T2VH</t>
  </si>
  <si>
    <t>store_003170</t>
  </si>
  <si>
    <t>Reliance Digital- Bb Thane Kalyan Netivali Villa -TSE4</t>
  </si>
  <si>
    <t>store_003171</t>
  </si>
  <si>
    <t>Reliance Digital- Rrl Cdit -Narsingi -T1VH</t>
  </si>
  <si>
    <t>store_003172</t>
  </si>
  <si>
    <t>Reliance Digital- Rrl Cdit Sangli Mir -T2QO</t>
  </si>
  <si>
    <t>store_003173</t>
  </si>
  <si>
    <t>Reliance Digital- Udhana Surat Gj -9612</t>
  </si>
  <si>
    <t>store_003174</t>
  </si>
  <si>
    <t>Reliance Digital- Rrl Cdit Sriganganagar -TK93</t>
  </si>
  <si>
    <t>Ganganagar</t>
  </si>
  <si>
    <t>store_003175</t>
  </si>
  <si>
    <t>Reliance Digital- Rrl Cdit Cb Road Cha -TD4R</t>
  </si>
  <si>
    <t>Chakdah</t>
  </si>
  <si>
    <t>store_003176</t>
  </si>
  <si>
    <t>Reliance Digital- Rrl Cditgt Road Gun -T2PR</t>
  </si>
  <si>
    <t>store_003177</t>
  </si>
  <si>
    <t>Reliance Digital- Rrl Cdit Kapoorthala -TO21</t>
  </si>
  <si>
    <t>store_003178</t>
  </si>
  <si>
    <t>Reliance Digital- Rrl Cdit Paras Prime Udaipur -TY11</t>
  </si>
  <si>
    <t>store_003179</t>
  </si>
  <si>
    <t>Reliance Digital- Rrl Cdit-Singanallur -T9MM</t>
  </si>
  <si>
    <t>store_003180</t>
  </si>
  <si>
    <t>Reliance Digital- Seepat Road Sarkanda -T0UM</t>
  </si>
  <si>
    <t>store_003181</t>
  </si>
  <si>
    <t>Reliance Digital- Nachan Road Benachity -TEH0</t>
  </si>
  <si>
    <t>Durgapur</t>
  </si>
  <si>
    <t>store_003182</t>
  </si>
  <si>
    <t>Reliance Digital- Rrl Cdit Bose Road -T2QN</t>
  </si>
  <si>
    <t>Tenali</t>
  </si>
  <si>
    <t>store_003183</t>
  </si>
  <si>
    <t>Reliance Digital- Preet Vihar -T2PO</t>
  </si>
  <si>
    <t>store_003184</t>
  </si>
  <si>
    <t>Reliance Digital- Rrlcdit Ksrtc Mysore -T662</t>
  </si>
  <si>
    <t>store_003185</t>
  </si>
  <si>
    <t>Reliance Digital- Rrl Cdit Salem Main Road Nama -TY08</t>
  </si>
  <si>
    <t>Namakkal</t>
  </si>
  <si>
    <t>store_003186</t>
  </si>
  <si>
    <t>Reliance Digital- Rrl Cdit Kompally 2 -TC6H</t>
  </si>
  <si>
    <t>store_003187</t>
  </si>
  <si>
    <t>Reliance Digital- Rrl Cdit Badlapur -TN71</t>
  </si>
  <si>
    <t>store_003188</t>
  </si>
  <si>
    <t>Reliance Digital- Rrl Cdit South Avenue Mall Jab -8683</t>
  </si>
  <si>
    <t>store_003189</t>
  </si>
  <si>
    <t>Reliance Digital- Rrl Cdit Govind Marg Raja Park -TO34</t>
  </si>
  <si>
    <t>store_003190</t>
  </si>
  <si>
    <t>Reliance Digital- Rrl Cdit- Eluru Road -T1FS</t>
  </si>
  <si>
    <t>Gudivada</t>
  </si>
  <si>
    <t>store_003191</t>
  </si>
  <si>
    <t>Reliance Digital- Rrl Cdit Main Road R -TD3T</t>
  </si>
  <si>
    <t>Ramgarh</t>
  </si>
  <si>
    <t>store_003192</t>
  </si>
  <si>
    <t>Reliance Digital- Rrl Cdit Club Road M -TB6N</t>
  </si>
  <si>
    <t>store_003193</t>
  </si>
  <si>
    <t>Reliance Digital- Rrl Cdit Ambedkar Ci -T0BH</t>
  </si>
  <si>
    <t>Sikar</t>
  </si>
  <si>
    <t>store_003194</t>
  </si>
  <si>
    <t>Reliance Digital- Rrl Cdit-Tonk Road -TVL2</t>
  </si>
  <si>
    <t>store_003195</t>
  </si>
  <si>
    <t>Reliance Digital- Rrl Cdit Wonder View Kota -TGR9</t>
  </si>
  <si>
    <t>store_003196</t>
  </si>
  <si>
    <t>Reliance Digital- Ambedkar Road -TVM1</t>
  </si>
  <si>
    <t>store_003197</t>
  </si>
  <si>
    <t>Reliance Digital- Rrl Cdit Mbd Mall -T761</t>
  </si>
  <si>
    <t>store_003198</t>
  </si>
  <si>
    <t>Reliance Digital- Rrl Cdit Gangavati -T8CF</t>
  </si>
  <si>
    <t>Koppal</t>
  </si>
  <si>
    <t>store_003199</t>
  </si>
  <si>
    <t>Reliance Digital- Rrl Cdit Kurnool -TUA0</t>
  </si>
  <si>
    <t>store_003200</t>
  </si>
  <si>
    <t>Reliance Digital- Rrl Cdit Alambagh Market Luckn -TOQ2</t>
  </si>
  <si>
    <t>store_003201</t>
  </si>
  <si>
    <t>Reliance Digital- Rrl Cdit Malakpet Store -8815</t>
  </si>
  <si>
    <t>store_003202</t>
  </si>
  <si>
    <t>Reliance Digital- Rrl Cdit Deshmukh C -T2UC</t>
  </si>
  <si>
    <t>store_003203</t>
  </si>
  <si>
    <t>Reliance Digital- Rrl Cdit Bapunagar Ahmedabad -TFF3</t>
  </si>
  <si>
    <t>store_003204</t>
  </si>
  <si>
    <t>Reliance Digital- Rrl Cdit Madanapalle -9509</t>
  </si>
  <si>
    <t>store_003205</t>
  </si>
  <si>
    <t>Reliance Digital- Rrl Cdit Ramghat Road Aligarh -TW1Z</t>
  </si>
  <si>
    <t>Aligarh</t>
  </si>
  <si>
    <t>store_003206</t>
  </si>
  <si>
    <t>Reliance Digital- Govindapuri Road Yam -T0UT</t>
  </si>
  <si>
    <t>store_003207</t>
  </si>
  <si>
    <t>Reliance Digital- Rrl Cdit Chirala Town Guntur -TGE5</t>
  </si>
  <si>
    <t>store_003208</t>
  </si>
  <si>
    <t>Reliance Digital- Rrl Cdit Budge Budge -TM84</t>
  </si>
  <si>
    <t>store_003209</t>
  </si>
  <si>
    <t>Reliance Digital- Nagaram Hyerabad -TR12</t>
  </si>
  <si>
    <t>store_003210</t>
  </si>
  <si>
    <t>Reliance Digital- Rrl Cdit-Rudrampeta -T16J</t>
  </si>
  <si>
    <t>store_003211</t>
  </si>
  <si>
    <t>Reliance Digital- Rrl Cditaurangabad B -T0Y2</t>
  </si>
  <si>
    <t>store_003212</t>
  </si>
  <si>
    <t>Reliance Digital- Rrl Cdit Tumkur -T2RY</t>
  </si>
  <si>
    <t>store_003213</t>
  </si>
  <si>
    <t>Reliance Digital- Rrl Cdit-Trivandrum -TARE</t>
  </si>
  <si>
    <t>store_003214</t>
  </si>
  <si>
    <t>Reliance Digital- Rrl Cdit Nagamani Tower Chitto -8695</t>
  </si>
  <si>
    <t>Chitoor</t>
  </si>
  <si>
    <t>store_003215</t>
  </si>
  <si>
    <t>Reliance Digital- Rrl Cdit-Patel Nagar -TVM0</t>
  </si>
  <si>
    <t>store_003216</t>
  </si>
  <si>
    <t>Reliance Digital- Rrl Cdit Moga -T6EV</t>
  </si>
  <si>
    <t>store_003217</t>
  </si>
  <si>
    <t>Reliance Digital- Rrl Cdit Reliance Ma -T2FO</t>
  </si>
  <si>
    <t>store_003218</t>
  </si>
  <si>
    <t>Reliance Digital- Rrl Cdit Metropolis Mall -3869</t>
  </si>
  <si>
    <t>Rudrapur</t>
  </si>
  <si>
    <t>store_003219</t>
  </si>
  <si>
    <t>Reliance Digital- Rrl Cdit Hill Cart Road -TN63</t>
  </si>
  <si>
    <t>Darjeeling</t>
  </si>
  <si>
    <t>store_003220</t>
  </si>
  <si>
    <t>Reliance Digital- Rrl Cdit Karur Covai -T6VS</t>
  </si>
  <si>
    <t>Karur</t>
  </si>
  <si>
    <t>store_003221</t>
  </si>
  <si>
    <t>Reliance Digital- Andrahalli Sunkadakatte Bangalore -T5PL</t>
  </si>
  <si>
    <t>store_003222</t>
  </si>
  <si>
    <t>Reliance Digital- Rrl Cdit Himalaya Mall Bhavnag -8767</t>
  </si>
  <si>
    <t>store_003223</t>
  </si>
  <si>
    <t>Reliance Digital- Rrl Cdit Bulundshahr -T6EU</t>
  </si>
  <si>
    <t>Bulandsahar</t>
  </si>
  <si>
    <t>store_003224</t>
  </si>
  <si>
    <t>Reliance Digital- Rrl Cdit Kattur Trichy -TIY7</t>
  </si>
  <si>
    <t>store_003225</t>
  </si>
  <si>
    <t>Reliance Digital- Rrl Cdit-Lathi Road -T43N</t>
  </si>
  <si>
    <t>store_003226</t>
  </si>
  <si>
    <t>Reliance Digital- Rrl Cdit-Kankubagmal -TSF7</t>
  </si>
  <si>
    <t>store_003227</t>
  </si>
  <si>
    <t>Reliance Digital- Rrl Cdit-Talcher Roa -TYW1</t>
  </si>
  <si>
    <t>Angul</t>
  </si>
  <si>
    <t>store_003228</t>
  </si>
  <si>
    <t>Reliance Digital- Rrl Cdit Giridih -T2LK</t>
  </si>
  <si>
    <t>Giridih</t>
  </si>
  <si>
    <t>store_003229</t>
  </si>
  <si>
    <t>Reliance Digital- Rrl Cdit Hajipur -TC2V</t>
  </si>
  <si>
    <t>Hajipur</t>
  </si>
  <si>
    <t>store_003230</t>
  </si>
  <si>
    <t>Reliance Digital- Amtala Crossing, Westbengal -TCS7</t>
  </si>
  <si>
    <t>store_003231</t>
  </si>
  <si>
    <t>Reliance Digital- Rrl Cdit-T2D Mumbai -TAIV</t>
  </si>
  <si>
    <t>store_003232</t>
  </si>
  <si>
    <t>Reliance Digital- Tiruvannamalai Road -T8XR</t>
  </si>
  <si>
    <t>store_003233</t>
  </si>
  <si>
    <t>Reliance Digital- Rrl Cdit-Solaris Bus -T1KP</t>
  </si>
  <si>
    <t>store_003234</t>
  </si>
  <si>
    <t>Reliance Digital- Tiruvottiyur, Tn -TD4V</t>
  </si>
  <si>
    <t>store_003235</t>
  </si>
  <si>
    <t>Reliance Digital- Navalur -T5BB</t>
  </si>
  <si>
    <t>store_003236</t>
  </si>
  <si>
    <t>Reliance Digital- Begusari -T5ZF</t>
  </si>
  <si>
    <t>Begusarai</t>
  </si>
  <si>
    <t>store_003237</t>
  </si>
  <si>
    <t>Reliance Digital- Rrl Cdit Harur -TC2W</t>
  </si>
  <si>
    <t>store_003238</t>
  </si>
  <si>
    <t>Reliance Digital- Rrl Cdit -Narsaraope -TTZ5</t>
  </si>
  <si>
    <t>Narasaraopeta</t>
  </si>
  <si>
    <t>store_003239</t>
  </si>
  <si>
    <t>Reliance Digital- Chas Bypass Road -T9ZK</t>
  </si>
  <si>
    <t>Bokaro</t>
  </si>
  <si>
    <t>store_003240</t>
  </si>
  <si>
    <t>Reliance Digital- Rrl Cdit-Saffidon Ga -T9RH</t>
  </si>
  <si>
    <t>Jind</t>
  </si>
  <si>
    <t>store_003241</t>
  </si>
  <si>
    <t>Reliance Digital- Rrl Cdit Virudhachal -TB7O</t>
  </si>
  <si>
    <t>store_003242</t>
  </si>
  <si>
    <t>Reliance Digital- Rrl Cdit- Krishnagir -T1JN</t>
  </si>
  <si>
    <t>store_003243</t>
  </si>
  <si>
    <t>Reliance Digital- Rrl Cdit Dhaiya Roa -T2UA</t>
  </si>
  <si>
    <t>store_003244</t>
  </si>
  <si>
    <t>Reliance Digital- Rrl Cdit Varachha Ma -TH0W</t>
  </si>
  <si>
    <t>store_003245</t>
  </si>
  <si>
    <t>Reliance Digital- Rrl Cdit Pentagon Mall Haridwa -7784</t>
  </si>
  <si>
    <t>store_003246</t>
  </si>
  <si>
    <t>Reliance Digital- Rrl Cdit-Ttd Road Na -T9RI</t>
  </si>
  <si>
    <t>Nandyal</t>
  </si>
  <si>
    <t>store_003247</t>
  </si>
  <si>
    <t>Reliance Digital- Rrl Cdit Near Badgao -T4QM</t>
  </si>
  <si>
    <t>Gonda</t>
  </si>
  <si>
    <t>store_003248</t>
  </si>
  <si>
    <t>Reliance Digital- Rrl Cdit Kr Pali Putoor Road -TSE7</t>
  </si>
  <si>
    <t>store_003249</t>
  </si>
  <si>
    <t>Reliance Digital- Rrl Cdit- Anuparpala -T32O</t>
  </si>
  <si>
    <t>store_003250</t>
  </si>
  <si>
    <t>Reliance Digital- Ksrtc Shimoga Ka -9163</t>
  </si>
  <si>
    <t>store_003251</t>
  </si>
  <si>
    <t>Reliance Digital- Rrl Cdit Nsb Road Ranigunj -TW2B</t>
  </si>
  <si>
    <t>Raniganj</t>
  </si>
  <si>
    <t>store_003252</t>
  </si>
  <si>
    <t>Reliance Digital- Palm Mall Korba Cg -TI74</t>
  </si>
  <si>
    <t>store_003253</t>
  </si>
  <si>
    <t>Reliance Digital- Rrl Cdit Mehsana -T2HF</t>
  </si>
  <si>
    <t>Mahesana</t>
  </si>
  <si>
    <t>store_003254</t>
  </si>
  <si>
    <t>Reliance Digital- Rrl Cdit- Krishna Na -T1JO</t>
  </si>
  <si>
    <t>Krishna Nagar</t>
  </si>
  <si>
    <t>store_003255</t>
  </si>
  <si>
    <t>Reliance Digital- Rrl Cdit- Peruvallur -T1F8</t>
  </si>
  <si>
    <t>store_003256</t>
  </si>
  <si>
    <t>Reliance Digital- Rrl Cdit- Jadugar Ro -TSE9</t>
  </si>
  <si>
    <t>Roorkee</t>
  </si>
  <si>
    <t>store_003257</t>
  </si>
  <si>
    <t>Reliance Digital- Rrl Cdit Binaka Mall -T5AD</t>
  </si>
  <si>
    <t>Jagdalpur</t>
  </si>
  <si>
    <t>store_003258</t>
  </si>
  <si>
    <t>Reliance Digital- Rrl Cdit S D Road Secundrabad -8813</t>
  </si>
  <si>
    <t>store_003259</t>
  </si>
  <si>
    <t>Reliance Digital- Rrl Cdit Hema Durga Mall Hyder -8731</t>
  </si>
  <si>
    <t>store_003260</t>
  </si>
  <si>
    <t>Reliance Digital- Rrl Cdit- Orbit Vapi -T53T</t>
  </si>
  <si>
    <t>store_003261</t>
  </si>
  <si>
    <t>Reliance Digital- Rrl Cdit Mall Of Faridabad -T5PA</t>
  </si>
  <si>
    <t>store_003262</t>
  </si>
  <si>
    <t>Reliance Digital- Rrl Cdit Kadri -T5WP</t>
  </si>
  <si>
    <t>Kadiri</t>
  </si>
  <si>
    <t>store_003263</t>
  </si>
  <si>
    <t>Reliance Digital- Vijayawada Eluru Roa -T39E</t>
  </si>
  <si>
    <t>store_003264</t>
  </si>
  <si>
    <t>Reliance Digital- Rrlcdit Tania Horizon -9658</t>
  </si>
  <si>
    <t>store_003265</t>
  </si>
  <si>
    <t>Reliance Digital- Rrl Cdit-Gondal Road -TZZZ</t>
  </si>
  <si>
    <t>store_003266</t>
  </si>
  <si>
    <t>Reliance Digital- Railway Road Koduru -T9ZI</t>
  </si>
  <si>
    <t>Koduru</t>
  </si>
  <si>
    <t>store_003267</t>
  </si>
  <si>
    <t>Reliance Digital- Rrl Cdit Hanumangarh -TK92</t>
  </si>
  <si>
    <t>store_003268</t>
  </si>
  <si>
    <t>Reliance Digital- Rrl Cdit Guntur Road Ongole -6821</t>
  </si>
  <si>
    <t>store_003269</t>
  </si>
  <si>
    <t>Reliance Digital- Rrl Cdit Sarovar Land Mark Ka -TDG3</t>
  </si>
  <si>
    <t>store_003270</t>
  </si>
  <si>
    <t>Reliance Digital- Rrl Cdit Urbana Premium -TU65</t>
  </si>
  <si>
    <t>store_003271</t>
  </si>
  <si>
    <t>Reliance Digital- Rrl Cdit-Tnhb Road -TVL3</t>
  </si>
  <si>
    <t>store_003272</t>
  </si>
  <si>
    <t>Reliance Digital- Rrl Cdit Piduguralla -TM83</t>
  </si>
  <si>
    <t>store_003273</t>
  </si>
  <si>
    <t>Reliance Digital- Rrl Cdit- Kanchipura -T79R</t>
  </si>
  <si>
    <t>Kanchipuram</t>
  </si>
  <si>
    <t>store_003274</t>
  </si>
  <si>
    <t>Reliance Digital- Rrl Cdit Sekkalai Road Karaiku -TVA7</t>
  </si>
  <si>
    <t>Karaikudi</t>
  </si>
  <si>
    <t>store_003275</t>
  </si>
  <si>
    <t>Reliance Digital- Rrl Cdit Kumbakonam -T2LB</t>
  </si>
  <si>
    <t>Kumbakonam</t>
  </si>
  <si>
    <t>store_003276</t>
  </si>
  <si>
    <t>Reliance Digital- Rrl Cdit Katihar -T5ZE</t>
  </si>
  <si>
    <t>Katihar</t>
  </si>
  <si>
    <t>store_003277</t>
  </si>
  <si>
    <t>Reliance Digital- Compact Store -T7CA</t>
  </si>
  <si>
    <t>Jhajjar</t>
  </si>
  <si>
    <t>store_003278</t>
  </si>
  <si>
    <t>Reliance Digital- Rrl Cdit Market City Bangalor -8884</t>
  </si>
  <si>
    <t>store_003279</t>
  </si>
  <si>
    <t>Reliance Digital- Madari Malancha -TC3Z</t>
  </si>
  <si>
    <t>store_003280</t>
  </si>
  <si>
    <t>Reliance Digital- Main Road Nuzvid -T8RN</t>
  </si>
  <si>
    <t>store_003281</t>
  </si>
  <si>
    <t>Reliance Digital- Rrl Cdit Modern House Jaigaon -9649</t>
  </si>
  <si>
    <t>Jaigaon</t>
  </si>
  <si>
    <t>store_003282</t>
  </si>
  <si>
    <t>Reliance Digital- Rrl Cdit-Machlipatna -TDI5</t>
  </si>
  <si>
    <t>store_003283</t>
  </si>
  <si>
    <t>Reliance Digital- Rampurhat, Wb -T8EP</t>
  </si>
  <si>
    <t>Rampurhat</t>
  </si>
  <si>
    <t>store_003284</t>
  </si>
  <si>
    <t>Reliance Digital- Rrl Cdit Ss Mall Proddatur -TEG9</t>
  </si>
  <si>
    <t>Proddatur</t>
  </si>
  <si>
    <t>store_003285</t>
  </si>
  <si>
    <t>Reliance Digital- Rrl Cdit Grand High -TG9N</t>
  </si>
  <si>
    <t>store_003286</t>
  </si>
  <si>
    <t>Reliance Digital- Saiworld Legend Shahad -T0WI</t>
  </si>
  <si>
    <t>store_003287</t>
  </si>
  <si>
    <t>Reliance Digital- Rrl Cdit Hisar Road -T7UU</t>
  </si>
  <si>
    <t>Sirsa</t>
  </si>
  <si>
    <t>store_003288</t>
  </si>
  <si>
    <t>Reliance Digital- Rrl Cdit Chennai Digital Store -8933</t>
  </si>
  <si>
    <t>store_003289</t>
  </si>
  <si>
    <t>Reliance Digital- Rrl Cdit- Elgin Road -TVM5</t>
  </si>
  <si>
    <t>store_003290</t>
  </si>
  <si>
    <t>Reliance Digital- Gobra - Near To Great Eastern, Dankuni, Wb -T1BZ</t>
  </si>
  <si>
    <t>store_003291</t>
  </si>
  <si>
    <t>Reliance Digital- Rrl Cdit Gip Noida -8951</t>
  </si>
  <si>
    <t>store_003292</t>
  </si>
  <si>
    <t>Reliance Digital- Rrl D Xpress Ramanthapur Hyde -8697</t>
  </si>
  <si>
    <t>store_003293</t>
  </si>
  <si>
    <t>Reliance Digital- Rrl Cdit Venu Gopal Complex -T766</t>
  </si>
  <si>
    <t>store_003294</t>
  </si>
  <si>
    <t>Reliance Digital- Ktj Nagar, Davanagere, Kn -T8RK</t>
  </si>
  <si>
    <t>store_003295</t>
  </si>
  <si>
    <t>Reliance Digital- Bommasandra, Hosur Road, Bangalore Ka -TB9F</t>
  </si>
  <si>
    <t>store_003296</t>
  </si>
  <si>
    <t>Reliance Digital- Rrl Cdit Motikhavdi Jamnagar -8688</t>
  </si>
  <si>
    <t>store_003297</t>
  </si>
  <si>
    <t>Reliance Digital- Rrl Cdit Erandwane Pune -8974</t>
  </si>
  <si>
    <t>store_003298</t>
  </si>
  <si>
    <t>Reliance Digital- Rrl Cdit D Victoria Mall Boriv -8971</t>
  </si>
  <si>
    <t>store_003299</t>
  </si>
  <si>
    <t>Namisha Enterprises</t>
  </si>
  <si>
    <t>executive_00002, executive_00031, executive_00030, executive_00027, executive_00026, executive_00039, executive_00041</t>
  </si>
  <si>
    <t>Kanishk Bhardwaj, Bisma Nadeem, Avantika Gupta, Rohan Saxena, Sonal Kumar, Sweety Suman, Kumari Nishav Mishra</t>
  </si>
  <si>
    <t>store_003300</t>
  </si>
  <si>
    <t>V.K. Electronics</t>
  </si>
  <si>
    <t>executive_00002, executive_00031, executive_00030, executive_00027, executive_00026, executive_00039, executive_00041, executive_00035</t>
  </si>
  <si>
    <t>Kanishk Bhardwaj, Bisma Nadeem, Avantika Gupta, Rohan Saxena, Sonal Kumar, Sweety Suman, Kumari Nishav Mishra, Nishant Gaurav</t>
  </si>
  <si>
    <t>store_003301</t>
  </si>
  <si>
    <t>Reliance Digital- Rrl Faridabad Sector 82</t>
  </si>
  <si>
    <t>store_003302</t>
  </si>
  <si>
    <t>VS - Rajajinagar Bangalore</t>
  </si>
  <si>
    <t>store_003303</t>
  </si>
  <si>
    <t>Jain audio video</t>
  </si>
  <si>
    <t>store_003304</t>
  </si>
  <si>
    <t>Veetraag Trading Co (Value Plus)</t>
  </si>
  <si>
    <t>store_003305</t>
  </si>
  <si>
    <t>Mp electronics</t>
  </si>
  <si>
    <t>store_003306</t>
  </si>
  <si>
    <t>Amaan electronics</t>
  </si>
  <si>
    <t>store_003307</t>
  </si>
  <si>
    <t>Laxmi Electronics And Home Appliances</t>
  </si>
  <si>
    <t>store_003308</t>
  </si>
  <si>
    <t>Brij Sales</t>
  </si>
  <si>
    <t>store_003309</t>
  </si>
  <si>
    <t>Bharat Electricals</t>
  </si>
  <si>
    <t>executive_00006, executive_00002, executive_00031, executive_00030, executive_00027, executive_00026, executive_00039, executive_00041, executive_00035</t>
  </si>
  <si>
    <t>Neeraj Kandwal, Kanishk Bhardwaj, Bisma Nadeem, Avantika Gupta, Rohan Saxena, Sonal Kumar, Sweety Suman, Kumari Nishav Mishra, Nishant Gaurav</t>
  </si>
  <si>
    <t>store_003310</t>
  </si>
  <si>
    <t>Rastogi Mobile Gallery</t>
  </si>
  <si>
    <t>store_003311</t>
  </si>
  <si>
    <t>ASP - Arpita Enterprises</t>
  </si>
  <si>
    <t>store_003312</t>
  </si>
  <si>
    <t>Toshi Electronics</t>
  </si>
  <si>
    <t>store_003313</t>
  </si>
  <si>
    <t>Ashoka Shopping Mall</t>
  </si>
  <si>
    <t>Firozabad</t>
  </si>
  <si>
    <t>store_003314</t>
  </si>
  <si>
    <t>Mobinex</t>
  </si>
  <si>
    <t>store_003315</t>
  </si>
  <si>
    <t>JSS Sales and Service Center</t>
  </si>
  <si>
    <t>store_003316</t>
  </si>
  <si>
    <t>Shree Shyam Electricals</t>
  </si>
  <si>
    <t>executive_00027, executive_00026, executive_00006, executive_00002, executive_00031, executive_00030, executive_00039, executive_00041</t>
  </si>
  <si>
    <t>Rohan Saxena, Sonal Kumar, Neeraj Kandwal, Kanishk Bhardwaj, Bisma Nadeem, Avantika Gupta, Sweety Suman, Kumari Nishav Mishra</t>
  </si>
  <si>
    <t>store_003317</t>
  </si>
  <si>
    <t>Ar Electronic And Furniture</t>
  </si>
  <si>
    <t>Etah</t>
  </si>
  <si>
    <t>store_003318</t>
  </si>
  <si>
    <t>Anisha T.V.Corner (Retail)</t>
  </si>
  <si>
    <t>store_003319</t>
  </si>
  <si>
    <t>Durga Spares</t>
  </si>
  <si>
    <t>store_003320</t>
  </si>
  <si>
    <t>Associated Electronics (Retail)</t>
  </si>
  <si>
    <t>store_003321</t>
  </si>
  <si>
    <t>Mirza Communications</t>
  </si>
  <si>
    <t>store_003322</t>
  </si>
  <si>
    <t>Durby Electronics (Retail)</t>
  </si>
  <si>
    <t>store_003323</t>
  </si>
  <si>
    <t>Emerald Airconditioning &amp; Refrigeration (Retail)</t>
  </si>
  <si>
    <t>store_003324</t>
  </si>
  <si>
    <t>V I P Electro Point</t>
  </si>
  <si>
    <t>store_003325</t>
  </si>
  <si>
    <t>Hindustan Appliances</t>
  </si>
  <si>
    <t>Bahraich</t>
  </si>
  <si>
    <t>store_003326</t>
  </si>
  <si>
    <t>Gupta Enterprises (Shahdara) (Retail)</t>
  </si>
  <si>
    <t>executive_00027, executive_00006, executive_00031, executive_00030, executive_00026, executive_00002, executive_00039, executive_00041</t>
  </si>
  <si>
    <t>Rohan Saxena, Neeraj Kandwal, Bisma Nadeem, Avantika Gupta, Sonal Kumar, Kanishk Bhardwaj, Sweety Suman, Kumari Nishav Mishra</t>
  </si>
  <si>
    <t>store_003327</t>
  </si>
  <si>
    <t>Sawhney Electronics</t>
  </si>
  <si>
    <t>store_003328</t>
  </si>
  <si>
    <t>Hindustan Distributor (Retail)</t>
  </si>
  <si>
    <t>brand_003, brand_010</t>
  </si>
  <si>
    <t>Hitachi, Havells</t>
  </si>
  <si>
    <t>executive_00027, executive_00026, executive_00006, executive_00002, executive_00031, executive_00030, executive_00039, executive_00041, executive_00007, executive_00035, executive_00038</t>
  </si>
  <si>
    <t>Rohan Saxena, Sonal Kumar, Neeraj Kandwal, Kanishk Bhardwaj, Bisma Nadeem, Avantika Gupta, Sweety Suman, Kumari Nishav Mishra, Ayush Joshi, Nishant Gaurav, Anurag Yadav</t>
  </si>
  <si>
    <t>store_003329</t>
  </si>
  <si>
    <t>Electronic Gallery</t>
  </si>
  <si>
    <t>Shahjahanpur</t>
  </si>
  <si>
    <t>store_003330</t>
  </si>
  <si>
    <t>Jai Maa Durga Electronics (Retail)</t>
  </si>
  <si>
    <t>store_003331</t>
  </si>
  <si>
    <t>Jain Electronics (Babarpur) (Retail)</t>
  </si>
  <si>
    <t>store_003332</t>
  </si>
  <si>
    <t>Jain Enterprises (Karawal Nagar) (Retail)</t>
  </si>
  <si>
    <t>executive_00027, executive_00031, executive_00030, executive_00026, executive_00006, executive_00002, executive_00039, executive_00041</t>
  </si>
  <si>
    <t>Rohan Saxena, Bisma Nadeem, Avantika Gupta, Sonal Kumar, Neeraj Kandwal, Kanishk Bhardwaj, Sweety Suman, Kumari Nishav Mishra</t>
  </si>
  <si>
    <t>store_003333</t>
  </si>
  <si>
    <t>Seema Radio Center</t>
  </si>
  <si>
    <t>Barabanki</t>
  </si>
  <si>
    <t>store_003334</t>
  </si>
  <si>
    <t>Master Electronics</t>
  </si>
  <si>
    <t>Baharaich</t>
  </si>
  <si>
    <t>store_003335</t>
  </si>
  <si>
    <t>Kataria Sales Corporation (Retail)</t>
  </si>
  <si>
    <t>store_003336</t>
  </si>
  <si>
    <t>Lovely Distributors</t>
  </si>
  <si>
    <t>Hardoi</t>
  </si>
  <si>
    <t>store_003337</t>
  </si>
  <si>
    <t>Gagan Traders</t>
  </si>
  <si>
    <t>Sitapur</t>
  </si>
  <si>
    <t>store_003338</t>
  </si>
  <si>
    <t>Kooner A.C. &amp; Ref. Eng (Retail)</t>
  </si>
  <si>
    <t>store_003339</t>
  </si>
  <si>
    <t>Krishna Electronics (Khichripur) (Retail)</t>
  </si>
  <si>
    <t>store_003340</t>
  </si>
  <si>
    <t>Maan Enterprises</t>
  </si>
  <si>
    <t>store_003341</t>
  </si>
  <si>
    <t>Manchanda Electrical Works (Retail)</t>
  </si>
  <si>
    <t>store_003342</t>
  </si>
  <si>
    <t>Mb Aircon (Retail)</t>
  </si>
  <si>
    <t>store_003343</t>
  </si>
  <si>
    <t>Navrang Audio Video Pvt. Ltd.</t>
  </si>
  <si>
    <t>brand_003, brand_010, brand_004, brand_001</t>
  </si>
  <si>
    <t>Hitachi, Havells, Haier, Godrej</t>
  </si>
  <si>
    <t xml:space="preserve">, , , </t>
  </si>
  <si>
    <t>executive_00027, executive_00026, executive_00006, executive_00002, executive_00031, executive_00030, executive_00039, executive_00041, executive_00035</t>
  </si>
  <si>
    <t>Rohan Saxena, Sonal Kumar, Neeraj Kandwal, Kanishk Bhardwaj, Bisma Nadeem, Avantika Gupta, Sweety Suman, Kumari Nishav Mishra, Nishant Gaurav</t>
  </si>
  <si>
    <t>store_003344</t>
  </si>
  <si>
    <t>Electrovision</t>
  </si>
  <si>
    <t>Birbhum</t>
  </si>
  <si>
    <t>store_003345</t>
  </si>
  <si>
    <t>Auto Stores</t>
  </si>
  <si>
    <t>Bardhman</t>
  </si>
  <si>
    <t>store_003346</t>
  </si>
  <si>
    <t>Gb Sales Co</t>
  </si>
  <si>
    <t>store_003347</t>
  </si>
  <si>
    <t>R K Electronics</t>
  </si>
  <si>
    <t>store_003348</t>
  </si>
  <si>
    <t>Om Sai Enterprises (Ele) (Retail)</t>
  </si>
  <si>
    <t>store_003349</t>
  </si>
  <si>
    <t>Banga Electroics</t>
  </si>
  <si>
    <t>Hansi</t>
  </si>
  <si>
    <t>store_003350</t>
  </si>
  <si>
    <t>Pragya Metro Electronics (Retail)</t>
  </si>
  <si>
    <t>C, A</t>
  </si>
  <si>
    <t>executive_00027, executive_00031, executive_00030, executive_00026, executive_00006, executive_00002, executive_00039, executive_00041, executive_00007, executive_00038, executive_00035</t>
  </si>
  <si>
    <t>Rohan Saxena, Bisma Nadeem, Avantika Gupta, Sonal Kumar, Neeraj Kandwal, Kanishk Bhardwaj, Sweety Suman, Kumari Nishav Mishra, Ayush Joshi, Anurag Yadav, Nishant Gaurav</t>
  </si>
  <si>
    <t>store_003351</t>
  </si>
  <si>
    <t>Kansal Eenterprises</t>
  </si>
  <si>
    <t>store_003352</t>
  </si>
  <si>
    <t>R.R.Air Conditioning &amp; Electronics (Retail)</t>
  </si>
  <si>
    <t>store_003353</t>
  </si>
  <si>
    <t>Rahul Electronics (Retail)</t>
  </si>
  <si>
    <t>store_003354</t>
  </si>
  <si>
    <t>Raj Kumar Electronics (India) (Retail)</t>
  </si>
  <si>
    <t>store_003355</t>
  </si>
  <si>
    <t>Raja Auto And Radio</t>
  </si>
  <si>
    <t>Mahendragarh</t>
  </si>
  <si>
    <t>store_003356</t>
  </si>
  <si>
    <t>Malik Enterprises</t>
  </si>
  <si>
    <t>store_003357</t>
  </si>
  <si>
    <t>Amar Jwala Electronics</t>
  </si>
  <si>
    <t>store_003358</t>
  </si>
  <si>
    <t>Jain Electronic</t>
  </si>
  <si>
    <t>store_003359</t>
  </si>
  <si>
    <t>Sharma Electronics (Khichripur) (Retail)</t>
  </si>
  <si>
    <t>store_003360</t>
  </si>
  <si>
    <t>Shree Kailash Electronics (Retail)</t>
  </si>
  <si>
    <t>store_003361</t>
  </si>
  <si>
    <t>Shri Balaji Electronics (Krishna Nagar) (Retail)</t>
  </si>
  <si>
    <t>store_003362</t>
  </si>
  <si>
    <t>Shiva Enterprises</t>
  </si>
  <si>
    <t>store_003363</t>
  </si>
  <si>
    <t>The King Eletronics</t>
  </si>
  <si>
    <t>store_003364</t>
  </si>
  <si>
    <t>Vinayak Enetreprises (Retail)</t>
  </si>
  <si>
    <t>store_003365</t>
  </si>
  <si>
    <t>Viva Electronics (Retail)</t>
  </si>
  <si>
    <t>store_003366</t>
  </si>
  <si>
    <t>Sanjeev Electricals</t>
  </si>
  <si>
    <t>Bhiwani</t>
  </si>
  <si>
    <t>store_003367</t>
  </si>
  <si>
    <t>Shyam Electronics</t>
  </si>
  <si>
    <t>Hisar</t>
  </si>
  <si>
    <t>store_003368</t>
  </si>
  <si>
    <t>Yash Enterprises (Retail)</t>
  </si>
  <si>
    <t>store_003369</t>
  </si>
  <si>
    <t>MAA PEETAMBRA ENTERPRISES (Retail)</t>
  </si>
  <si>
    <t>store_003370</t>
  </si>
  <si>
    <t>Haryana Trading Co</t>
  </si>
  <si>
    <t>store_003371</t>
  </si>
  <si>
    <t>PY Electronics (Retail)</t>
  </si>
  <si>
    <t>store_003372</t>
  </si>
  <si>
    <t>Aakash Electronics</t>
  </si>
  <si>
    <t>store_003373</t>
  </si>
  <si>
    <t>Mars Enterprises (Retail)</t>
  </si>
  <si>
    <t>store_003374</t>
  </si>
  <si>
    <t>Grs Electronics And Furniture</t>
  </si>
  <si>
    <t>store_003375</t>
  </si>
  <si>
    <t>BALVIK CONSUMER SOLUTION (ASP)</t>
  </si>
  <si>
    <t>store_003376</t>
  </si>
  <si>
    <t>GRACE ELECTRONICS (ASP)</t>
  </si>
  <si>
    <t>executive_00002, executive_00006, executive_00007, executive_00026, executive_00027, executive_00031, executive_00030, executive_00038, executive_00035, executive_00039, executive_00041</t>
  </si>
  <si>
    <t>Kanishk Bhardwaj, Neeraj Kandwal, Ayush Joshi, Sonal Kumar, Rohan Saxena, Bisma Nadeem, Avantika Gupta, Anurag Yadav, Nishant Gaurav, Sweety Suman, Kumari Nishav Mishra</t>
  </si>
  <si>
    <t>store_003377</t>
  </si>
  <si>
    <t>AR MAGIC COOL (ASP)</t>
  </si>
  <si>
    <t>UP West</t>
  </si>
  <si>
    <t>store_003378</t>
  </si>
  <si>
    <t>Best Choice</t>
  </si>
  <si>
    <t>executive_00002, executive_00006, executive_00007, executive_00031, executive_00030, executive_00027, executive_00026</t>
  </si>
  <si>
    <t>Kanishk Bhardwaj, Neeraj Kandwal, Ayush Joshi, Bisma Nadeem, Avantika Gupta, Rohan Saxena, Sonal Kumar</t>
  </si>
  <si>
    <t>store_003379</t>
  </si>
  <si>
    <t>Air Cool</t>
  </si>
  <si>
    <t>store_003380</t>
  </si>
  <si>
    <t>AERO WINGS (ASP)</t>
  </si>
  <si>
    <t>store_003381</t>
  </si>
  <si>
    <t>VK REFRIGERATION (ASP)</t>
  </si>
  <si>
    <t>store_003382</t>
  </si>
  <si>
    <t>Mishra Refrigeration Engineers Pvt Ltd (Retail)</t>
  </si>
  <si>
    <t>executive_00002, executive_00027, executive_00031, executive_00030, executive_00026, executive_00044, executive_00043</t>
  </si>
  <si>
    <t>Kanishk Bhardwaj, Rohan Saxena, Bisma Nadeem, Avantika Gupta, Sonal Kumar, Priyanshu Prafulbhai Gohel, Anirudh shankar</t>
  </si>
  <si>
    <t>store_003383</t>
  </si>
  <si>
    <t>SEVEN STAR AIRCONDITION (ASP)</t>
  </si>
  <si>
    <t>store_003384</t>
  </si>
  <si>
    <t>Durga Electronics</t>
  </si>
  <si>
    <t>store_003385</t>
  </si>
  <si>
    <t>Shree Ram Enterprises</t>
  </si>
  <si>
    <t>store_003386</t>
  </si>
  <si>
    <t>SUPERIOR SERVICE (ASP)</t>
  </si>
  <si>
    <t>store_003387</t>
  </si>
  <si>
    <t>Alam Mart</t>
  </si>
  <si>
    <t>executive_00006, executive_00031, executive_00030, executive_00002, executive_00007, executive_00027, executive_00026</t>
  </si>
  <si>
    <t>Neeraj Kandwal, Bisma Nadeem, Avantika Gupta, Kanishk Bhardwaj, Ayush Joshi, Rohan Saxena, Sonal Kumar</t>
  </si>
  <si>
    <t>store_003388</t>
  </si>
  <si>
    <t>Aabans</t>
  </si>
  <si>
    <t>store_003389</t>
  </si>
  <si>
    <t>Capital Electronics</t>
  </si>
  <si>
    <t>store_003390</t>
  </si>
  <si>
    <t>BLUE WEATHER SOLUTIONS (ASP)</t>
  </si>
  <si>
    <t>store_003391</t>
  </si>
  <si>
    <t>AIR TREAT (ASP)</t>
  </si>
  <si>
    <t>store_003392</t>
  </si>
  <si>
    <t>Shri Balaji Electronics</t>
  </si>
  <si>
    <t>executive_00006, executive_00027, executive_00031, executive_00030, executive_00002, executive_00007, executive_00026, executive_00035, executive_00038, executive_00039, executive_00041</t>
  </si>
  <si>
    <t>Neeraj Kandwal, Rohan Saxena, Bisma Nadeem, Avantika Gupta, Kanishk Bhardwaj, Ayush Joshi, Sonal Kumar, Nishant Gaurav, Anurag Yadav, Sweety Suman, Kumari Nishav Mishra</t>
  </si>
  <si>
    <t>store_003393</t>
  </si>
  <si>
    <t>Pragya Metro Electronics</t>
  </si>
  <si>
    <t>executive_00007, executive_00027, executive_00031, executive_00030, executive_00002, executive_00006, executive_00026, executive_00035, executive_00038, executive_00039, executive_00041</t>
  </si>
  <si>
    <t>Ayush Joshi, Rohan Saxena, Bisma Nadeem, Avantika Gupta, Kanishk Bhardwaj, Neeraj Kandwal, Sonal Kumar, Nishant Gaurav, Anurag Yadav, Sweety Suman, Kumari Nishav Mishra</t>
  </si>
  <si>
    <t>store_003394</t>
  </si>
  <si>
    <t>NEW ERA AIRCON (ASP)</t>
  </si>
  <si>
    <t>store_003395</t>
  </si>
  <si>
    <t>Mahi traders (ASP)</t>
  </si>
  <si>
    <t>store_003396</t>
  </si>
  <si>
    <t>RS ENTERPRISES (ASP)</t>
  </si>
  <si>
    <t>store_003397</t>
  </si>
  <si>
    <t>MAYANK SERVICES (ASP)</t>
  </si>
  <si>
    <t>store_003398</t>
  </si>
  <si>
    <t>COMFORT SERVICE (ASP)</t>
  </si>
  <si>
    <t>executive_00025, executive_00018, executive_00037, executive_00045</t>
  </si>
  <si>
    <t>Utkarsh Narnaware, Rushikesh Sarode, Naman Kabra, Jatin Hegde</t>
  </si>
  <si>
    <t>store_003399</t>
  </si>
  <si>
    <t>TYAGI CLIMATE CONTROL (ASP)</t>
  </si>
  <si>
    <t>store_003400</t>
  </si>
  <si>
    <t>BABYLON SALES SERVICE (ASP)</t>
  </si>
  <si>
    <t>store_003401</t>
  </si>
  <si>
    <t>Apsara Electronics</t>
  </si>
  <si>
    <t>store_003402</t>
  </si>
  <si>
    <t>CINNY COOL AIR CONDITIONING (ASP)</t>
  </si>
  <si>
    <t>store_003403</t>
  </si>
  <si>
    <t>Kapil Electronics World</t>
  </si>
  <si>
    <t>store_003404</t>
  </si>
  <si>
    <t>Archie Electronics</t>
  </si>
  <si>
    <t>store_003405</t>
  </si>
  <si>
    <t>Om Sai Enterprises</t>
  </si>
  <si>
    <t>store_003406</t>
  </si>
  <si>
    <t>PRAKASH REFRIGERATION ELECTRICAL (ASP)</t>
  </si>
  <si>
    <t>store_003407</t>
  </si>
  <si>
    <t>Aryabhatta Doordarshan</t>
  </si>
  <si>
    <t>store_003408</t>
  </si>
  <si>
    <t>SS ENTERPRISES (ASP)</t>
  </si>
  <si>
    <t>store_003409</t>
  </si>
  <si>
    <t>OM SERVICES SALES (Retail)</t>
  </si>
  <si>
    <t>store_003410</t>
  </si>
  <si>
    <t>SURABHI COOL AIR (ASP)</t>
  </si>
  <si>
    <t>executive_00031, executive_00030, executive_00002, executive_00027, executive_00026</t>
  </si>
  <si>
    <t>Bisma Nadeem, Avantika Gupta, Kanishk Bhardwaj, Rohan Saxena, Sonal Kumar</t>
  </si>
  <si>
    <t>store_003411</t>
  </si>
  <si>
    <t>ELITE ENTERPRISES (ASP)</t>
  </si>
  <si>
    <t>store_003412</t>
  </si>
  <si>
    <t>Basudev Enterprises</t>
  </si>
  <si>
    <t>store_003413</t>
  </si>
  <si>
    <t>Veer Trading Co Pvt Ltd</t>
  </si>
  <si>
    <t>store_003414</t>
  </si>
  <si>
    <t>Bhavani Electricals</t>
  </si>
  <si>
    <t>store_003415</t>
  </si>
  <si>
    <t>Kanpur Cooling Services P Ltd</t>
  </si>
  <si>
    <t>store_003416</t>
  </si>
  <si>
    <t>Kumar Homes</t>
  </si>
  <si>
    <t>store_003417</t>
  </si>
  <si>
    <t>Hitachi -VS AIRCON (ASP)</t>
  </si>
  <si>
    <t>store_003418</t>
  </si>
  <si>
    <t>Jimmy Sales</t>
  </si>
  <si>
    <t>store_003419</t>
  </si>
  <si>
    <t>DAKSH AIRCONDITIONER INDIA (Retail)</t>
  </si>
  <si>
    <t>store_003420</t>
  </si>
  <si>
    <t>Electronic Vision</t>
  </si>
  <si>
    <t>store_003421</t>
  </si>
  <si>
    <t>Vipul Traders</t>
  </si>
  <si>
    <t>Aurangabadh</t>
  </si>
  <si>
    <t>store_003422</t>
  </si>
  <si>
    <t>Abhay Steel And Furniture Mart</t>
  </si>
  <si>
    <t>executive_00007, executive_00031, executive_00030, executive_00002, executive_00006, executive_00027, executive_00026</t>
  </si>
  <si>
    <t>Ayush Joshi, Bisma Nadeem, Avantika Gupta, Kanishk Bhardwaj, Neeraj Kandwal, Rohan Saxena, Sonal Kumar</t>
  </si>
  <si>
    <t>store_003423</t>
  </si>
  <si>
    <t>Raj Electronics Store</t>
  </si>
  <si>
    <t>East Champaran</t>
  </si>
  <si>
    <t>store_003424</t>
  </si>
  <si>
    <t>Baiju Electronics</t>
  </si>
  <si>
    <t>store_003425</t>
  </si>
  <si>
    <t>Vishal Furniture &amp; Steel House</t>
  </si>
  <si>
    <t>Nalanda</t>
  </si>
  <si>
    <t>store_003426</t>
  </si>
  <si>
    <t>CRYSTAL AIR COOL (ASP)</t>
  </si>
  <si>
    <t>store_003427</t>
  </si>
  <si>
    <t>Durgashree Electronics</t>
  </si>
  <si>
    <t>store_003428</t>
  </si>
  <si>
    <t>Durlava</t>
  </si>
  <si>
    <t>store_003429</t>
  </si>
  <si>
    <t>SRI AIR CONDITIONER (ASP)</t>
  </si>
  <si>
    <t>store_003430</t>
  </si>
  <si>
    <t>Durlava Electronics Furniture</t>
  </si>
  <si>
    <t>store_003431</t>
  </si>
  <si>
    <t>SHEZA ELECTRO WORLD PRIVATE LIMITED (ASP)</t>
  </si>
  <si>
    <t>store_003432</t>
  </si>
  <si>
    <t>Nutan Electronics</t>
  </si>
  <si>
    <t>store_003433</t>
  </si>
  <si>
    <t>Chitransh Electricals</t>
  </si>
  <si>
    <t>Rohtas</t>
  </si>
  <si>
    <t>store_003434</t>
  </si>
  <si>
    <t>Geeta Enterprises</t>
  </si>
  <si>
    <t>store_003435</t>
  </si>
  <si>
    <t>AIR COOL SYSTEMS (ASP)</t>
  </si>
  <si>
    <t>store_003436</t>
  </si>
  <si>
    <t>Hawa Traders</t>
  </si>
  <si>
    <t>store_003437</t>
  </si>
  <si>
    <t>MS STANDARD AIRCON (ASP)</t>
  </si>
  <si>
    <t>store_003438</t>
  </si>
  <si>
    <t>Croma -Pune-Kothrud 2- A569</t>
  </si>
  <si>
    <t>store_003439</t>
  </si>
  <si>
    <t>Ibc Systems</t>
  </si>
  <si>
    <t>store_003440</t>
  </si>
  <si>
    <t>J M Home Appliances</t>
  </si>
  <si>
    <t>store_003441</t>
  </si>
  <si>
    <t>Jagannath Electronics</t>
  </si>
  <si>
    <t>store_003442</t>
  </si>
  <si>
    <t>Kalinga Enterprises</t>
  </si>
  <si>
    <t>store_003443</t>
  </si>
  <si>
    <t>Lalit Electronics</t>
  </si>
  <si>
    <t>store_003444</t>
  </si>
  <si>
    <t>Maa Tabhamani Trading</t>
  </si>
  <si>
    <t>store_003445</t>
  </si>
  <si>
    <t>Madan Mohan Gallery</t>
  </si>
  <si>
    <t>store_003446</t>
  </si>
  <si>
    <t>Mahaveer Sales</t>
  </si>
  <si>
    <t>store_003447</t>
  </si>
  <si>
    <t>Modern Electronics Gallery</t>
  </si>
  <si>
    <t>store_003448</t>
  </si>
  <si>
    <t>EUNIKE COOLING SOLUTIONS PVT LTD (ASP)</t>
  </si>
  <si>
    <t>store_003449</t>
  </si>
  <si>
    <t>Mohapatra Enterprises</t>
  </si>
  <si>
    <t>store_003450</t>
  </si>
  <si>
    <t>DMP COOL TECH (ASP)</t>
  </si>
  <si>
    <t>store_003451</t>
  </si>
  <si>
    <t>YAMUNA ELECTRONICS (Retail)</t>
  </si>
  <si>
    <t>store_003452</t>
  </si>
  <si>
    <t>Mohapatra Electronics</t>
  </si>
  <si>
    <t>store_003453</t>
  </si>
  <si>
    <t>Mukesh Enetrprises</t>
  </si>
  <si>
    <t>store_003454</t>
  </si>
  <si>
    <t>Narayani Enterprises</t>
  </si>
  <si>
    <t>store_003455</t>
  </si>
  <si>
    <t>SAI ENTERPRISES MV PHIII (Retail)</t>
  </si>
  <si>
    <t>store_003456</t>
  </si>
  <si>
    <t>Airnet (Retail)</t>
  </si>
  <si>
    <t>store_003457</t>
  </si>
  <si>
    <t>New Patra Needs</t>
  </si>
  <si>
    <t>store_003458</t>
  </si>
  <si>
    <t>Omm Electronics</t>
  </si>
  <si>
    <t>store_003459</t>
  </si>
  <si>
    <t>SHREE SAMARTH KRUPA ENTERPRISES (ASP)</t>
  </si>
  <si>
    <t>store_003460</t>
  </si>
  <si>
    <t>SHARP SERVICE (ASP)</t>
  </si>
  <si>
    <t>store_003461</t>
  </si>
  <si>
    <t>P M Associates</t>
  </si>
  <si>
    <t>store_003462</t>
  </si>
  <si>
    <t>OM ENTERPRISES (ASP)</t>
  </si>
  <si>
    <t>store_003463</t>
  </si>
  <si>
    <t>Padhy Electronics</t>
  </si>
  <si>
    <t>store_003464</t>
  </si>
  <si>
    <t>Pal Electronics</t>
  </si>
  <si>
    <t>store_003465</t>
  </si>
  <si>
    <t>Patro Enterprises</t>
  </si>
  <si>
    <t>store_003466</t>
  </si>
  <si>
    <t>TECHNOMACH (ASP)</t>
  </si>
  <si>
    <t>store_003467</t>
  </si>
  <si>
    <t>UNIVERSAL CARE (ASP)</t>
  </si>
  <si>
    <t>store_003468</t>
  </si>
  <si>
    <t>Pattanaik Enterprises</t>
  </si>
  <si>
    <t>store_003469</t>
  </si>
  <si>
    <t>MICRO SERVICES (ASP)</t>
  </si>
  <si>
    <t>store_003470</t>
  </si>
  <si>
    <t>Prabhu Electronics</t>
  </si>
  <si>
    <t>store_003471</t>
  </si>
  <si>
    <t>Kumar Electronics India (Retail)</t>
  </si>
  <si>
    <t>store_003472</t>
  </si>
  <si>
    <t>Sagar Electronics</t>
  </si>
  <si>
    <t>store_003473</t>
  </si>
  <si>
    <t>Sarat Emporium</t>
  </si>
  <si>
    <t>store_003474</t>
  </si>
  <si>
    <t>Shamuka Electronics</t>
  </si>
  <si>
    <t>store_003475</t>
  </si>
  <si>
    <t>IQAIR SOLUTIONS (ASP)</t>
  </si>
  <si>
    <t>store_003476</t>
  </si>
  <si>
    <t>Shree Durlava</t>
  </si>
  <si>
    <t>store_003477</t>
  </si>
  <si>
    <t>SREE SAI AC SERVICE CENTRE (ASP)</t>
  </si>
  <si>
    <t>store_003478</t>
  </si>
  <si>
    <t>Shree Ganesh Enterprises</t>
  </si>
  <si>
    <t>store_003479</t>
  </si>
  <si>
    <t>Shree Laxmi Enterprises</t>
  </si>
  <si>
    <t>executive_00018, executive_00025, executive_00037, executive_00045</t>
  </si>
  <si>
    <t>Rushikesh Sarode, Utkarsh Narnaware, Naman Kabra, Jatin Hegde</t>
  </si>
  <si>
    <t>store_003480</t>
  </si>
  <si>
    <t>Vyas Digital Retail Pvt Ltd</t>
  </si>
  <si>
    <t>store_003481</t>
  </si>
  <si>
    <t>MAHALAKSHMI COOLING SYSTEMS (ASP)</t>
  </si>
  <si>
    <t>store_003482</t>
  </si>
  <si>
    <t>Zinc Electro Bazar Private Limited</t>
  </si>
  <si>
    <t>store_003483</t>
  </si>
  <si>
    <t>Bhatia Brothers</t>
  </si>
  <si>
    <t>store_003484</t>
  </si>
  <si>
    <t>Alfa Air Conditioning (ASP)</t>
  </si>
  <si>
    <t>store_003485</t>
  </si>
  <si>
    <t>Garg Electricals</t>
  </si>
  <si>
    <t>store_003486</t>
  </si>
  <si>
    <t>Shri Balaji Enterprises</t>
  </si>
  <si>
    <t>store_003487</t>
  </si>
  <si>
    <t>Shivi Enterprises (Retail)</t>
  </si>
  <si>
    <t>store_003488</t>
  </si>
  <si>
    <t>Feel Heaven Aircondition (Retail)</t>
  </si>
  <si>
    <t>store_003489</t>
  </si>
  <si>
    <t>Global Enterprises (Retail)</t>
  </si>
  <si>
    <t>store_003490</t>
  </si>
  <si>
    <t>As Engineering-Jankipuram</t>
  </si>
  <si>
    <t>store_003491</t>
  </si>
  <si>
    <t>Snow Air Conditioner (Retail)</t>
  </si>
  <si>
    <t>store_003492</t>
  </si>
  <si>
    <t>Jmd Electronics</t>
  </si>
  <si>
    <t>executive_00002, executive_00026, executive_00006, executive_00031, executive_00030, executive_00027, executive_00039, executive_00041</t>
  </si>
  <si>
    <t>Kanishk Bhardwaj, Sonal Kumar, Neeraj Kandwal, Bisma Nadeem, Avantika Gupta, Rohan Saxena, Sweety Suman, Kumari Nishav Mishra</t>
  </si>
  <si>
    <t>store_003493</t>
  </si>
  <si>
    <t>Mtk Electronics (Retail)</t>
  </si>
  <si>
    <t>executive_00002, executive_00026, executive_00006, executive_00027, executive_00031, executive_00030, executive_00039, executive_00041</t>
  </si>
  <si>
    <t>Kanishk Bhardwaj, Sonal Kumar, Neeraj Kandwal, Rohan Saxena, Bisma Nadeem, Avantika Gupta, Sweety Suman, Kumari Nishav Mishra</t>
  </si>
  <si>
    <t>store_003494</t>
  </si>
  <si>
    <t>Jain Electronicsrohtas Nagar</t>
  </si>
  <si>
    <t>store_003495</t>
  </si>
  <si>
    <t>Gupta Electro Word (Retail)</t>
  </si>
  <si>
    <t>store_003496</t>
  </si>
  <si>
    <t>Hotspot - Moujpur</t>
  </si>
  <si>
    <t>store_003497</t>
  </si>
  <si>
    <t>Meharsons Electronics Pvt Ltd</t>
  </si>
  <si>
    <t>store_003498</t>
  </si>
  <si>
    <t>Mittal Safe Company</t>
  </si>
  <si>
    <t>store_003499</t>
  </si>
  <si>
    <t>Paras Enterprises</t>
  </si>
  <si>
    <t>store_003500</t>
  </si>
  <si>
    <t>Kalka Enterprises (Retail)</t>
  </si>
  <si>
    <t>executive_00007, executive_00031, executive_00030, executive_00027, executive_00026, executive_00046</t>
  </si>
  <si>
    <t>Ayush Joshi, Bisma Nadeem, Avantika Gupta, Rohan Saxena, Sonal Kumar, Abhishek Kumar Singh</t>
  </si>
  <si>
    <t>store_003501</t>
  </si>
  <si>
    <t>Light and Sound</t>
  </si>
  <si>
    <t>executive_00026, executive_00006, executive_00031, executive_00030, executive_00027, executive_00039, executive_00041</t>
  </si>
  <si>
    <t>Sonal Kumar, Neeraj Kandwal, Bisma Nadeem, Avantika Gupta, Rohan Saxena, Sweety Suman, Kumari Nishav Mishra</t>
  </si>
  <si>
    <t>store_003502</t>
  </si>
  <si>
    <t>Prince refergeation</t>
  </si>
  <si>
    <t>store_003503</t>
  </si>
  <si>
    <t>Climb Service</t>
  </si>
  <si>
    <t>store_003504</t>
  </si>
  <si>
    <t>Shiva Electronics</t>
  </si>
  <si>
    <t>store_003505</t>
  </si>
  <si>
    <t>SR enterprise</t>
  </si>
  <si>
    <t>store_003506</t>
  </si>
  <si>
    <t>Day Dreamer</t>
  </si>
  <si>
    <t>store_003507</t>
  </si>
  <si>
    <t>Golden electronics</t>
  </si>
  <si>
    <t>store_003508</t>
  </si>
  <si>
    <t>Sateesh electronics</t>
  </si>
  <si>
    <t>store_003509</t>
  </si>
  <si>
    <t>A R Distribution</t>
  </si>
  <si>
    <t>store_003510</t>
  </si>
  <si>
    <t>Anand Electrical</t>
  </si>
  <si>
    <t>store_003511</t>
  </si>
  <si>
    <t>Jindal Sales</t>
  </si>
  <si>
    <t>store_003512</t>
  </si>
  <si>
    <t>ASP - Depali Enterprise</t>
  </si>
  <si>
    <t>store_003513</t>
  </si>
  <si>
    <t>New Rhtym ( Retail )</t>
  </si>
  <si>
    <t>store_003514</t>
  </si>
  <si>
    <t>Krish Traders</t>
  </si>
  <si>
    <t>store_003515</t>
  </si>
  <si>
    <t>Golden refrigeration HO</t>
  </si>
  <si>
    <t>executive_00026, executive_00032, executive_00042</t>
  </si>
  <si>
    <t>Sonal Kumar, Ankan Das, Megha Mondal</t>
  </si>
  <si>
    <t>store_003516</t>
  </si>
  <si>
    <t>GOLDEN HITACHI HOME</t>
  </si>
  <si>
    <t>store_003517</t>
  </si>
  <si>
    <t>GOLDAR AIR-CONDITION ASP</t>
  </si>
  <si>
    <t>store_003518</t>
  </si>
  <si>
    <t>Cooling Zone</t>
  </si>
  <si>
    <t>store_003519</t>
  </si>
  <si>
    <t>Mk Communication</t>
  </si>
  <si>
    <t>store_003520</t>
  </si>
  <si>
    <t>Taneja Agencies</t>
  </si>
  <si>
    <t>store_003521</t>
  </si>
  <si>
    <t>Aarav Enterprises</t>
  </si>
  <si>
    <t>store_003522</t>
  </si>
  <si>
    <t>Pawan Electronics</t>
  </si>
  <si>
    <t>store_003523</t>
  </si>
  <si>
    <t>S L G Electronics Pvt Ltd.</t>
  </si>
  <si>
    <t>store_003524</t>
  </si>
  <si>
    <t>HO ( Salt Lake )</t>
  </si>
  <si>
    <t>store_003525</t>
  </si>
  <si>
    <t>V K Electronics</t>
  </si>
  <si>
    <t>executive_00027, executive_00039, executive_00041</t>
  </si>
  <si>
    <t>Rohan Saxena, Sweety Suman, Kumari Nishav Mishra</t>
  </si>
  <si>
    <t>store_003526</t>
  </si>
  <si>
    <t>VS -Lajpat Nagar</t>
  </si>
  <si>
    <t>store_003527</t>
  </si>
  <si>
    <t>Reliance Digital - Vashi City Center</t>
  </si>
  <si>
    <t>store_003528</t>
  </si>
  <si>
    <t>Refrico</t>
  </si>
  <si>
    <t>store_003529</t>
  </si>
  <si>
    <t>Giriraj Furniture</t>
  </si>
  <si>
    <t>store_003530</t>
  </si>
  <si>
    <t>Namastey India Electronics</t>
  </si>
  <si>
    <t>store_003531</t>
  </si>
  <si>
    <t>Nimsan Technology Pvt Ltd</t>
  </si>
  <si>
    <t>store_003532</t>
  </si>
  <si>
    <t>CNP AIR FLOW SOLUTION</t>
  </si>
  <si>
    <t>store_003533</t>
  </si>
  <si>
    <t>Air Corp Engineering</t>
  </si>
  <si>
    <t>store_003534</t>
  </si>
  <si>
    <t>S D Electrovision</t>
  </si>
  <si>
    <t>store_003535</t>
  </si>
  <si>
    <t>SADGURU ENTERPRISES</t>
  </si>
  <si>
    <t>store_003536</t>
  </si>
  <si>
    <t>Yadav Traders</t>
  </si>
  <si>
    <t>store_003537</t>
  </si>
  <si>
    <t>S L Traders</t>
  </si>
  <si>
    <t>Sirmaur</t>
  </si>
  <si>
    <t>store_003538</t>
  </si>
  <si>
    <t>Ahuja Light Store</t>
  </si>
  <si>
    <t>store_003539</t>
  </si>
  <si>
    <t>Aparajita Infotech</t>
  </si>
  <si>
    <t>store_003540</t>
  </si>
  <si>
    <t>Ayushi Electronics &amp; Furniture</t>
  </si>
  <si>
    <t>store_003541</t>
  </si>
  <si>
    <t>Deepak Agencies</t>
  </si>
  <si>
    <t>store_003542</t>
  </si>
  <si>
    <t>Dhruva Electricals</t>
  </si>
  <si>
    <t>store_003543</t>
  </si>
  <si>
    <t>Indian Distributor</t>
  </si>
  <si>
    <t>store_003544</t>
  </si>
  <si>
    <t>Jagdamba Traders</t>
  </si>
  <si>
    <t>store_003545</t>
  </si>
  <si>
    <t>Jvhan Home Solutions Llp</t>
  </si>
  <si>
    <t>store_003546</t>
  </si>
  <si>
    <t>Kavya Enterprises</t>
  </si>
  <si>
    <t>store_003547</t>
  </si>
  <si>
    <t>Maya Enterprises</t>
  </si>
  <si>
    <t>store_003548</t>
  </si>
  <si>
    <t>R K Enterprises</t>
  </si>
  <si>
    <t>store_003549</t>
  </si>
  <si>
    <t>Rahul Electro World</t>
  </si>
  <si>
    <t>store_003550</t>
  </si>
  <si>
    <t>Reliable Service</t>
  </si>
  <si>
    <t>store_003551</t>
  </si>
  <si>
    <t>Mahi Traders</t>
  </si>
  <si>
    <t>executive_00027, executive_00046</t>
  </si>
  <si>
    <t>Rohan Saxena, Abhishek Kumar Singh</t>
  </si>
  <si>
    <t>store_003552</t>
  </si>
  <si>
    <t>Riddhi Communication</t>
  </si>
  <si>
    <t>store_003553</t>
  </si>
  <si>
    <t>Cool Care Shyam Bazar</t>
  </si>
  <si>
    <t>store_003554</t>
  </si>
  <si>
    <t>Kolkata Cooling Santoshpur Botkala</t>
  </si>
  <si>
    <t>store_003555</t>
  </si>
  <si>
    <t>J P Enterprise Jamuna Nagar</t>
  </si>
  <si>
    <t>store_003556</t>
  </si>
  <si>
    <t>The Heritage Asp Centre Rajbadi Uttarpada</t>
  </si>
  <si>
    <t>store_003557</t>
  </si>
  <si>
    <t>Roop Watch And Mobiles</t>
  </si>
  <si>
    <t>store_003558</t>
  </si>
  <si>
    <t>Shree Krishna Electronics</t>
  </si>
  <si>
    <t>store_003559</t>
  </si>
  <si>
    <t>Sushil Sales Corporation</t>
  </si>
  <si>
    <t>store_003560</t>
  </si>
  <si>
    <t>Veer Teja Enterprises</t>
  </si>
  <si>
    <t>store_003562</t>
  </si>
  <si>
    <t>Coolcare Air conditioning</t>
  </si>
  <si>
    <t>executive_00006, executive_00031, executive_00030, executive_00027, executive_00026, executive_00039, executive_00041, executive_00007, executive_00037, executive_00035, executive_00038</t>
  </si>
  <si>
    <t>Neeraj Kandwal, Bisma Nadeem, Avantika Gupta, Rohan Saxena, Sonal Kumar, Sweety Suman, Kumari Nishav Mishra, Ayush Joshi, Naman Kabra, Nishant Gaurav, Anurag Yadav</t>
  </si>
  <si>
    <t>store_003563</t>
  </si>
  <si>
    <t>Prakash Trading Company</t>
  </si>
  <si>
    <t>executive_00006, executive_00031, executive_00030, executive_00027, executive_00037, executive_00026, executive_00039, executive_00041</t>
  </si>
  <si>
    <t>Neeraj Kandwal, Bisma Nadeem, Avantika Gupta, Rohan Saxena, Naman Kabra, Sonal Kumar, Sweety Suman, Kumari Nishav Mishra</t>
  </si>
  <si>
    <t>store_003564</t>
  </si>
  <si>
    <t>S R Enterprise</t>
  </si>
  <si>
    <t>store_003565</t>
  </si>
  <si>
    <t>Cool universe</t>
  </si>
  <si>
    <t>store_003566</t>
  </si>
  <si>
    <t>FROSTER Service Center</t>
  </si>
  <si>
    <t>store_003567</t>
  </si>
  <si>
    <t>Cheap &amp; Best Trading Co</t>
  </si>
  <si>
    <t>Jammu</t>
  </si>
  <si>
    <t>Jammu &amp; Kashmir</t>
  </si>
  <si>
    <t>store_003568</t>
  </si>
  <si>
    <t>Electromart</t>
  </si>
  <si>
    <t>store_003569</t>
  </si>
  <si>
    <t>A C planet ( ASP )</t>
  </si>
  <si>
    <t>store_003570</t>
  </si>
  <si>
    <t>Amit Electricals</t>
  </si>
  <si>
    <t>store_003571</t>
  </si>
  <si>
    <t>New Arora Enterprises</t>
  </si>
  <si>
    <t>store_003572</t>
  </si>
  <si>
    <t>Pittie Auto Centre</t>
  </si>
  <si>
    <t>store_003573</t>
  </si>
  <si>
    <t>Sai Kripa Electronics</t>
  </si>
  <si>
    <t>store_003574</t>
  </si>
  <si>
    <t>Shubham Distributors</t>
  </si>
  <si>
    <t>store_003575</t>
  </si>
  <si>
    <t>Boss Electronics</t>
  </si>
  <si>
    <t>store_003576</t>
  </si>
  <si>
    <t>Deep Electronics</t>
  </si>
  <si>
    <t>store_003577</t>
  </si>
  <si>
    <t>Fairdeal Electric Ware</t>
  </si>
  <si>
    <t>store_003578</t>
  </si>
  <si>
    <t>Garrud Agency</t>
  </si>
  <si>
    <t>store_003579</t>
  </si>
  <si>
    <t>Gulshan Spare Part</t>
  </si>
  <si>
    <t>store_003580</t>
  </si>
  <si>
    <t>Ks Marketing</t>
  </si>
  <si>
    <t>store_003581</t>
  </si>
  <si>
    <t>M/S Khanna Radios</t>
  </si>
  <si>
    <t>store_003582</t>
  </si>
  <si>
    <t>Mayank Electronics</t>
  </si>
  <si>
    <t>store_003583</t>
  </si>
  <si>
    <t>New Bajrang Electronics</t>
  </si>
  <si>
    <t>store_003584</t>
  </si>
  <si>
    <t>Pooja Traders</t>
  </si>
  <si>
    <t>store_003585</t>
  </si>
  <si>
    <t>R K Electricals</t>
  </si>
  <si>
    <t>store_003586</t>
  </si>
  <si>
    <t>Shri Bala Ji Electronics</t>
  </si>
  <si>
    <t>store_003587</t>
  </si>
  <si>
    <t>Vijay Cassette</t>
  </si>
  <si>
    <t>store_003588</t>
  </si>
  <si>
    <t>B.T Electronic</t>
  </si>
  <si>
    <t>store_003589</t>
  </si>
  <si>
    <t>Bhai Bhai Electric Works</t>
  </si>
  <si>
    <t>store_003590</t>
  </si>
  <si>
    <t>Himalayan Shoppe</t>
  </si>
  <si>
    <t>store_003591</t>
  </si>
  <si>
    <t>Slr Enterprise</t>
  </si>
  <si>
    <t>store_003592</t>
  </si>
  <si>
    <t>Surobani</t>
  </si>
  <si>
    <t>store_003593</t>
  </si>
  <si>
    <t>The Citi Shine</t>
  </si>
  <si>
    <t>store_003594</t>
  </si>
  <si>
    <t>Video Plaza</t>
  </si>
  <si>
    <t>store_003595</t>
  </si>
  <si>
    <t>Young Engineering Refrigeration</t>
  </si>
  <si>
    <t>store_003596</t>
  </si>
  <si>
    <t>Era Electronics</t>
  </si>
  <si>
    <t>store_003597</t>
  </si>
  <si>
    <t>K N Marketing</t>
  </si>
  <si>
    <t>store_003598</t>
  </si>
  <si>
    <t>Shyam Traders</t>
  </si>
  <si>
    <t>store_003599</t>
  </si>
  <si>
    <t>Chawla Radios</t>
  </si>
  <si>
    <t>store_003600</t>
  </si>
  <si>
    <t>Gaba Enterprises</t>
  </si>
  <si>
    <t>store_003601</t>
  </si>
  <si>
    <t>Goyal Marketing</t>
  </si>
  <si>
    <t>store_003602</t>
  </si>
  <si>
    <t>Kang Enterprises</t>
  </si>
  <si>
    <t>store_003603</t>
  </si>
  <si>
    <t>Ks Telecom</t>
  </si>
  <si>
    <t>store_003604</t>
  </si>
  <si>
    <t>New Friends Electronics</t>
  </si>
  <si>
    <t>store_003605</t>
  </si>
  <si>
    <t>S S Airconditioning</t>
  </si>
  <si>
    <t>store_003606</t>
  </si>
  <si>
    <t>Suman Furniture House</t>
  </si>
  <si>
    <t>store_003607</t>
  </si>
  <si>
    <t>Baba Vision</t>
  </si>
  <si>
    <t>store_003608</t>
  </si>
  <si>
    <t>Digital Duniya</t>
  </si>
  <si>
    <t>store_003609</t>
  </si>
  <si>
    <t>Nirmala Enterprises</t>
  </si>
  <si>
    <t>store_003610</t>
  </si>
  <si>
    <t>R.K Electronics</t>
  </si>
  <si>
    <t>store_003611</t>
  </si>
  <si>
    <t>Hersons Electronics</t>
  </si>
  <si>
    <t>store_003612</t>
  </si>
  <si>
    <t>Ishan Traders</t>
  </si>
  <si>
    <t>store_003613</t>
  </si>
  <si>
    <t>Laxmi Enfratech</t>
  </si>
  <si>
    <t>store_003614</t>
  </si>
  <si>
    <t>Pradip Sales</t>
  </si>
  <si>
    <t>store_003615</t>
  </si>
  <si>
    <t>Bundi Electronics</t>
  </si>
  <si>
    <t>store_003616</t>
  </si>
  <si>
    <t>Shakun Electronics</t>
  </si>
  <si>
    <t>store_003617</t>
  </si>
  <si>
    <t>Suresh Agencies</t>
  </si>
  <si>
    <t>store_003618</t>
  </si>
  <si>
    <t>Hotspot- Vikas Marg-V</t>
  </si>
  <si>
    <t>store_003619</t>
  </si>
  <si>
    <t>Hotspot- Punjab - Patiala</t>
  </si>
  <si>
    <t>store_003620</t>
  </si>
  <si>
    <t>Hotspot- Haryana-Sonipat</t>
  </si>
  <si>
    <t>store_003621</t>
  </si>
  <si>
    <t>Reliance Digital- Rrl Cdit Panchkula -TB5V</t>
  </si>
  <si>
    <t>store_003622</t>
  </si>
  <si>
    <t>Value Plus -Haldwani (Kaladhungi Road)</t>
  </si>
  <si>
    <t>store_003623</t>
  </si>
  <si>
    <t>Value Plus -Lko (Gomti Nagar)</t>
  </si>
  <si>
    <t>store_003624</t>
  </si>
  <si>
    <t>Value Plus -M/S Gokul Enterprises (Pratapgarh)</t>
  </si>
  <si>
    <t>Pratapgarh</t>
  </si>
  <si>
    <t>store_003625</t>
  </si>
  <si>
    <t>Value Plus -M/S Shubhkamna Electronics (Mirzapur)</t>
  </si>
  <si>
    <t>Mirzapur</t>
  </si>
  <si>
    <t>store_003626</t>
  </si>
  <si>
    <t>Value Plus -M/S Utsav Paints Store (Rasra)</t>
  </si>
  <si>
    <t>Rasra</t>
  </si>
  <si>
    <t>store_003627</t>
  </si>
  <si>
    <t>Ajay Electronics</t>
  </si>
  <si>
    <t>store_003628</t>
  </si>
  <si>
    <t>Ankur Electronics &amp; Services</t>
  </si>
  <si>
    <t>store_003629</t>
  </si>
  <si>
    <t>Prakash Electronics</t>
  </si>
  <si>
    <t>store_003630</t>
  </si>
  <si>
    <t>Haier - Value Plus Retail Pvt Ltd</t>
  </si>
  <si>
    <t>store_003631</t>
  </si>
  <si>
    <t>Haier - Value Plus Retail P Ltd Ghaziabad(H</t>
  </si>
  <si>
    <t>store_003632</t>
  </si>
  <si>
    <t>Haier - Value Plus Retail Pvt Ltd Bareilly</t>
  </si>
  <si>
    <t>store_003633</t>
  </si>
  <si>
    <t>Haier - Value Plus Retail Pvt. Ltd.</t>
  </si>
  <si>
    <t>store_003634</t>
  </si>
  <si>
    <t>Haier - Value Plus Retail Pvt Ltd Agra</t>
  </si>
  <si>
    <t>store_003635</t>
  </si>
  <si>
    <t>Value Plus -Jhansi (Sipri Bazaar)</t>
  </si>
  <si>
    <t>store_003637</t>
  </si>
  <si>
    <t>Value Plus -Mathura (Dwarkapuri)</t>
  </si>
  <si>
    <t>Mathur</t>
  </si>
  <si>
    <t>store_003638</t>
  </si>
  <si>
    <t>Value Plus -M/S Sarang Electronics (Mainpuri)</t>
  </si>
  <si>
    <t>Mainpuri</t>
  </si>
  <si>
    <t>store_003639</t>
  </si>
  <si>
    <t>Value Plus -M/S National Electronics (Kasganj)</t>
  </si>
  <si>
    <t>Kasganj</t>
  </si>
  <si>
    <t>store_003640</t>
  </si>
  <si>
    <t>Value Plus -M/S Shubham Enterprises (Etah)</t>
  </si>
  <si>
    <t>store_003641</t>
  </si>
  <si>
    <t>Value Plus -M/S S G Enterprises (Hathras)</t>
  </si>
  <si>
    <t>Hathras</t>
  </si>
  <si>
    <t>store_003642</t>
  </si>
  <si>
    <t>Value Plus -M/S Jitendra Electronics (Shikohabad)</t>
  </si>
  <si>
    <t>Shikohabad</t>
  </si>
  <si>
    <t>store_003643</t>
  </si>
  <si>
    <t>Value Plus -M/S Swadeshi Electronics(Etawah)</t>
  </si>
  <si>
    <t>Etawah</t>
  </si>
  <si>
    <t>store_003646</t>
  </si>
  <si>
    <t>Value Plus -M/S Sidhbali Retail Private Limited (Chandausi)</t>
  </si>
  <si>
    <t>Chandausi</t>
  </si>
  <si>
    <t>store_003647</t>
  </si>
  <si>
    <t>Value Plus -M/S Singh Enterprises (Jalalabad)</t>
  </si>
  <si>
    <t>Jalalabad</t>
  </si>
  <si>
    <t>store_003648</t>
  </si>
  <si>
    <t>Value Plus -M/S Rathore Care (Pilibhit)</t>
  </si>
  <si>
    <t>Pilibhit</t>
  </si>
  <si>
    <t>store_003649</t>
  </si>
  <si>
    <t>Value Plus -M/S Digiworld Enterprises (Rampur)</t>
  </si>
  <si>
    <t>Rampur</t>
  </si>
  <si>
    <t>store_003650</t>
  </si>
  <si>
    <t>Value Plus -Rudrapur(Udham Singh Nagar)</t>
  </si>
  <si>
    <t>Udham Singh Nagar</t>
  </si>
  <si>
    <t>store_003651</t>
  </si>
  <si>
    <t>Value Plus -Ddn (Kashipur)</t>
  </si>
  <si>
    <t>store_003652</t>
  </si>
  <si>
    <t>Value Plus -M/S Shivam Mart (Bageshwar)</t>
  </si>
  <si>
    <t>Bageshwar</t>
  </si>
  <si>
    <t>store_003653</t>
  </si>
  <si>
    <t>Electronics Paradise - Ankur Electronic</t>
  </si>
  <si>
    <t>store_003654</t>
  </si>
  <si>
    <t>Value Plus -M/S Titu Enterprises Kbl Plaza (Vikas Nagar Ddn)</t>
  </si>
  <si>
    <t>store_003655</t>
  </si>
  <si>
    <t>Value Plus -M/S Preet Electricals (Khatima)</t>
  </si>
  <si>
    <t>Khatima</t>
  </si>
  <si>
    <t>store_003656</t>
  </si>
  <si>
    <t>Value Plus -M/S Bhagwati Electronics (Kichha)</t>
  </si>
  <si>
    <t>Kiccha</t>
  </si>
  <si>
    <t>store_003657</t>
  </si>
  <si>
    <t>Value Plus -Gkp (Nasirabad)</t>
  </si>
  <si>
    <t>store_003658</t>
  </si>
  <si>
    <t>Value Plus -Gkp (Radhika Complex)</t>
  </si>
  <si>
    <t>store_003659</t>
  </si>
  <si>
    <t>Value Plus -M/S Singh Electronics (Deoria)</t>
  </si>
  <si>
    <t>store_003660</t>
  </si>
  <si>
    <t>Value Plus -M/S Shri C L Enterprises (Taramandal)</t>
  </si>
  <si>
    <t>Gorakhapur</t>
  </si>
  <si>
    <t>store_003661</t>
  </si>
  <si>
    <t>Value Plus -M/S House Of Electronics (Gandhi Nagar)</t>
  </si>
  <si>
    <t>store_003662</t>
  </si>
  <si>
    <t>Value Plus -M/S Ashoka Enterprises (Kunraghat)</t>
  </si>
  <si>
    <t>store_003663</t>
  </si>
  <si>
    <t>Value Plus -M/S Electronics Palace (Padrauna)</t>
  </si>
  <si>
    <t>store_003664</t>
  </si>
  <si>
    <t>Value Plus -M/S Hariyana Traders(Golghar)</t>
  </si>
  <si>
    <t>store_003665</t>
  </si>
  <si>
    <t>Value Plus -M/S Jai Hind Electronics (Salempur)</t>
  </si>
  <si>
    <t>store_003666</t>
  </si>
  <si>
    <t>Value Plus -M/S Shivam Enterprises (Shahjanwa)</t>
  </si>
  <si>
    <t>store_003667</t>
  </si>
  <si>
    <t>Value Plus -M/S Rajput Enterprises (Khalilabad)</t>
  </si>
  <si>
    <t>store_003668</t>
  </si>
  <si>
    <t>Value Plus -M/S Electro World And Furniture (Barhalganj)</t>
  </si>
  <si>
    <t>store_003669</t>
  </si>
  <si>
    <t>Value Plus -M/S S.A Enterprises (Maharajganj)</t>
  </si>
  <si>
    <t>store_003670</t>
  </si>
  <si>
    <t>Value Plus -M/S Geetanjali Electronics (Kasia)</t>
  </si>
  <si>
    <t>store_003671</t>
  </si>
  <si>
    <t>Value Plus -M/S Shree Balaji Inframart (Siddharthnagar)</t>
  </si>
  <si>
    <t>store_003672</t>
  </si>
  <si>
    <t>Value Plus -Knp (Swaroop Nagar)</t>
  </si>
  <si>
    <t>store_003673</t>
  </si>
  <si>
    <t>Value Plus -Lko Fzb(Ayodhya)</t>
  </si>
  <si>
    <t>store_003674</t>
  </si>
  <si>
    <t>Value Plus -Lko (Vikas Nagar)</t>
  </si>
  <si>
    <t>store_003675</t>
  </si>
  <si>
    <t>Value Plus -Lko(Gic,Bahraich)</t>
  </si>
  <si>
    <t>store_003676</t>
  </si>
  <si>
    <t>Value Plus -Lko (Aashiyana)</t>
  </si>
  <si>
    <t>store_003677</t>
  </si>
  <si>
    <t>Value Plus -Lko (Rai Bareilly)</t>
  </si>
  <si>
    <t>store_003678</t>
  </si>
  <si>
    <t>Value Plus -M/S Furniture Point(Shahjahanpur)</t>
  </si>
  <si>
    <t>store_003679</t>
  </si>
  <si>
    <t>Value Plus -M/S Smart Cooling Solutions (Arjunganj)</t>
  </si>
  <si>
    <t>store_003680</t>
  </si>
  <si>
    <t>Value Plus -M/S L.D. Enterprises (Gola)</t>
  </si>
  <si>
    <t>store_003681</t>
  </si>
  <si>
    <t>Value Plus -M/S Shubham Enterprises (Indira Nagar)</t>
  </si>
  <si>
    <t>store_003682</t>
  </si>
  <si>
    <t>Value Plus -M/S Agarwal Electronics (Shahjahanpur)</t>
  </si>
  <si>
    <t>store_003683</t>
  </si>
  <si>
    <t>Value Plus -M/S Metro Furnitures And Electronics (Hardoi)</t>
  </si>
  <si>
    <t>store_003684</t>
  </si>
  <si>
    <t>Value Plus -M/S Alankar Electronics(Sultanpur)</t>
  </si>
  <si>
    <t>store_003685</t>
  </si>
  <si>
    <t>Value Plus -M/S Rishi Electronics (Mehmoodabad)</t>
  </si>
  <si>
    <t>store_003686</t>
  </si>
  <si>
    <t>Value Plus -M/S Gaurav Electronics (Gonda)</t>
  </si>
  <si>
    <t>store_003687</t>
  </si>
  <si>
    <t>Value Plus -M/S Amar Agencies (Nanpara)</t>
  </si>
  <si>
    <t>store_003688</t>
  </si>
  <si>
    <t>Value Plus -M/S Sri Balaji Mobiles (Shri Ram Tower)</t>
  </si>
  <si>
    <t>store_003689</t>
  </si>
  <si>
    <t>Value Plus -M/S Satnam Electronics (Gonda)</t>
  </si>
  <si>
    <t>store_003690</t>
  </si>
  <si>
    <t>Value Plus -M/S Divyansh Enterprises (Maholi Sitapur)</t>
  </si>
  <si>
    <t>store_003691</t>
  </si>
  <si>
    <t>Value Plus -M/S Raj Video Centre (Sitapur Road)</t>
  </si>
  <si>
    <t>store_003692</t>
  </si>
  <si>
    <t>Value Plus -M/S V.L.Enterprises(Lakhimpur)</t>
  </si>
  <si>
    <t>store_003693</t>
  </si>
  <si>
    <t>Value Plus -M/S Jain Electronics(Hardoi)</t>
  </si>
  <si>
    <t>store_003694</t>
  </si>
  <si>
    <t>Value Plus -M/S Manas Electronicd(Faizabad Road)</t>
  </si>
  <si>
    <t>store_003695</t>
  </si>
  <si>
    <t>Value Plus -Saharanpur (Link Road)</t>
  </si>
  <si>
    <t>store_003696</t>
  </si>
  <si>
    <t>Value Plus -Nod(Ambedkar Road)</t>
  </si>
  <si>
    <t>store_003697</t>
  </si>
  <si>
    <t>Value Plus -M/S Jay Engineering And Electronics (Moradabad)</t>
  </si>
  <si>
    <t>store_003698</t>
  </si>
  <si>
    <t>Value Plus -M/S Mohsin Mobiles (Sambhal)</t>
  </si>
  <si>
    <t>store_003699</t>
  </si>
  <si>
    <t>Value Plus -M/S Jay Engineering And Electronics (Moradabad,Rampur )</t>
  </si>
  <si>
    <t>store_003700</t>
  </si>
  <si>
    <t>Value Plus -M/S K-Mart (Dhanaura)</t>
  </si>
  <si>
    <t>store_003701</t>
  </si>
  <si>
    <t>Value Plus -M/S Ankur Electricals (Noida Extn.)</t>
  </si>
  <si>
    <t>store_003702</t>
  </si>
  <si>
    <t>Value Plus -M/S Anjani Enterprises (Muradnagar)</t>
  </si>
  <si>
    <t>store_003703</t>
  </si>
  <si>
    <t>Value Plus -M/S Veetraag Trading Co. (Muzaffarnagar)</t>
  </si>
  <si>
    <t>store_003704</t>
  </si>
  <si>
    <t>Value Plus -M/S Goyal Televisions (Jahangirabad)</t>
  </si>
  <si>
    <t>store_003705</t>
  </si>
  <si>
    <t>Value Plus -M/S Bharat Television (Bulandshahr)</t>
  </si>
  <si>
    <t>store_003706</t>
  </si>
  <si>
    <t>Value Plus -M/S Mayur T.V. Centre (Baraut)</t>
  </si>
  <si>
    <t>store_003707</t>
  </si>
  <si>
    <t>Value Plus -M/S Tomo Enterprises (Dhampur)</t>
  </si>
  <si>
    <t>store_003708</t>
  </si>
  <si>
    <t>Value Plus -M/S Madhur Sales (Gulaothi)</t>
  </si>
  <si>
    <t>store_003709</t>
  </si>
  <si>
    <t>Value Plus -M/S Harish Electronics (Dadri)</t>
  </si>
  <si>
    <t>store_003710</t>
  </si>
  <si>
    <t>Value Plus -M/S Anand Shri Enterprises (Bhawani Mandi)</t>
  </si>
  <si>
    <t>store_003711</t>
  </si>
  <si>
    <t>Value Plus -M/S Goyal Electronics(Kishangarh)</t>
  </si>
  <si>
    <t>store_003712</t>
  </si>
  <si>
    <t>Value Plus -M/S Punjab Electronics(Hindaun)</t>
  </si>
  <si>
    <t>store_003713</t>
  </si>
  <si>
    <t>Value Plus -M/S Tara Mahendra Agencies (Bharatpur)</t>
  </si>
  <si>
    <t>store_003714</t>
  </si>
  <si>
    <t>Value Plus -M/S Shilu Electronics(Behror)</t>
  </si>
  <si>
    <t>store_003715</t>
  </si>
  <si>
    <t>Value Plus -M/S Roop Watch And Mobiles (Ajmer)</t>
  </si>
  <si>
    <t>store_003716</t>
  </si>
  <si>
    <t>Value Plus -M/S Madaan Electronics (New)</t>
  </si>
  <si>
    <t>executive_00007, executive_00031, executive_00030, executive_00027, executive_00037, executive_00026, executive_00035, executive_00038, executive_00039, executive_00041</t>
  </si>
  <si>
    <t>Ayush Joshi, Bisma Nadeem, Avantika Gupta, Rohan Saxena, Naman Kabra, Sonal Kumar, Nishant Gaurav, Anurag Yadav, Sweety Suman, Kumari Nishav Mishra</t>
  </si>
  <si>
    <t>store_003717</t>
  </si>
  <si>
    <t>Value Plus -M/S N. K. Plaza(Dholpur)</t>
  </si>
  <si>
    <t>store_003718</t>
  </si>
  <si>
    <t>Value Plus -M/S Dharmratn Electronics And Mobile (Kekri)</t>
  </si>
  <si>
    <t>store_003719</t>
  </si>
  <si>
    <t>Value Plus -Slg (Burdwan Road)</t>
  </si>
  <si>
    <t>store_003720</t>
  </si>
  <si>
    <t>Value Plus -M/S Royal Electronics (Cooch Behar)</t>
  </si>
  <si>
    <t>store_003721</t>
  </si>
  <si>
    <t>Dummy Store</t>
  </si>
  <si>
    <t>store_003722</t>
  </si>
  <si>
    <t>Value Plus -M/S E.T.N.Retails(Birpara)</t>
  </si>
  <si>
    <t>store_003723</t>
  </si>
  <si>
    <t>Value Plus -M/S Maxx Enterprise (Namchi)</t>
  </si>
  <si>
    <t>store_003724</t>
  </si>
  <si>
    <t>Value Plus -M/S Shankar Communication (Maynaguri )</t>
  </si>
  <si>
    <t>store_003725</t>
  </si>
  <si>
    <t>Razzle Dazzle Electronics</t>
  </si>
  <si>
    <t>store_003726</t>
  </si>
  <si>
    <t>Value Plus -M/S Maxx Enterprise (Jorethang)</t>
  </si>
  <si>
    <t>store_003727</t>
  </si>
  <si>
    <t>Value Plus -M/S Bhm Commerce Pvt Ltd(Gangtok)</t>
  </si>
  <si>
    <t>store_003728</t>
  </si>
  <si>
    <t>Value Plus -M/S Manoj Electronics (Jalpaiguri )</t>
  </si>
  <si>
    <t>store_003729</t>
  </si>
  <si>
    <t>Value Plus -City Electronic ( Thakurganj )</t>
  </si>
  <si>
    <t>store_003730</t>
  </si>
  <si>
    <t>Value Plus -M/S Samriddhi (Kishanganj)</t>
  </si>
  <si>
    <t>store_003731</t>
  </si>
  <si>
    <t>Sachdeva Electronics (P) Ltd</t>
  </si>
  <si>
    <t>store_003732</t>
  </si>
  <si>
    <t>Value Plus -Vns (Durgakund)</t>
  </si>
  <si>
    <t>store_003733</t>
  </si>
  <si>
    <t>Value Plus -Vns (Maldia)</t>
  </si>
  <si>
    <t>A, A_PLUS</t>
  </si>
  <si>
    <t>executive_00031, executive_00030, executive_00007, executive_00027, executive_00006, executive_00026, executive_00035, executive_00038, executive_00039, executive_00041</t>
  </si>
  <si>
    <t>Bisma Nadeem, Avantika Gupta, Ayush Joshi, Rohan Saxena, Neeraj Kandwal, Sonal Kumar, Nishant Gaurav, Anurag Yadav, Sweety Suman, Kumari Nishav Mishra</t>
  </si>
  <si>
    <t>store_003735</t>
  </si>
  <si>
    <t>Value Plus -Vns(Jaunpur)</t>
  </si>
  <si>
    <t>store_003736</t>
  </si>
  <si>
    <t>Value Plus -Vns(Nadesar)</t>
  </si>
  <si>
    <t>store_003737</t>
  </si>
  <si>
    <t>Value Plus -Vns (Sunderpur)</t>
  </si>
  <si>
    <t>store_003738</t>
  </si>
  <si>
    <t>Value Plus -M/S P.K. Enterprises (Pratapgarh)</t>
  </si>
  <si>
    <t>store_003739</t>
  </si>
  <si>
    <t>Value Plus -M/S Durga Electricals (Shakti Nagar )</t>
  </si>
  <si>
    <t>store_003740</t>
  </si>
  <si>
    <t>Value Plus -M/S R.G. Electronics (Ghazipur)</t>
  </si>
  <si>
    <t>store_003741</t>
  </si>
  <si>
    <t>Value Plus -M/S Roopa Electronics (Renukoot)</t>
  </si>
  <si>
    <t>store_003742</t>
  </si>
  <si>
    <t>Value Plus -M/S M R Electricals (Belthara Road)</t>
  </si>
  <si>
    <t>store_003743</t>
  </si>
  <si>
    <t>Amico Agencies</t>
  </si>
  <si>
    <t>store_003744</t>
  </si>
  <si>
    <t>Agrawal Galaxy</t>
  </si>
  <si>
    <t>store_003745</t>
  </si>
  <si>
    <t>Reliance Digital - East Maredpally Secunderabad</t>
  </si>
  <si>
    <t>store_003746</t>
  </si>
  <si>
    <t>Sheetal Refrigeration</t>
  </si>
  <si>
    <t>store_003747</t>
  </si>
  <si>
    <t>Vs - Bopal</t>
  </si>
  <si>
    <t>store_003748</t>
  </si>
  <si>
    <t>Vs - Tmc - Vanasthalipuram</t>
  </si>
  <si>
    <t>store_003749</t>
  </si>
  <si>
    <t>Krishna Electronics-Jodhpur</t>
  </si>
  <si>
    <t>store_003750</t>
  </si>
  <si>
    <t>Vs - Padmavati</t>
  </si>
  <si>
    <t>store_003751</t>
  </si>
  <si>
    <t>Vs - Kothrud</t>
  </si>
  <si>
    <t>store_003752</t>
  </si>
  <si>
    <t>Reliance Digital - R S Puram</t>
  </si>
  <si>
    <t>store_003753</t>
  </si>
  <si>
    <t>James &amp; Co</t>
  </si>
  <si>
    <t>store_003754</t>
  </si>
  <si>
    <t>Reliance Digital - Galaxy Mall(Asansol)</t>
  </si>
  <si>
    <t>store_003755</t>
  </si>
  <si>
    <t>Reliance Digital - Chinar Park</t>
  </si>
  <si>
    <t>store_003756</t>
  </si>
  <si>
    <t>Reliance Digital V3S Laxmi Nagar</t>
  </si>
  <si>
    <t>store_003757</t>
  </si>
  <si>
    <t>Rohit Refrigeration Private Limited - Moulali</t>
  </si>
  <si>
    <t>store_003758</t>
  </si>
  <si>
    <t>Anil Refrigeration - Siliguri</t>
  </si>
  <si>
    <t>store_003759</t>
  </si>
  <si>
    <t>U.A Associates-Hajipur</t>
  </si>
  <si>
    <t>store_003760</t>
  </si>
  <si>
    <t>Goel Electronico</t>
  </si>
  <si>
    <t>store_003761</t>
  </si>
  <si>
    <t>Reliance Digital- Esplande Mall</t>
  </si>
  <si>
    <t>store_003762</t>
  </si>
  <si>
    <t>Anshdeep Electronics</t>
  </si>
  <si>
    <t>store_003763</t>
  </si>
  <si>
    <t>Rana Digital - Kadamtala</t>
  </si>
  <si>
    <t>store_003764</t>
  </si>
  <si>
    <t>Swaraj Electricals-Navyug Market</t>
  </si>
  <si>
    <t>store_003765</t>
  </si>
  <si>
    <t>Elektrokraft Jamsedpur (Sakchi)</t>
  </si>
  <si>
    <t>store_003766</t>
  </si>
  <si>
    <t>Singhal Air Conditioning-Ashok Nagar</t>
  </si>
  <si>
    <t>store_003767</t>
  </si>
  <si>
    <t>Reliance Digital-Lulu Mall</t>
  </si>
  <si>
    <t>store_003768</t>
  </si>
  <si>
    <t>Initiative Data</t>
  </si>
  <si>
    <t>store_003769</t>
  </si>
  <si>
    <t>Reliance Digital-Gurugram</t>
  </si>
  <si>
    <t>store_003770</t>
  </si>
  <si>
    <t>Reliance Digital - Madhyamgram</t>
  </si>
  <si>
    <t>store_003771</t>
  </si>
  <si>
    <t>Reliance Digital - Chandannagar</t>
  </si>
  <si>
    <t>store_003772</t>
  </si>
  <si>
    <t>Reliance Digital- Dcm</t>
  </si>
  <si>
    <t>store_003773</t>
  </si>
  <si>
    <t>International Mobile Plaza-Pathankot</t>
  </si>
  <si>
    <t>store_003774</t>
  </si>
  <si>
    <t>Reliance Digital- Vibhutikhand</t>
  </si>
  <si>
    <t>store_003775</t>
  </si>
  <si>
    <t>Reliance Digital-Alambagh</t>
  </si>
  <si>
    <t>store_003776</t>
  </si>
  <si>
    <t>Samrat Electronics</t>
  </si>
  <si>
    <t>store_003777</t>
  </si>
  <si>
    <t>Reliance Digital - Samrala Chowk</t>
  </si>
  <si>
    <t>store_003778</t>
  </si>
  <si>
    <t>Reliance Digital-Sigra Varanasi</t>
  </si>
  <si>
    <t>store_003779</t>
  </si>
  <si>
    <t>Reliance Digital-Bhbanesshwar</t>
  </si>
  <si>
    <t>store_003780</t>
  </si>
  <si>
    <t>Reliance Digital-Axis Mall</t>
  </si>
  <si>
    <t>store_003781</t>
  </si>
  <si>
    <t>Hitachi Studio-Koolex Air Conditioners-Dlf Phase 4</t>
  </si>
  <si>
    <t>Brand</t>
  </si>
  <si>
    <t>store_003782</t>
  </si>
  <si>
    <t>Reliance Digital- Yamuna Nagar</t>
  </si>
  <si>
    <t>store_003783</t>
  </si>
  <si>
    <t>S.A.S Teleshop Pvt.Ltd</t>
  </si>
  <si>
    <t>store_003784</t>
  </si>
  <si>
    <t>Reliance Digital-Ayodha</t>
  </si>
  <si>
    <t>store_003785</t>
  </si>
  <si>
    <t>Satisfaction Electronics Pvt Ltd_Lansdowne</t>
  </si>
  <si>
    <t>store_003786</t>
  </si>
  <si>
    <t>Three Mangoes Mega Marts Pvt Ltd</t>
  </si>
  <si>
    <t>store_003787</t>
  </si>
  <si>
    <t>Reliance Digital-Plassio Mall</t>
  </si>
  <si>
    <t>store_003788</t>
  </si>
  <si>
    <t>Reliance Digital- Avani Mall</t>
  </si>
  <si>
    <t>store_003789</t>
  </si>
  <si>
    <t>Ashoka Enterprises-Nayaon Gaon</t>
  </si>
  <si>
    <t>store_003790</t>
  </si>
  <si>
    <t>Reliance Digital- Logix Mall Noida</t>
  </si>
  <si>
    <t>store_003791</t>
  </si>
  <si>
    <t>Reliance Digital-Dawarka</t>
  </si>
  <si>
    <t>store_003792</t>
  </si>
  <si>
    <t>World Of Electronics-Ferozepur Road</t>
  </si>
  <si>
    <t>store_003793</t>
  </si>
  <si>
    <t>Reliance Digital - Vikaspuri</t>
  </si>
  <si>
    <t>store_003794</t>
  </si>
  <si>
    <t>Reliance Digital- Rajabazar</t>
  </si>
  <si>
    <t>store_003795</t>
  </si>
  <si>
    <t>Sahu Agencies Pvt Ltd</t>
  </si>
  <si>
    <t>store_003796</t>
  </si>
  <si>
    <t>Reliance Digital -Barrackpore</t>
  </si>
  <si>
    <t>store_003797</t>
  </si>
  <si>
    <t>Ventos Enterprises</t>
  </si>
  <si>
    <t>store_003798</t>
  </si>
  <si>
    <t>Swagat Electronics</t>
  </si>
  <si>
    <t>store_003799</t>
  </si>
  <si>
    <t>Air Care Electronics</t>
  </si>
  <si>
    <t>store_003800</t>
  </si>
  <si>
    <t>Sharma Electronics-Jalandhar</t>
  </si>
  <si>
    <t>store_003801</t>
  </si>
  <si>
    <t>Bermecha Refrigeration-Chandni Chowk</t>
  </si>
  <si>
    <t>store_003802</t>
  </si>
  <si>
    <t>Aditya Vision</t>
  </si>
  <si>
    <t>store_003803</t>
  </si>
  <si>
    <t>Reliance Digital-Gorakhpur</t>
  </si>
  <si>
    <t>store_003804</t>
  </si>
  <si>
    <t>Reliance Digital-Kalikapur</t>
  </si>
  <si>
    <t>store_003805</t>
  </si>
  <si>
    <t>Reliance Digital -Habra</t>
  </si>
  <si>
    <t>store_003806</t>
  </si>
  <si>
    <t>Reliance Digital -Vishnu Enclave</t>
  </si>
  <si>
    <t>store_003807</t>
  </si>
  <si>
    <t>Great Eastern Appliances Pvt Ltd</t>
  </si>
  <si>
    <t>store_003808</t>
  </si>
  <si>
    <t>Reliance Digital- Ideal Plaza</t>
  </si>
  <si>
    <t>store_003809</t>
  </si>
  <si>
    <t>Doomra Electronics-Malout</t>
  </si>
  <si>
    <t>store_003810</t>
  </si>
  <si>
    <t>Kandioners Pvt Ltd</t>
  </si>
  <si>
    <t>store_003811</t>
  </si>
  <si>
    <t>Kalpana Digital World</t>
  </si>
  <si>
    <t>store_003812</t>
  </si>
  <si>
    <t>Ritwik Enterprises Devali</t>
  </si>
  <si>
    <t>store_003813</t>
  </si>
  <si>
    <t>Hitachi Studio - Daksh Air Con</t>
  </si>
  <si>
    <t>store_003814</t>
  </si>
  <si>
    <t>Hitachi Gallery - Service Point</t>
  </si>
  <si>
    <t>store_003815</t>
  </si>
  <si>
    <t>Modern Sales 70-Mohali</t>
  </si>
  <si>
    <t>store_003816</t>
  </si>
  <si>
    <t>Hitachi Studio - Aircon-Bathinda</t>
  </si>
  <si>
    <t>store_003817</t>
  </si>
  <si>
    <t>Suraj Business Pvt.Ltd</t>
  </si>
  <si>
    <t>store_003818</t>
  </si>
  <si>
    <t>Anil Electronics-Agra</t>
  </si>
  <si>
    <t>store_003819</t>
  </si>
  <si>
    <t>Rama Electronics-Kanpur</t>
  </si>
  <si>
    <t>store_003820</t>
  </si>
  <si>
    <t>Digital World - Agra</t>
  </si>
  <si>
    <t>store_003821</t>
  </si>
  <si>
    <t>Satnaam Electronic-Pakhowal Road</t>
  </si>
  <si>
    <t>store_003822</t>
  </si>
  <si>
    <t>Smile Stores- Bivhan Road Kanpur</t>
  </si>
  <si>
    <t>store_003823</t>
  </si>
  <si>
    <t>Vip Marketing Enterprises-Bareilly</t>
  </si>
  <si>
    <t>store_003824</t>
  </si>
  <si>
    <t>Sd Aircon Private Ltd-Indiranagar</t>
  </si>
  <si>
    <t>store_003825</t>
  </si>
  <si>
    <t>Neelkhant Electronics-Varanasi</t>
  </si>
  <si>
    <t>store_003826</t>
  </si>
  <si>
    <t>Aero Vision</t>
  </si>
  <si>
    <t>store_003827</t>
  </si>
  <si>
    <t>Bharat Tv Service Centre-Sohna</t>
  </si>
  <si>
    <t>executive_00031, executive_00030, executive_00007, executive_00027, executive_00037, executive_00026, executive_00035, executive_00038, executive_00039, executive_00041</t>
  </si>
  <si>
    <t>Bisma Nadeem, Avantika Gupta, Ayush Joshi, Rohan Saxena, Naman Kabra, Sonal Kumar, Nishant Gaurav, Anurag Yadav, Sweety Suman, Kumari Nishav Mishra</t>
  </si>
  <si>
    <t>store_003828</t>
  </si>
  <si>
    <t>Syal Electronics-Palam</t>
  </si>
  <si>
    <t>store_003829</t>
  </si>
  <si>
    <t>Shree Shyam Enterprises-Jjajjar</t>
  </si>
  <si>
    <t>store_003830</t>
  </si>
  <si>
    <t>Bundale Khand Enterprises-Ganj</t>
  </si>
  <si>
    <t>store_003831</t>
  </si>
  <si>
    <t>Lamba Electronics</t>
  </si>
  <si>
    <t>store_003832</t>
  </si>
  <si>
    <t>Mu Engineering Services</t>
  </si>
  <si>
    <t>store_003833</t>
  </si>
  <si>
    <t>Neeru Electronics</t>
  </si>
  <si>
    <t>store_003834</t>
  </si>
  <si>
    <t>Reliance Digital-Laxmi Nagar</t>
  </si>
  <si>
    <t>store_003835</t>
  </si>
  <si>
    <t>Madaan Electronics-Ambala</t>
  </si>
  <si>
    <t>store_003836</t>
  </si>
  <si>
    <t>Fine Electronics-Faridabad</t>
  </si>
  <si>
    <t>store_003837</t>
  </si>
  <si>
    <t>Aarco Electronics-Jalandhar</t>
  </si>
  <si>
    <t>store_003838</t>
  </si>
  <si>
    <t>Thukral Time Centre Pvt Ltd</t>
  </si>
  <si>
    <t>store_003839</t>
  </si>
  <si>
    <t>Deekay Electronics - Ghumar Mandi</t>
  </si>
  <si>
    <t>store_003840</t>
  </si>
  <si>
    <t>Reliance Digital-Old Delhi Road-Sec-14</t>
  </si>
  <si>
    <t>store_003841</t>
  </si>
  <si>
    <t>Vp Enterprises-Agra</t>
  </si>
  <si>
    <t>store_003842</t>
  </si>
  <si>
    <t>Ruchi Electronics-Indira Nagar</t>
  </si>
  <si>
    <t>store_003843</t>
  </si>
  <si>
    <t>Electronic World-1Dlf Phase</t>
  </si>
  <si>
    <t>store_003844</t>
  </si>
  <si>
    <t>Dinesh Jain &amp; Sons-Vikas Nagar</t>
  </si>
  <si>
    <t>store_003845</t>
  </si>
  <si>
    <t>Sony Mony-Niyamatpur</t>
  </si>
  <si>
    <t>store_003846</t>
  </si>
  <si>
    <t>Unique Electronics Saidulajab</t>
  </si>
  <si>
    <t>store_003847</t>
  </si>
  <si>
    <t>Pall &amp; Co-Rohtak</t>
  </si>
  <si>
    <t>store_003848</t>
  </si>
  <si>
    <t>Mass Marketing - Asansol</t>
  </si>
  <si>
    <t>store_003849</t>
  </si>
  <si>
    <t>Kabir Electronics-Scf-95</t>
  </si>
  <si>
    <t>store_003850</t>
  </si>
  <si>
    <t>Sardar Trading-Jalandhar</t>
  </si>
  <si>
    <t>store_003851</t>
  </si>
  <si>
    <t>Reliance Digital – Lajpat Nagar</t>
  </si>
  <si>
    <t>store_003852</t>
  </si>
  <si>
    <t>New Light Store-Danapur Cantt</t>
  </si>
  <si>
    <t>store_003853</t>
  </si>
  <si>
    <t>Sachdeva Electronic Center-(Csd Canteen Dealer)-Se</t>
  </si>
  <si>
    <t>store_003854</t>
  </si>
  <si>
    <t>Reliance Digital -Noida Sec-18</t>
  </si>
  <si>
    <t>store_003855</t>
  </si>
  <si>
    <t>Vivek Refrigeration (Kankarbagh)</t>
  </si>
  <si>
    <t>store_003856</t>
  </si>
  <si>
    <t>Reliance Digital Najafgargh</t>
  </si>
  <si>
    <t>store_003857</t>
  </si>
  <si>
    <t>Modern Sales-Sec-47</t>
  </si>
  <si>
    <t>store_003858</t>
  </si>
  <si>
    <t>Raj Electronics-Bapuji Nagar</t>
  </si>
  <si>
    <t>store_003859</t>
  </si>
  <si>
    <t>Khosla Electronics Pvt Ltd - Sarat Bose Road</t>
  </si>
  <si>
    <t>store_003860</t>
  </si>
  <si>
    <t>Anandamela Distributor-Burdwan</t>
  </si>
  <si>
    <t>store_003861</t>
  </si>
  <si>
    <t>Sachdeva Electronics-Bistupur</t>
  </si>
  <si>
    <t>store_003862</t>
  </si>
  <si>
    <t>Reliance Digital-Saguna</t>
  </si>
  <si>
    <t>store_003863</t>
  </si>
  <si>
    <t>Shristi Sales-Patna</t>
  </si>
  <si>
    <t>store_003864</t>
  </si>
  <si>
    <t>Genesis-Kolkata</t>
  </si>
  <si>
    <t>store_003865</t>
  </si>
  <si>
    <t>Reliance Digital-Kolkata</t>
  </si>
  <si>
    <t>store_003866</t>
  </si>
  <si>
    <t>Advance Electronics</t>
  </si>
  <si>
    <t>store_003867</t>
  </si>
  <si>
    <t>Sunshine Electronics</t>
  </si>
  <si>
    <t>store_003868</t>
  </si>
  <si>
    <t>Darshak Electronics - Nahrunagar</t>
  </si>
  <si>
    <t>store_003869</t>
  </si>
  <si>
    <t>Trio Home Appliances-Old Passport Office</t>
  </si>
  <si>
    <t>store_003870</t>
  </si>
  <si>
    <t>Mehta Automobiles Pvt Ltd</t>
  </si>
  <si>
    <t>store_003871</t>
  </si>
  <si>
    <t>Ambika Electronic</t>
  </si>
  <si>
    <t>store_003872</t>
  </si>
  <si>
    <t>Neptune Electronics</t>
  </si>
  <si>
    <t>store_003873</t>
  </si>
  <si>
    <t>Darshak Electronics - Navrangpura</t>
  </si>
  <si>
    <t>store_003874</t>
  </si>
  <si>
    <t>Rg'S Airconditioner</t>
  </si>
  <si>
    <t>store_003875</t>
  </si>
  <si>
    <t>Reliance Digital-Jayanagar</t>
  </si>
  <si>
    <t>store_003876</t>
  </si>
  <si>
    <t>Manish Sales</t>
  </si>
  <si>
    <t>store_003877</t>
  </si>
  <si>
    <t>Chandra Traders-Velachery</t>
  </si>
  <si>
    <t>store_003878</t>
  </si>
  <si>
    <t>Jagdamba Sales Corporation</t>
  </si>
  <si>
    <t>store_003879</t>
  </si>
  <si>
    <t>Arctic Appliances-Gota</t>
  </si>
  <si>
    <t>store_003880</t>
  </si>
  <si>
    <t>Air Tech Climate Solution-Thamarassery</t>
  </si>
  <si>
    <t>store_003881</t>
  </si>
  <si>
    <t>Reliance Digital-Hsr Layout</t>
  </si>
  <si>
    <t>store_003882</t>
  </si>
  <si>
    <t>Salkar Electronics-Mapusa</t>
  </si>
  <si>
    <t>store_003883</t>
  </si>
  <si>
    <t>Reliance Digital-Jamnagar</t>
  </si>
  <si>
    <t>store_003884</t>
  </si>
  <si>
    <t>Star Win Enterprise - Katargam</t>
  </si>
  <si>
    <t>store_003885</t>
  </si>
  <si>
    <t>Hitachi Studio-Amrutha Enterprises</t>
  </si>
  <si>
    <t>store_003886</t>
  </si>
  <si>
    <t>Reliance Digital-Kukatpally</t>
  </si>
  <si>
    <t>store_003887</t>
  </si>
  <si>
    <t>Bharath Electronics &amp; Appliances - Salem</t>
  </si>
  <si>
    <t>store_003888</t>
  </si>
  <si>
    <t>Sarvana Store-Avadi</t>
  </si>
  <si>
    <t>store_003889</t>
  </si>
  <si>
    <t>Reliance Digital-Cmr Mall, Maddilapalem</t>
  </si>
  <si>
    <t>store_003890</t>
  </si>
  <si>
    <t>National Radio Electronics</t>
  </si>
  <si>
    <t>store_003891</t>
  </si>
  <si>
    <t>Aliyas Electronics</t>
  </si>
  <si>
    <t>store_003892</t>
  </si>
  <si>
    <t>Sreejith Traders</t>
  </si>
  <si>
    <t>store_003893</t>
  </si>
  <si>
    <t>Reliance Digital - Center Square</t>
  </si>
  <si>
    <t>store_003894</t>
  </si>
  <si>
    <t>Reliance Digital-Ghatkopar R City Mall</t>
  </si>
  <si>
    <t>store_003895</t>
  </si>
  <si>
    <t>Treenetra Cool Point-Visakapatnam</t>
  </si>
  <si>
    <t>store_003896</t>
  </si>
  <si>
    <t>Sifa Refrigeration - Juhapura</t>
  </si>
  <si>
    <t>store_003897</t>
  </si>
  <si>
    <t>Sanket India - Anand</t>
  </si>
  <si>
    <t>store_003898</t>
  </si>
  <si>
    <t>Hitachi Brand Shop -Dharani</t>
  </si>
  <si>
    <t>store_003899</t>
  </si>
  <si>
    <t>Reliance Digital-Maninagar</t>
  </si>
  <si>
    <t>store_003900</t>
  </si>
  <si>
    <t>Bea</t>
  </si>
  <si>
    <t>store_003901</t>
  </si>
  <si>
    <t>Tranzcend Air Systems</t>
  </si>
  <si>
    <t>store_003902</t>
  </si>
  <si>
    <t>Vijaya Vahini Enterprises</t>
  </si>
  <si>
    <t>store_003903</t>
  </si>
  <si>
    <t>Vijay Tv And Video Home</t>
  </si>
  <si>
    <t>store_003904</t>
  </si>
  <si>
    <t>Reliance Digital- Toran Garden</t>
  </si>
  <si>
    <t>store_003905</t>
  </si>
  <si>
    <t>Reliance Digital-Gulbarga</t>
  </si>
  <si>
    <t>store_003906</t>
  </si>
  <si>
    <t>Reliance Digital-Gondal Road</t>
  </si>
  <si>
    <t>store_003907</t>
  </si>
  <si>
    <t>Vijay Digital</t>
  </si>
  <si>
    <t>store_003908</t>
  </si>
  <si>
    <t>Air N Gas-Vizag</t>
  </si>
  <si>
    <t>store_003909</t>
  </si>
  <si>
    <t>Sono Vision</t>
  </si>
  <si>
    <t>store_003910</t>
  </si>
  <si>
    <t>Asha Krishna Traders</t>
  </si>
  <si>
    <t>store_003911</t>
  </si>
  <si>
    <t>Maharashtra Electronics - M.G Road</t>
  </si>
  <si>
    <t>store_003912</t>
  </si>
  <si>
    <t>Sauraj Electricals</t>
  </si>
  <si>
    <t>store_003913</t>
  </si>
  <si>
    <t>Ace Technomark</t>
  </si>
  <si>
    <t>store_003914</t>
  </si>
  <si>
    <t>Shri Meenakshi Fan House</t>
  </si>
  <si>
    <t>store_003915</t>
  </si>
  <si>
    <t>Reliance Digital - Coimbatore</t>
  </si>
  <si>
    <t>store_003916</t>
  </si>
  <si>
    <t>Reliance Digital - Jd Nagar, Patamata,Vijayawada</t>
  </si>
  <si>
    <t>store_003917</t>
  </si>
  <si>
    <t>Reliance Digital-Namakkal</t>
  </si>
  <si>
    <t>store_003918</t>
  </si>
  <si>
    <t>Nisha Enterprises</t>
  </si>
  <si>
    <t>store_003919</t>
  </si>
  <si>
    <t>Hitachi Studio Arctic Appliances Gandhingar</t>
  </si>
  <si>
    <t>store_003920</t>
  </si>
  <si>
    <t>Ice Energy Corporation</t>
  </si>
  <si>
    <t>store_003921</t>
  </si>
  <si>
    <t>Kay Dee Audio Visions Pvt Ltd</t>
  </si>
  <si>
    <t>store_003922</t>
  </si>
  <si>
    <t>Reliance Digital - Khadakpada</t>
  </si>
  <si>
    <t>store_003923</t>
  </si>
  <si>
    <t>Pittappillil Agencies - Edapply</t>
  </si>
  <si>
    <t>store_003924</t>
  </si>
  <si>
    <t>Myg Future</t>
  </si>
  <si>
    <t>store_003925</t>
  </si>
  <si>
    <t>New Rhythm House</t>
  </si>
  <si>
    <t>executive_00031, executive_00030, executive_00002, executive_00027, executive_00026, executive_00043, executive_00044</t>
  </si>
  <si>
    <t>Bisma Nadeem, Avantika Gupta, Kanishk Bhardwaj, Rohan Saxena, Sonal Kumar, Anirudh shankar, Priyanshu Prafulbhai Gohel</t>
  </si>
  <si>
    <t>store_003926</t>
  </si>
  <si>
    <t>Vimlesh Enterprises</t>
  </si>
  <si>
    <t>store_003927</t>
  </si>
  <si>
    <t>Reliance Digital - Thane</t>
  </si>
  <si>
    <t>store_003928</t>
  </si>
  <si>
    <t>Dynamics Distributors - Pimpari</t>
  </si>
  <si>
    <t>store_003929</t>
  </si>
  <si>
    <t>Reliance Digital - Kondapur</t>
  </si>
  <si>
    <t>store_003930</t>
  </si>
  <si>
    <t>Shoe Point</t>
  </si>
  <si>
    <t>executive_00031, executive_00030, executive_00002, executive_00027, executive_00015, executive_00026, executive_00043</t>
  </si>
  <si>
    <t>Bisma Nadeem, Avantika Gupta, Kanishk Bhardwaj, Rohan Saxena, Avneesh Mishra, Sonal Kumar, Anirudh shankar</t>
  </si>
  <si>
    <t>store_003931</t>
  </si>
  <si>
    <t>Value Plus -Agra (Cross Road Mall)</t>
  </si>
  <si>
    <t>brand_003, brand_004, brand_010</t>
  </si>
  <si>
    <t>Hitachi, Haier, Havells</t>
  </si>
  <si>
    <t>executive_00031, executive_00030, executive_00002, executive_00027, executive_00015, executive_00026, executive_00043, executive_00008</t>
  </si>
  <si>
    <t>Bisma Nadeem, Avantika Gupta, Kanishk Bhardwaj, Rohan Saxena, Avneesh Mishra, Sonal Kumar, Anirudh shankar, Gautam Kumar</t>
  </si>
  <si>
    <t>store_003932</t>
  </si>
  <si>
    <t>Value Plus -Agra(Sanjay Place Agra)</t>
  </si>
  <si>
    <t>store_003933</t>
  </si>
  <si>
    <t>Reliance Digital-Kota</t>
  </si>
  <si>
    <t>store_003934</t>
  </si>
  <si>
    <t>Reliance Digital - Db Mall</t>
  </si>
  <si>
    <t>store_003935</t>
  </si>
  <si>
    <t>Reliance Digital - Naroda</t>
  </si>
  <si>
    <t>store_003936</t>
  </si>
  <si>
    <t>Sony Mony</t>
  </si>
  <si>
    <t>store_003937</t>
  </si>
  <si>
    <t>Reliance Digital - Bangalore</t>
  </si>
  <si>
    <t>store_003938</t>
  </si>
  <si>
    <t>Reliance Air Condition-Vellore</t>
  </si>
  <si>
    <t>store_003939</t>
  </si>
  <si>
    <t>Reliance Digital - Panjagutta</t>
  </si>
  <si>
    <t>store_003940</t>
  </si>
  <si>
    <t>Ideal Home Appliances</t>
  </si>
  <si>
    <t>store_003941</t>
  </si>
  <si>
    <t>Reliance Digital - Vijayawada</t>
  </si>
  <si>
    <t>store_003942</t>
  </si>
  <si>
    <t>Reliance Digital - Rajaji Road West Tambaram</t>
  </si>
  <si>
    <t>store_003943</t>
  </si>
  <si>
    <t>Shri Sales</t>
  </si>
  <si>
    <t>store_003944</t>
  </si>
  <si>
    <t>Reliance Digital - Kothapet</t>
  </si>
  <si>
    <t>store_003945</t>
  </si>
  <si>
    <t>Reliance Digital-Jhotwara</t>
  </si>
  <si>
    <t>store_003946</t>
  </si>
  <si>
    <t>Ravi Corporation</t>
  </si>
  <si>
    <t>store_003947</t>
  </si>
  <si>
    <t>Value Plus -Ddn (Ballupur Road)</t>
  </si>
  <si>
    <t>executive_00031, executive_00030, executive_00002, executive_00027, executive_00015, executive_00008</t>
  </si>
  <si>
    <t>Bisma Nadeem, Avantika Gupta, Kanishk Bhardwaj, Rohan Saxena, Avneesh Mishra, Gautam Kumar</t>
  </si>
  <si>
    <t>store_003948</t>
  </si>
  <si>
    <t>Value Plus -Ddn (Rajpur Road)</t>
  </si>
  <si>
    <t>store_003949</t>
  </si>
  <si>
    <t>Arceeika Electronic-Panvel</t>
  </si>
  <si>
    <t>executive_00031, executive_00030, executive_00002, executive_00027, executive_00015</t>
  </si>
  <si>
    <t>Bisma Nadeem, Avantika Gupta, Kanishk Bhardwaj, Rohan Saxena, Avneesh Mishra</t>
  </si>
  <si>
    <t>store_003950</t>
  </si>
  <si>
    <t>Reliance Digital-Bengaluru</t>
  </si>
  <si>
    <t>store_003951</t>
  </si>
  <si>
    <t>Value Plus -Roorkee (Malviya Chowk)</t>
  </si>
  <si>
    <t>store_003952</t>
  </si>
  <si>
    <t>Reliance Digital - Chennai</t>
  </si>
  <si>
    <t>store_003953</t>
  </si>
  <si>
    <t>Value Plus -Ddn (Rishikesh)</t>
  </si>
  <si>
    <t>store_003954</t>
  </si>
  <si>
    <t>Reliance Digital - Hyderabad</t>
  </si>
  <si>
    <t>store_003955</t>
  </si>
  <si>
    <t>Jharkhand Electronics</t>
  </si>
  <si>
    <t>store_003956</t>
  </si>
  <si>
    <t>Mahaveer Digital Shoppy</t>
  </si>
  <si>
    <t>store_003957</t>
  </si>
  <si>
    <t>Reliance Digital-Panvel</t>
  </si>
  <si>
    <t>store_003958</t>
  </si>
  <si>
    <t>Value Plus -Gkp (Deoria)</t>
  </si>
  <si>
    <t>store_003959</t>
  </si>
  <si>
    <t>Value Plus -Gkp (Golghar)</t>
  </si>
  <si>
    <t>store_003960</t>
  </si>
  <si>
    <t>Reliance Digital - H R D R Layout</t>
  </si>
  <si>
    <t>store_003961</t>
  </si>
  <si>
    <t>Reliance Digital -Shahibag</t>
  </si>
  <si>
    <t>store_003962</t>
  </si>
  <si>
    <t>Value Plus -Gkp (Reti Road)</t>
  </si>
  <si>
    <t>store_003963</t>
  </si>
  <si>
    <t>Value Plus -Gkp ( Gorakhnath)</t>
  </si>
  <si>
    <t>store_003964</t>
  </si>
  <si>
    <t>Pune Electronics And Home Applinces</t>
  </si>
  <si>
    <t>store_003965</t>
  </si>
  <si>
    <t>Sidhansh Electronics Pvt Ltd</t>
  </si>
  <si>
    <t>store_003966</t>
  </si>
  <si>
    <t>Reliance Digital - Kompally</t>
  </si>
  <si>
    <t>store_003967</t>
  </si>
  <si>
    <t>Reliance Digital-Nellore</t>
  </si>
  <si>
    <t>store_003968</t>
  </si>
  <si>
    <t>Reliance Digital- Rrl Cdit Vellayambalam -TQ71</t>
  </si>
  <si>
    <t>Trivandrum</t>
  </si>
  <si>
    <t>store_003969</t>
  </si>
  <si>
    <t>Reliance Digital- Rrl Cdit-Tb Junction -TATS</t>
  </si>
  <si>
    <t>Thiruvalla</t>
  </si>
  <si>
    <t>store_003970</t>
  </si>
  <si>
    <t>Reliance Digital- Rrl Cdit Stadium Bye Pass Road -TW82</t>
  </si>
  <si>
    <t>store_003971</t>
  </si>
  <si>
    <t>Reliance Digital- Rp Mall Kollam Kl -9557</t>
  </si>
  <si>
    <t>Kollam</t>
  </si>
  <si>
    <t>store_003972</t>
  </si>
  <si>
    <t>Reliance Digital- Sobha Mall Thrissur -9678</t>
  </si>
  <si>
    <t>store_003973</t>
  </si>
  <si>
    <t>Reliance Digital- Rrl Cdit Kottayam -3838</t>
  </si>
  <si>
    <t>store_003974</t>
  </si>
  <si>
    <t>Reliance Digital- Rrl Cdit East Nadakkavu Kozhik -TGJ5</t>
  </si>
  <si>
    <t>Calicut</t>
  </si>
  <si>
    <t>store_003975</t>
  </si>
  <si>
    <t>Reliance Digital- Rrl Cdit-Perinthalma -T13N</t>
  </si>
  <si>
    <t>Mallapuram</t>
  </si>
  <si>
    <t>store_003976</t>
  </si>
  <si>
    <t>Shilpi Mobile And Electronics Private Limited</t>
  </si>
  <si>
    <t>store_003977</t>
  </si>
  <si>
    <t>Shivam Electronics</t>
  </si>
  <si>
    <t>store_003978</t>
  </si>
  <si>
    <t>Value Plus -Knp (Vinoba Nagar)</t>
  </si>
  <si>
    <t>store_003979</t>
  </si>
  <si>
    <t>Value Plus -Knp (Unnao)</t>
  </si>
  <si>
    <t>store_003980</t>
  </si>
  <si>
    <t>Value Plus -Lko (Abhyuday Tower)</t>
  </si>
  <si>
    <t>store_003981</t>
  </si>
  <si>
    <t>Value Plus -Lko (Sitapur Road)</t>
  </si>
  <si>
    <t>store_003982</t>
  </si>
  <si>
    <t>Mukati Electronics And Furniture</t>
  </si>
  <si>
    <t>store_003983</t>
  </si>
  <si>
    <t>Vinayak Distributor</t>
  </si>
  <si>
    <t>store_003984</t>
  </si>
  <si>
    <t>Value Plus -Lko (Mahanagar)</t>
  </si>
  <si>
    <t>store_003985</t>
  </si>
  <si>
    <t>Value Plus -Lko (Telibagh)</t>
  </si>
  <si>
    <t>store_003986</t>
  </si>
  <si>
    <t>Bansal Electronics</t>
  </si>
  <si>
    <t>store_003987</t>
  </si>
  <si>
    <t>Prakesh Electronics</t>
  </si>
  <si>
    <t>store_003988</t>
  </si>
  <si>
    <t>Parikh Marketing-Dhanbad</t>
  </si>
  <si>
    <t>store_003989</t>
  </si>
  <si>
    <t>Bajaj Super Electronics</t>
  </si>
  <si>
    <t>store_003990</t>
  </si>
  <si>
    <t>Hitachi Studio - Prakash Trading Company</t>
  </si>
  <si>
    <t>store_003991</t>
  </si>
  <si>
    <t>Alfiya Mobilz - (Dharavi) (Nothing)</t>
  </si>
  <si>
    <t>store_003992</t>
  </si>
  <si>
    <t>Arihant Mobile Nx (Sakinaka)</t>
  </si>
  <si>
    <t>store_003996</t>
  </si>
  <si>
    <t>Paragon Telelinks Pvt Ltd (2)</t>
  </si>
  <si>
    <t>store_003997</t>
  </si>
  <si>
    <t>Supriya Mobile (Matunga) (Nothing)</t>
  </si>
  <si>
    <t>store_003998</t>
  </si>
  <si>
    <t>The Mobile Town (Bhiwandi)</t>
  </si>
  <si>
    <t>store_003999</t>
  </si>
  <si>
    <t>Swastik Mobile (Badlapur-E)</t>
  </si>
  <si>
    <t>store_004000</t>
  </si>
  <si>
    <t>Ganesh Electronics</t>
  </si>
  <si>
    <t>store_004001</t>
  </si>
  <si>
    <t>Golden Telecom Nx</t>
  </si>
  <si>
    <t>store_004002</t>
  </si>
  <si>
    <t>Jayesh Novelty</t>
  </si>
  <si>
    <t>store_004003</t>
  </si>
  <si>
    <t>Vishal Electronics (Govandi)</t>
  </si>
  <si>
    <t>store_004004</t>
  </si>
  <si>
    <t>Mi Marathi Mobile Store</t>
  </si>
  <si>
    <t>store_004005</t>
  </si>
  <si>
    <t>Dixit Electronics</t>
  </si>
  <si>
    <t>store_004006</t>
  </si>
  <si>
    <t>Tanishka Telecom Private Limited</t>
  </si>
  <si>
    <t>store_004007</t>
  </si>
  <si>
    <t>Value Plus -Nod (Crossing Republic)</t>
  </si>
  <si>
    <t>store_004008</t>
  </si>
  <si>
    <t>Value Plus -Nod (Vasundhra)</t>
  </si>
  <si>
    <t>store_004009</t>
  </si>
  <si>
    <t>Value Plus -Meerut (Chipi Tank)</t>
  </si>
  <si>
    <t>store_004010</t>
  </si>
  <si>
    <t>Swastik Communication Centre (Sakinaka)</t>
  </si>
  <si>
    <t>store_004011</t>
  </si>
  <si>
    <t>Value Plus -Hapur (New Alok Colony)</t>
  </si>
  <si>
    <t>store_004012</t>
  </si>
  <si>
    <t>Hari Om Custom Collection (Borivali)</t>
  </si>
  <si>
    <t>store_004013</t>
  </si>
  <si>
    <t>Vardhaman Mobile</t>
  </si>
  <si>
    <t>store_004014</t>
  </si>
  <si>
    <t>Speed Communication (M E)</t>
  </si>
  <si>
    <t>store_004016</t>
  </si>
  <si>
    <t>Khurana Electronics</t>
  </si>
  <si>
    <t>store_004017</t>
  </si>
  <si>
    <t>Value Plus -M/S Ankur Electricals (Sector-18 New)</t>
  </si>
  <si>
    <t>store_004018</t>
  </si>
  <si>
    <t>Chawla Electronics</t>
  </si>
  <si>
    <t>store_004019</t>
  </si>
  <si>
    <t>J Harmony Enterprises</t>
  </si>
  <si>
    <t>store_004021</t>
  </si>
  <si>
    <t>Sky Vision</t>
  </si>
  <si>
    <t>store_004022</t>
  </si>
  <si>
    <t>Star Electronics</t>
  </si>
  <si>
    <t>store_004023</t>
  </si>
  <si>
    <t>Universal Enterprises</t>
  </si>
  <si>
    <t>store_004024</t>
  </si>
  <si>
    <t>Gupta Traders</t>
  </si>
  <si>
    <t>store_004025</t>
  </si>
  <si>
    <t>Balaji Electronics</t>
  </si>
  <si>
    <t>store_004026</t>
  </si>
  <si>
    <t>Astik Electronics</t>
  </si>
  <si>
    <t>Mayurbhanj</t>
  </si>
  <si>
    <t>store_004028</t>
  </si>
  <si>
    <t>Better Deals</t>
  </si>
  <si>
    <t>store_004029</t>
  </si>
  <si>
    <t>My Dream Electronics</t>
  </si>
  <si>
    <t>store_004030</t>
  </si>
  <si>
    <t>Bharat Tv Centre</t>
  </si>
  <si>
    <t>store_004032</t>
  </si>
  <si>
    <t>Kbm Electronics</t>
  </si>
  <si>
    <t>store_004035</t>
  </si>
  <si>
    <t>Digital World</t>
  </si>
  <si>
    <t>store_004036</t>
  </si>
  <si>
    <t>Maa Electronics</t>
  </si>
  <si>
    <t>store_004037</t>
  </si>
  <si>
    <t>Maa Sarala Sales And Services</t>
  </si>
  <si>
    <t>store_004038</t>
  </si>
  <si>
    <t>Janta Electronics</t>
  </si>
  <si>
    <t>store_004039</t>
  </si>
  <si>
    <t>Madaan Electronics</t>
  </si>
  <si>
    <t>store_004040</t>
  </si>
  <si>
    <t>Associated Traders</t>
  </si>
  <si>
    <t>store_004041</t>
  </si>
  <si>
    <t>Atul Electronics</t>
  </si>
  <si>
    <t>store_004042</t>
  </si>
  <si>
    <t>Baria Traders</t>
  </si>
  <si>
    <t>store_004044</t>
  </si>
  <si>
    <t>Sainik Electronics</t>
  </si>
  <si>
    <t>store_004045</t>
  </si>
  <si>
    <t>Ambica Electronics</t>
  </si>
  <si>
    <t>store_004046</t>
  </si>
  <si>
    <t>Vikas Enterprises</t>
  </si>
  <si>
    <t>store_004047</t>
  </si>
  <si>
    <t>Shri Shyam Enterprises</t>
  </si>
  <si>
    <t>store_004048</t>
  </si>
  <si>
    <t>Sant Cooling &amp; Home World</t>
  </si>
  <si>
    <t>store_004049</t>
  </si>
  <si>
    <t>Rama Electronics</t>
  </si>
  <si>
    <t>store_004050</t>
  </si>
  <si>
    <t>Value Plus -Vns (Pandeypur)</t>
  </si>
  <si>
    <t>store_004051</t>
  </si>
  <si>
    <t>Rishab Electronics</t>
  </si>
  <si>
    <t>store_004052</t>
  </si>
  <si>
    <t>Value Plus -Vns (Shivpur)</t>
  </si>
  <si>
    <t>store_004053</t>
  </si>
  <si>
    <t>Nikshan Electronics</t>
  </si>
  <si>
    <t>store_004054</t>
  </si>
  <si>
    <t>Sakthi Agencies</t>
  </si>
  <si>
    <t>store_004055</t>
  </si>
  <si>
    <t>Sathya Agencies</t>
  </si>
  <si>
    <t>store_004057</t>
  </si>
  <si>
    <t>Value Plus -M/S Radhe Shyam Brajesh Kumar (Mau)</t>
  </si>
  <si>
    <t>store_004059</t>
  </si>
  <si>
    <t>Value Plus -M/S Electro World(Azamgarh)</t>
  </si>
  <si>
    <t>store_004099</t>
  </si>
  <si>
    <t>Koolex Air Conditioners</t>
  </si>
  <si>
    <t>store_004107</t>
  </si>
  <si>
    <t>Prakash Trading Co</t>
  </si>
  <si>
    <t>store_004117</t>
  </si>
  <si>
    <t>Shree Jee Electronics</t>
  </si>
  <si>
    <t>store_004127</t>
  </si>
  <si>
    <t>Soni Electricals</t>
  </si>
  <si>
    <t>store_004133</t>
  </si>
  <si>
    <t>Agarwal Electric Co.</t>
  </si>
  <si>
    <t>store_004136</t>
  </si>
  <si>
    <t>A &amp; K Infotech Solutions</t>
  </si>
  <si>
    <t>store_004137</t>
  </si>
  <si>
    <t>Silver Leaf And Company</t>
  </si>
  <si>
    <t>store_004140</t>
  </si>
  <si>
    <t>Airo-Dynamics</t>
  </si>
  <si>
    <t>store_004141</t>
  </si>
  <si>
    <t>Pratap Air Conditioners</t>
  </si>
  <si>
    <t>store_004143</t>
  </si>
  <si>
    <t>Ruchi Electronics</t>
  </si>
  <si>
    <t>store_004146</t>
  </si>
  <si>
    <t>Singhal Airconditioning</t>
  </si>
  <si>
    <t>store_004267</t>
  </si>
  <si>
    <t>Amit Distributor</t>
  </si>
  <si>
    <t>store_004299</t>
  </si>
  <si>
    <t>Shree Jain Traders</t>
  </si>
  <si>
    <t>store_004316</t>
  </si>
  <si>
    <t>IND -SUNSHINE ELECTRONICS</t>
  </si>
  <si>
    <t>store_004344</t>
  </si>
  <si>
    <t>Value Plus Retail</t>
  </si>
  <si>
    <t>executive_00007, executive_00031, executive_00030, executive_00027, executive_00015</t>
  </si>
  <si>
    <t>Ayush Joshi, Bisma Nadeem, Avantika Gupta, Rohan Saxena, Avneesh Mishra</t>
  </si>
  <si>
    <t>store_004367</t>
  </si>
  <si>
    <t>Keshav Sales</t>
  </si>
  <si>
    <t>store_004369</t>
  </si>
  <si>
    <t>D B ENGINEERS</t>
  </si>
  <si>
    <t>store_004376</t>
  </si>
  <si>
    <t>KRISHNA CORPORATION</t>
  </si>
  <si>
    <t>store_004432</t>
  </si>
  <si>
    <t>Vasanth &amp; Co</t>
  </si>
  <si>
    <t>store_004456</t>
  </si>
  <si>
    <t>Rathna Cools Pvt Ltd</t>
  </si>
  <si>
    <t>executive_00024, executive_00005, executive_00034</t>
  </si>
  <si>
    <t>Venkat Raman, Shrusti Gudmeti, Santo P Sebastian</t>
  </si>
  <si>
    <t>store_004552</t>
  </si>
  <si>
    <t>S D Aircon</t>
  </si>
  <si>
    <t>store_004554</t>
  </si>
  <si>
    <t>Ashoka Trading</t>
  </si>
  <si>
    <t>executive_00031, executive_00030, executive_00007, executive_00027, executive_00026, executive_00046</t>
  </si>
  <si>
    <t>Bisma Nadeem, Avantika Gupta, Ayush Joshi, Rohan Saxena, Sonal Kumar, Abhishek Kumar Singh</t>
  </si>
  <si>
    <t>store_004555</t>
  </si>
  <si>
    <t>Aradhya Traders (ASP)</t>
  </si>
  <si>
    <t>store_004556</t>
  </si>
  <si>
    <t>Computer Electronics</t>
  </si>
  <si>
    <t>store_004557</t>
  </si>
  <si>
    <t>Kashika Trading Co</t>
  </si>
  <si>
    <t>store_004561</t>
  </si>
  <si>
    <t>Happy Refrigeration &amp; Airconditioning Works</t>
  </si>
  <si>
    <t>store_004565</t>
  </si>
  <si>
    <t>A D Enterprise ASP</t>
  </si>
  <si>
    <t>kolkata</t>
  </si>
  <si>
    <t>store_004566</t>
  </si>
  <si>
    <t>South point ASP</t>
  </si>
  <si>
    <t>store_004567</t>
  </si>
  <si>
    <t>G K Enterprise</t>
  </si>
  <si>
    <t>store_004569</t>
  </si>
  <si>
    <t>TOTA ENTERPRISE</t>
  </si>
  <si>
    <t>store_004571</t>
  </si>
  <si>
    <t>Himalaya Engineering</t>
  </si>
  <si>
    <t>store_004572</t>
  </si>
  <si>
    <t>A R Cooling</t>
  </si>
  <si>
    <t>store_004576</t>
  </si>
  <si>
    <t>Active service enterprise</t>
  </si>
  <si>
    <t>store_004577</t>
  </si>
  <si>
    <t>H R cooling</t>
  </si>
  <si>
    <t>store_004579</t>
  </si>
  <si>
    <t>Haier - HO saltlake</t>
  </si>
  <si>
    <t>brand_004</t>
  </si>
  <si>
    <t>Haier</t>
  </si>
  <si>
    <t>store_004580</t>
  </si>
  <si>
    <t>AUM G Electronics</t>
  </si>
  <si>
    <t>executive_00006, executive_00027, executive_00026, executive_00039, executive_00041</t>
  </si>
  <si>
    <t>Neeraj Kandwal, Rohan Saxena, Sonal Kumar, Sweety Suman, Kumari Nishav Mishra</t>
  </si>
  <si>
    <t>store_004581</t>
  </si>
  <si>
    <t>Bbd &amp; Sons Electronics</t>
  </si>
  <si>
    <t>store_004582</t>
  </si>
  <si>
    <t>Babajee electronics</t>
  </si>
  <si>
    <t>store_004585</t>
  </si>
  <si>
    <t>Haryana TV centre</t>
  </si>
  <si>
    <t>store_004587</t>
  </si>
  <si>
    <t>Godrej - ASP - Digi Care</t>
  </si>
  <si>
    <t>executive_00007, executive_00027, executive_00026, executive_00035, executive_00038, executive_00039, executive_00041</t>
  </si>
  <si>
    <t>Ayush Joshi, Rohan Saxena, Sonal Kumar, Nishant Gaurav, Anurag Yadav, Sweety Suman, Kumari Nishav Mishra</t>
  </si>
  <si>
    <t>store_004597</t>
  </si>
  <si>
    <t>Haier - Elsons Electronics</t>
  </si>
  <si>
    <t>store_004625</t>
  </si>
  <si>
    <t>Haier - R.K. Marketing</t>
  </si>
  <si>
    <t>executive_00002, executive_00027</t>
  </si>
  <si>
    <t>Kanishk Bhardwaj, Rohan Saxena</t>
  </si>
  <si>
    <t>store_004635</t>
  </si>
  <si>
    <t>Haier - Sahu Agencies Pvt.Ltd-Warehouse09Aadcs4965Q1Zg</t>
  </si>
  <si>
    <t>store_004667</t>
  </si>
  <si>
    <t>Value Plus Retail Pvt.Ltd-Wh-Vns</t>
  </si>
  <si>
    <t>store_004826</t>
  </si>
  <si>
    <t>Haier - Kunal Electronics M T H Indore</t>
  </si>
  <si>
    <t>store_004900</t>
  </si>
  <si>
    <t>New Sky Fairy Electronics</t>
  </si>
  <si>
    <t>store_004969</t>
  </si>
  <si>
    <t>Bulbul Electronic</t>
  </si>
  <si>
    <t>store_005008</t>
  </si>
  <si>
    <t>BEHERA REFRIGERATION</t>
  </si>
  <si>
    <t>Bhubaneshwar</t>
  </si>
  <si>
    <t>executive_00028, executive_00029</t>
  </si>
  <si>
    <t>Pratyush Kumar Mohapatra, Konika Khetan</t>
  </si>
  <si>
    <t>store_005011</t>
  </si>
  <si>
    <t>Sai Utility Services</t>
  </si>
  <si>
    <t>store_005012</t>
  </si>
  <si>
    <t>ABHIPSA ENTERPRISES</t>
  </si>
  <si>
    <t>store_005013</t>
  </si>
  <si>
    <t>COMFORT COOL</t>
  </si>
  <si>
    <t>store_005014</t>
  </si>
  <si>
    <t>M/S G N Services</t>
  </si>
  <si>
    <t>store_005019</t>
  </si>
  <si>
    <t>Shree Services</t>
  </si>
  <si>
    <t>store_005020</t>
  </si>
  <si>
    <t>J.N Enterprises</t>
  </si>
  <si>
    <t>store_005058</t>
  </si>
  <si>
    <t>R k Refrigeration</t>
  </si>
  <si>
    <t>store_005059</t>
  </si>
  <si>
    <t>AA Aircon</t>
  </si>
  <si>
    <t>store_005060</t>
  </si>
  <si>
    <t>AN Airtech</t>
  </si>
  <si>
    <t>store_005148</t>
  </si>
  <si>
    <t>Om Sai Traders</t>
  </si>
  <si>
    <t>store_005151</t>
  </si>
  <si>
    <t>Shri Mangla Electronics</t>
  </si>
  <si>
    <t>store_005172</t>
  </si>
  <si>
    <t>R.K. Digital World</t>
  </si>
  <si>
    <t>executive_00007, executive_00031, executive_00030, executive_00008, executive_00027, executive_00026, executive_00035, executive_00038, executive_00039, executive_00041, executive_00006</t>
  </si>
  <si>
    <t>Ayush Joshi, Bisma Nadeem, Avantika Gupta, Gautam Kumar, Rohan Saxena, Sonal Kumar, Nishant Gaurav, Anurag Yadav, Sweety Suman, Kumari Nishav Mishra, Neeraj Kandwal</t>
  </si>
  <si>
    <t>store_005255</t>
  </si>
  <si>
    <t>executive_00002, executive_00008, executive_00027, executive_00031, executive_00030, executive_00015, executive_00026, executive_00043</t>
  </si>
  <si>
    <t>Kanishk Bhardwaj, Gautam Kumar, Rohan Saxena, Bisma Nadeem, Avantika Gupta, Avneesh Mishra, Sonal Kumar, Anirudh shankar</t>
  </si>
  <si>
    <t>store_005258</t>
  </si>
  <si>
    <t>Value Plus -Aligarh (Samad Road)</t>
  </si>
  <si>
    <t>store_005259</t>
  </si>
  <si>
    <t>store_005260</t>
  </si>
  <si>
    <t>store_005261</t>
  </si>
  <si>
    <t>store_005262</t>
  </si>
  <si>
    <t>store_005263</t>
  </si>
  <si>
    <t>store_005264</t>
  </si>
  <si>
    <t>store_005265</t>
  </si>
  <si>
    <t>store_005266</t>
  </si>
  <si>
    <t>Value Plus -Brl (Civil Lines)</t>
  </si>
  <si>
    <t>Arga</t>
  </si>
  <si>
    <t>store_005267</t>
  </si>
  <si>
    <t>Value Plus -Brl (Dd Puram)</t>
  </si>
  <si>
    <t>store_005268</t>
  </si>
  <si>
    <t>store_005269</t>
  </si>
  <si>
    <t>store_005270</t>
  </si>
  <si>
    <t>store_005271</t>
  </si>
  <si>
    <t>store_005274</t>
  </si>
  <si>
    <t>executive_00002, executive_00008, executive_00027, executive_00031, executive_00030, executive_00015</t>
  </si>
  <si>
    <t>Kanishk Bhardwaj, Gautam Kumar, Rohan Saxena, Bisma Nadeem, Avantika Gupta, Avneesh Mishra</t>
  </si>
  <si>
    <t>store_005275</t>
  </si>
  <si>
    <t>store_005277</t>
  </si>
  <si>
    <t>store_005279</t>
  </si>
  <si>
    <t>store_005280</t>
  </si>
  <si>
    <t>store_005281</t>
  </si>
  <si>
    <t>store_005282</t>
  </si>
  <si>
    <t>store_005285</t>
  </si>
  <si>
    <t>store_005286</t>
  </si>
  <si>
    <t>store_005289</t>
  </si>
  <si>
    <t>store_005290</t>
  </si>
  <si>
    <t>store_005291</t>
  </si>
  <si>
    <t>store_005292</t>
  </si>
  <si>
    <t>store_005293</t>
  </si>
  <si>
    <t>store_005294</t>
  </si>
  <si>
    <t>store_005295</t>
  </si>
  <si>
    <t>store_005296</t>
  </si>
  <si>
    <t>store_005297</t>
  </si>
  <si>
    <t>store_005298</t>
  </si>
  <si>
    <t>store_005299</t>
  </si>
  <si>
    <t>store_005300</t>
  </si>
  <si>
    <t>store_005301</t>
  </si>
  <si>
    <t>store_005302</t>
  </si>
  <si>
    <t>store_005307</t>
  </si>
  <si>
    <t>store_005308</t>
  </si>
  <si>
    <t>store_005311</t>
  </si>
  <si>
    <t>store_005312</t>
  </si>
  <si>
    <t>Value Plus -Lko (Gic, Bahraich)</t>
  </si>
  <si>
    <t>store_005313</t>
  </si>
  <si>
    <t>store_005314</t>
  </si>
  <si>
    <t>store_005315</t>
  </si>
  <si>
    <t>store_005316</t>
  </si>
  <si>
    <t>store_005317</t>
  </si>
  <si>
    <t>store_005318</t>
  </si>
  <si>
    <t>store_005319</t>
  </si>
  <si>
    <t>store_005320</t>
  </si>
  <si>
    <t>store_005321</t>
  </si>
  <si>
    <t>store_005322</t>
  </si>
  <si>
    <t>store_005323</t>
  </si>
  <si>
    <t>store_005324</t>
  </si>
  <si>
    <t>store_005325</t>
  </si>
  <si>
    <t>store_005326</t>
  </si>
  <si>
    <t>store_005327</t>
  </si>
  <si>
    <t>store_005328</t>
  </si>
  <si>
    <t>store_005329</t>
  </si>
  <si>
    <t>store_005330</t>
  </si>
  <si>
    <t>store_005331</t>
  </si>
  <si>
    <t>store_005335</t>
  </si>
  <si>
    <t>store_005337</t>
  </si>
  <si>
    <t>Value Plus- Nod (Ambedkar Road)</t>
  </si>
  <si>
    <t>store_005338</t>
  </si>
  <si>
    <t>store_005339</t>
  </si>
  <si>
    <t>store_005341</t>
  </si>
  <si>
    <t>store_005343</t>
  </si>
  <si>
    <t>store_005344</t>
  </si>
  <si>
    <t>store_005345</t>
  </si>
  <si>
    <t>store_005346</t>
  </si>
  <si>
    <t>store_005347</t>
  </si>
  <si>
    <t>store_005348</t>
  </si>
  <si>
    <t>store_005349</t>
  </si>
  <si>
    <t>store_005350</t>
  </si>
  <si>
    <t>store_005351</t>
  </si>
  <si>
    <t>store_005352</t>
  </si>
  <si>
    <t>store_005353</t>
  </si>
  <si>
    <t>store_005354</t>
  </si>
  <si>
    <t>store_005355</t>
  </si>
  <si>
    <t>store_005356</t>
  </si>
  <si>
    <t>store_005357</t>
  </si>
  <si>
    <t>store_005358</t>
  </si>
  <si>
    <t>store_005359</t>
  </si>
  <si>
    <t>store_005360</t>
  </si>
  <si>
    <t>store_005361</t>
  </si>
  <si>
    <t>Value Plus -Slg (Matigara)</t>
  </si>
  <si>
    <t>store_005362</t>
  </si>
  <si>
    <t>store_005363</t>
  </si>
  <si>
    <t>store_005364</t>
  </si>
  <si>
    <t>store_005365</t>
  </si>
  <si>
    <t>store_005366</t>
  </si>
  <si>
    <t>store_005367</t>
  </si>
  <si>
    <t>store_005368</t>
  </si>
  <si>
    <t>store_005369</t>
  </si>
  <si>
    <t>store_005370</t>
  </si>
  <si>
    <t>store_005371</t>
  </si>
  <si>
    <t>store_005372</t>
  </si>
  <si>
    <t>store_005373</t>
  </si>
  <si>
    <t>store_005374</t>
  </si>
  <si>
    <t>store_005376</t>
  </si>
  <si>
    <t>store_005378</t>
  </si>
  <si>
    <t>store_005379</t>
  </si>
  <si>
    <t>store_005380</t>
  </si>
  <si>
    <t>store_005381</t>
  </si>
  <si>
    <t>store_005382</t>
  </si>
  <si>
    <t>store_005383</t>
  </si>
  <si>
    <t>store_005384</t>
  </si>
  <si>
    <t>store_005385</t>
  </si>
  <si>
    <t>store_005386</t>
  </si>
  <si>
    <t>store_005387</t>
  </si>
  <si>
    <t>store_005388</t>
  </si>
  <si>
    <t>store_005417</t>
  </si>
  <si>
    <t>Gur - Suraj Business Pvt. Ltd.</t>
  </si>
  <si>
    <t>store_005450</t>
  </si>
  <si>
    <t>Value Plus -Lko (Sadar)</t>
  </si>
  <si>
    <t>store_005549</t>
  </si>
  <si>
    <t>MAHARASHTRA ELECTRONICS CORPORATION</t>
  </si>
  <si>
    <t>store_005579</t>
  </si>
  <si>
    <t>NAVDEEP ENTERPRISES</t>
  </si>
  <si>
    <t>store_005845</t>
  </si>
  <si>
    <t>Razzle Dazzle (Shahdara)</t>
  </si>
  <si>
    <t>executive_00006, executive_00026, executive_00039, executive_00041</t>
  </si>
  <si>
    <t>Neeraj Kandwal, Sonal Kumar, Sweety Suman, Kumari Nishav Mishra</t>
  </si>
  <si>
    <t>store_005850</t>
  </si>
  <si>
    <t>Kumar Electronics Narela</t>
  </si>
  <si>
    <t>store_005851</t>
  </si>
  <si>
    <t>Lloyd - Khattar Electronics</t>
  </si>
  <si>
    <t>store_005852</t>
  </si>
  <si>
    <t>Haier - Samrat electronics</t>
  </si>
  <si>
    <t>store_005853</t>
  </si>
  <si>
    <t>Haier - Sur sangeet</t>
  </si>
  <si>
    <t>store_005854</t>
  </si>
  <si>
    <t>Haier - Rumi Electronics</t>
  </si>
  <si>
    <t>store_005857</t>
  </si>
  <si>
    <t>hitachi sales office</t>
  </si>
  <si>
    <t>Vijay Nagar</t>
  </si>
  <si>
    <t>store_005858</t>
  </si>
  <si>
    <t>Lg Laminates</t>
  </si>
  <si>
    <t>store_005860</t>
  </si>
  <si>
    <t>Haier - Wonderland electronics</t>
  </si>
  <si>
    <t>store_005862</t>
  </si>
  <si>
    <t>Electro cool</t>
  </si>
  <si>
    <t>store_005874</t>
  </si>
  <si>
    <t>Nutan Electronics, Santacruz East.</t>
  </si>
  <si>
    <t>store_005877</t>
  </si>
  <si>
    <t>Haier- Durga Electronics, Borivali</t>
  </si>
  <si>
    <t>store_005878</t>
  </si>
  <si>
    <t>Haier- Lakhani (Opposite to Deluxe Inn, Byculla)</t>
  </si>
  <si>
    <t>store_005880</t>
  </si>
  <si>
    <t>Haier- Raj Ratan, Kalyan West</t>
  </si>
  <si>
    <t>store_005882</t>
  </si>
  <si>
    <t>Haier- New Raj, Ulhasnagar</t>
  </si>
  <si>
    <t>store_005884</t>
  </si>
  <si>
    <t>Haier- Nutan Electronics, Santacruz East.</t>
  </si>
  <si>
    <t>store_005885</t>
  </si>
  <si>
    <t>Reliance Digital - Kharvela Nagar</t>
  </si>
  <si>
    <t>executive_00028</t>
  </si>
  <si>
    <t>Pratyush Kumar Mohapatra</t>
  </si>
  <si>
    <t>store_005886</t>
  </si>
  <si>
    <t>Reliance Digital - Janpath</t>
  </si>
  <si>
    <t>store_005887</t>
  </si>
  <si>
    <t>Reliance Digital - Patia</t>
  </si>
  <si>
    <t>store_005889</t>
  </si>
  <si>
    <t>Jeevanjee Plaza</t>
  </si>
  <si>
    <t>store_005890</t>
  </si>
  <si>
    <t>Reliance Digital - Esplanade Mall</t>
  </si>
  <si>
    <t>store_005891</t>
  </si>
  <si>
    <t>Dinesh jain &amp; sons</t>
  </si>
  <si>
    <t>store_005892</t>
  </si>
  <si>
    <t>Vasanth &amp;co-tambaram</t>
  </si>
  <si>
    <t>store_005914</t>
  </si>
  <si>
    <t>Croma - Gujarat High Court</t>
  </si>
  <si>
    <t>store_005954</t>
  </si>
  <si>
    <t>Total Gadget World-North Delhi</t>
  </si>
  <si>
    <t>executive_00007, executive_00031, executive_00030, executive_00008, executive_00027, executive_00006, executive_00026, executive_00035, executive_00038, executive_00039, executive_00041</t>
  </si>
  <si>
    <t>Ayush Joshi, Bisma Nadeem, Avantika Gupta, Gautam Kumar, Rohan Saxena, Neeraj Kandwal, Sonal Kumar, Nishant Gaurav, Anurag Yadav, Sweety Suman, Kumari Nishav Mishra</t>
  </si>
  <si>
    <t>store_005959</t>
  </si>
  <si>
    <t>Nilakantha Agency-cuttack</t>
  </si>
  <si>
    <t>store_005960</t>
  </si>
  <si>
    <t>Patra Electronics-cuttack</t>
  </si>
  <si>
    <t>store_005998</t>
  </si>
  <si>
    <t>Kalinga Sales-kantapada</t>
  </si>
  <si>
    <t>store_006009</t>
  </si>
  <si>
    <t>Durgashree</t>
  </si>
  <si>
    <t>executive_00028, executive_00029, executive_00026</t>
  </si>
  <si>
    <t>Pratyush Kumar Mohapatra, Konika Khetan, Sonal Kumar</t>
  </si>
  <si>
    <t>store_006052</t>
  </si>
  <si>
    <t>Bagga Electronics</t>
  </si>
  <si>
    <t>store_006084</t>
  </si>
  <si>
    <t>Nutan Electronics Hardavpuri</t>
  </si>
  <si>
    <t>store_006085</t>
  </si>
  <si>
    <t>New Pankaj Electronic</t>
  </si>
  <si>
    <t>executive_00007, executive_00031, executive_00030, executive_00008, executive_00027, executive_00026, executive_00035, executive_00038, executive_00039, executive_00041, executive_00006, executive_00002</t>
  </si>
  <si>
    <t>Ayush Joshi, Bisma Nadeem, Avantika Gupta, Gautam Kumar, Rohan Saxena, Sonal Kumar, Nishant Gaurav, Anurag Yadav, Sweety Suman, Kumari Nishav Mishra, Neeraj Kandwal, Kanishk Bhardwaj</t>
  </si>
  <si>
    <t>store_006121</t>
  </si>
  <si>
    <t>Rakesh Electronic</t>
  </si>
  <si>
    <t>store_006125</t>
  </si>
  <si>
    <t>Hitachi - Hitachi Home - Lamba Electronic-kalkaji</t>
  </si>
  <si>
    <t>store_006141</t>
  </si>
  <si>
    <t>Gupta Enterprises</t>
  </si>
  <si>
    <t>store_006175</t>
  </si>
  <si>
    <t>Mohan Electrovision</t>
  </si>
  <si>
    <t>store_006176</t>
  </si>
  <si>
    <t>Croma - South Extension</t>
  </si>
  <si>
    <t>store_006201</t>
  </si>
  <si>
    <t>New Tarun Mobile- Nit Faridabad</t>
  </si>
  <si>
    <t>store_006226</t>
  </si>
  <si>
    <t>Ms Distributors-raj Nagar Extn</t>
  </si>
  <si>
    <t>store_006233</t>
  </si>
  <si>
    <t>Hitachi - Hitachi Home - Airnet East Delhi</t>
  </si>
  <si>
    <t>executive_00007, executive_00031, executive_00030, executive_00008, executive_00027, executive_00026, executive_00035, executive_00038, executive_00039, executive_00041, executive_00002</t>
  </si>
  <si>
    <t>Ayush Joshi, Bisma Nadeem, Avantika Gupta, Gautam Kumar, Rohan Saxena, Sonal Kumar, Nishant Gaurav, Anurag Yadav, Sweety Suman, Kumari Nishav Mishra, Kanishk Bhardwaj</t>
  </si>
  <si>
    <t>store_006263</t>
  </si>
  <si>
    <t>Pooja Enterprises</t>
  </si>
  <si>
    <t>store_006277</t>
  </si>
  <si>
    <t>Shree Balaji Appliances</t>
  </si>
  <si>
    <t>store_006279</t>
  </si>
  <si>
    <t>National Maintainance -Sitapur Road</t>
  </si>
  <si>
    <t>store_006284</t>
  </si>
  <si>
    <t>Gupta Distributors</t>
  </si>
  <si>
    <t>store_006291</t>
  </si>
  <si>
    <t>Sanjay Electricals- Ballabgarh</t>
  </si>
  <si>
    <t>store_006300</t>
  </si>
  <si>
    <t>Mk Electronic &amp; Refrigeration Moti Bagh</t>
  </si>
  <si>
    <t>store_006301</t>
  </si>
  <si>
    <t>Aas Electronic Vasant Kunj</t>
  </si>
  <si>
    <t>store_006302</t>
  </si>
  <si>
    <t>Rpg Electronic</t>
  </si>
  <si>
    <t>store_006322</t>
  </si>
  <si>
    <t>Hitec Industry</t>
  </si>
  <si>
    <t>store_006331</t>
  </si>
  <si>
    <t>N K P Electronics-Cantt Lko</t>
  </si>
  <si>
    <t>store_006353</t>
  </si>
  <si>
    <t>Ankur Electronics-Noida</t>
  </si>
  <si>
    <t>store_006358</t>
  </si>
  <si>
    <t>Malik Electronic</t>
  </si>
  <si>
    <t>store_006369</t>
  </si>
  <si>
    <t>Mishra Refrigeration-greater Noida West</t>
  </si>
  <si>
    <t>store_006372</t>
  </si>
  <si>
    <t>Bharat Electronics-bapuji Nagar</t>
  </si>
  <si>
    <t>store_006388</t>
  </si>
  <si>
    <t>Unbox Electronics-South Delhi</t>
  </si>
  <si>
    <t>store_006396</t>
  </si>
  <si>
    <t>Hitachi Home - R K Vision Lodhi Road</t>
  </si>
  <si>
    <t>store_006407</t>
  </si>
  <si>
    <t>Hitachi Home - Supreme Air Con</t>
  </si>
  <si>
    <t>store_006415</t>
  </si>
  <si>
    <t>Hitachi Home - Malhotra Enterprises</t>
  </si>
  <si>
    <t>store_006422</t>
  </si>
  <si>
    <t>Om Sai Traders South Sant Nagar</t>
  </si>
  <si>
    <t>store_006425</t>
  </si>
  <si>
    <t>Pragya Communcation</t>
  </si>
  <si>
    <t>store_006428</t>
  </si>
  <si>
    <t>Super Electronics Vikaspuri</t>
  </si>
  <si>
    <t>store_006439</t>
  </si>
  <si>
    <t>Amit Enterprises-Sarojini Nagar Market</t>
  </si>
  <si>
    <t>store_006442</t>
  </si>
  <si>
    <t>Kumar Electronics-sec-7 Rohini</t>
  </si>
  <si>
    <t>store_006450</t>
  </si>
  <si>
    <t>Sangam Vardhman Electronics-Near Mangla Chowk</t>
  </si>
  <si>
    <t>store_006451</t>
  </si>
  <si>
    <t>Neeru Electronics-Malviya Nagar</t>
  </si>
  <si>
    <t>store_006457</t>
  </si>
  <si>
    <t>Pahuja Aircon Pvt Ltd-Bhawan Road</t>
  </si>
  <si>
    <t>store_006460</t>
  </si>
  <si>
    <t>Sadana Electric Store-aliganj</t>
  </si>
  <si>
    <t>store_006461</t>
  </si>
  <si>
    <t>Baba Ji Electronics Tegore Garden</t>
  </si>
  <si>
    <t>store_006462</t>
  </si>
  <si>
    <t>Haryana T.v. Centre-sultan Puri</t>
  </si>
  <si>
    <t>store_006470</t>
  </si>
  <si>
    <t>Hitachi Studio - Bahadurgarh</t>
  </si>
  <si>
    <t>store_006473</t>
  </si>
  <si>
    <t>Happy Refrigeration-Dwarka</t>
  </si>
  <si>
    <t>store_006476</t>
  </si>
  <si>
    <t>Kohli Brothers-Karol Bagh</t>
  </si>
  <si>
    <t>store_006493</t>
  </si>
  <si>
    <t>Saraf Cooling Company Pvt Ltd-Kanpur</t>
  </si>
  <si>
    <t>brand_003, brand_004</t>
  </si>
  <si>
    <t>Hitachi, Haier</t>
  </si>
  <si>
    <t>store_006502</t>
  </si>
  <si>
    <t>Jain Electronics-Shahdara</t>
  </si>
  <si>
    <t>store_006505</t>
  </si>
  <si>
    <t>Deep Paras Electrovision-Sectro -10, Faridabad</t>
  </si>
  <si>
    <t>store_006519</t>
  </si>
  <si>
    <t>Rakesh Electronices</t>
  </si>
  <si>
    <t>store_006526</t>
  </si>
  <si>
    <t>A Square Electronics- Zakir Nagar South Delhi</t>
  </si>
  <si>
    <t>store_006546</t>
  </si>
  <si>
    <t>New Berco Electronics-hari Nagar</t>
  </si>
  <si>
    <t>store_006574</t>
  </si>
  <si>
    <t>Raj Electronics-r.k Puram-sec 6</t>
  </si>
  <si>
    <t>store_006578</t>
  </si>
  <si>
    <t>Sahu Electronics-North Delhi</t>
  </si>
  <si>
    <t>store_006592</t>
  </si>
  <si>
    <t>Shyam Lal &amp; Co-delhi Cantt</t>
  </si>
  <si>
    <t>store_006601</t>
  </si>
  <si>
    <t>Shree Ram Enterprises Pehladpur</t>
  </si>
  <si>
    <t>store_006614</t>
  </si>
  <si>
    <t>Kataria Sales Corporation</t>
  </si>
  <si>
    <t>store_006616</t>
  </si>
  <si>
    <t>Reliance Digital Cbd Shahdara</t>
  </si>
  <si>
    <t>store_006643</t>
  </si>
  <si>
    <t>Hitachi Home - Swipetrend Pvt Lmd-Danapur</t>
  </si>
  <si>
    <t>store_006666</t>
  </si>
  <si>
    <t>Sai World-mahanadivihar, Nayabazar</t>
  </si>
  <si>
    <t>store_006728</t>
  </si>
  <si>
    <t>Shree Bharat Electronics-bhubaneswar</t>
  </si>
  <si>
    <t>store_006737</t>
  </si>
  <si>
    <t>Golden Refrigeration-Chadni Chowk</t>
  </si>
  <si>
    <t>executive_00013, executive_00026, executive_00032, executive_00042</t>
  </si>
  <si>
    <t>Suvam Chatterjee, Sonal Kumar, Ankan Das, Megha Mondal</t>
  </si>
  <si>
    <t>store_006758</t>
  </si>
  <si>
    <t>Golden Refrigeration Co-Kolkata</t>
  </si>
  <si>
    <t>store_006789</t>
  </si>
  <si>
    <t>Dial Tone Electronics</t>
  </si>
  <si>
    <t>store_006792</t>
  </si>
  <si>
    <t>Bombay Radio-Jail Road</t>
  </si>
  <si>
    <t>store_006801</t>
  </si>
  <si>
    <t>Rathna Fan House</t>
  </si>
  <si>
    <t>store_006808</t>
  </si>
  <si>
    <t>Ramesh Corporation</t>
  </si>
  <si>
    <t>store_006814</t>
  </si>
  <si>
    <t>Great Eastern Trading Co - Vijay Nagar,indore</t>
  </si>
  <si>
    <t>store_006823</t>
  </si>
  <si>
    <t>Vishwa Enterprise-vastral</t>
  </si>
  <si>
    <t>store_006853</t>
  </si>
  <si>
    <t>Jain Traders - Naupada</t>
  </si>
  <si>
    <t>store_006854</t>
  </si>
  <si>
    <t>Jain Traders-thane Gb Road</t>
  </si>
  <si>
    <t>store_006877</t>
  </si>
  <si>
    <t>Jain Traders-samata Nagar</t>
  </si>
  <si>
    <t>store_006878</t>
  </si>
  <si>
    <t>Db Engineers-surat</t>
  </si>
  <si>
    <t>store_006925</t>
  </si>
  <si>
    <t>store_007010</t>
  </si>
  <si>
    <t>Vijay sales - bhatar</t>
  </si>
  <si>
    <t>store_007024</t>
  </si>
  <si>
    <t>Croma - Ashram Road</t>
  </si>
  <si>
    <t>store_007031</t>
  </si>
  <si>
    <t>store_007033</t>
  </si>
  <si>
    <t>Vasanth &amp; Co-singanallur</t>
  </si>
  <si>
    <t>store_007045</t>
  </si>
  <si>
    <t>Vijay Sales - Agarkar Nagar Stn Road</t>
  </si>
  <si>
    <t>store_007047</t>
  </si>
  <si>
    <t>Vasanth &amp; Co-salem</t>
  </si>
  <si>
    <t>store_007053</t>
  </si>
  <si>
    <t>Vijay Sales-mota Varachha</t>
  </si>
  <si>
    <t>store_007126</t>
  </si>
  <si>
    <t>Mann Electronics</t>
  </si>
  <si>
    <t>store_007130</t>
  </si>
  <si>
    <t>Amit Distributor – Sadashiv Peth</t>
  </si>
  <si>
    <t>store_007137</t>
  </si>
  <si>
    <t>Alka Electronics</t>
  </si>
  <si>
    <t>store_007141</t>
  </si>
  <si>
    <t>Tv Palace</t>
  </si>
  <si>
    <t>store_007239</t>
  </si>
  <si>
    <t>Vasanth &amp; Co - Nanganallur</t>
  </si>
  <si>
    <t>store_007250</t>
  </si>
  <si>
    <t>Sahjanand Electronics-varachha</t>
  </si>
  <si>
    <t>store_007271</t>
  </si>
  <si>
    <t>Angel Sales</t>
  </si>
  <si>
    <t>store_007272</t>
  </si>
  <si>
    <t>Vasanth &amp; Co-tindivanam</t>
  </si>
  <si>
    <t>store_007311</t>
  </si>
  <si>
    <t>Vasanth &amp; Co-dindigul</t>
  </si>
  <si>
    <t>store_007312</t>
  </si>
  <si>
    <t>Vasanth &amp;co-ngarcoil</t>
  </si>
  <si>
    <t>store_007364</t>
  </si>
  <si>
    <t>Kirti Radio   Television Center</t>
  </si>
  <si>
    <t>store_007368</t>
  </si>
  <si>
    <t>Vasanth &amp; Co-namakkal</t>
  </si>
  <si>
    <t>store_007373</t>
  </si>
  <si>
    <t>Vijay Sales - Kharadi</t>
  </si>
  <si>
    <t>store_007394</t>
  </si>
  <si>
    <t>Vasanth &amp; Co - Mth Road, Padi</t>
  </si>
  <si>
    <t>store_007444</t>
  </si>
  <si>
    <t>National Electronics</t>
  </si>
  <si>
    <t>executive_00026</t>
  </si>
  <si>
    <t>Sonal Kumar</t>
  </si>
  <si>
    <t>store_007446</t>
  </si>
  <si>
    <t>Electrokraft</t>
  </si>
  <si>
    <t>store_007448</t>
  </si>
  <si>
    <t>Haier - Electrokraft</t>
  </si>
  <si>
    <t>store_007449</t>
  </si>
  <si>
    <t>Bistupur</t>
  </si>
  <si>
    <t>store_007451</t>
  </si>
  <si>
    <t>ASC - R A enterprises</t>
  </si>
  <si>
    <t>store_007452</t>
  </si>
  <si>
    <t>Balaji Electronics, Baramunda</t>
  </si>
  <si>
    <t>store_007453</t>
  </si>
  <si>
    <t>Balaji Electronics, Patia</t>
  </si>
  <si>
    <t>store_007454</t>
  </si>
  <si>
    <t>National electronics Mango</t>
  </si>
  <si>
    <t>Sakchi</t>
  </si>
  <si>
    <t>store_007455</t>
  </si>
  <si>
    <t>National electronics</t>
  </si>
  <si>
    <t>store_007456</t>
  </si>
  <si>
    <t>Haier - Sadana Electric Store</t>
  </si>
  <si>
    <t>store_007458</t>
  </si>
  <si>
    <t>Samsung office, Goregaon</t>
  </si>
  <si>
    <t>store_007461</t>
  </si>
  <si>
    <t>Vijay Sales, HO, Andheri</t>
  </si>
  <si>
    <t>store_007462</t>
  </si>
  <si>
    <t>Samsung - Tata Croma</t>
  </si>
  <si>
    <t>store_007463</t>
  </si>
  <si>
    <t>Haier - Electromart</t>
  </si>
  <si>
    <t>Dimna road</t>
  </si>
  <si>
    <t>store_007464</t>
  </si>
  <si>
    <t>Purulia road</t>
  </si>
  <si>
    <t>store_007465</t>
  </si>
  <si>
    <t>Z M Enterprises ASC Mango</t>
  </si>
  <si>
    <t>store_007466</t>
  </si>
  <si>
    <t>ASP - Plus Service</t>
  </si>
  <si>
    <t>Ahemdabad</t>
  </si>
  <si>
    <t>executive_00014, executive_00033, executive_00044</t>
  </si>
  <si>
    <t>Vinod Khatik, Priyanshu Prasad, Priyanshu Prafulbhai Gohel</t>
  </si>
  <si>
    <t>store_007470</t>
  </si>
  <si>
    <t>Vs - Marathalli</t>
  </si>
  <si>
    <t>store_007471</t>
  </si>
  <si>
    <t>Vs - Jaynagar</t>
  </si>
  <si>
    <t>store_007472</t>
  </si>
  <si>
    <t>Hitachi home Bhubaneswar</t>
  </si>
  <si>
    <t>store_007473</t>
  </si>
  <si>
    <t>ASP - Streamline service centre</t>
  </si>
  <si>
    <t>store_007474</t>
  </si>
  <si>
    <t>Vs - Rr Nagar</t>
  </si>
  <si>
    <t>store_007475</t>
  </si>
  <si>
    <t>Vs - Kanakpura</t>
  </si>
  <si>
    <t>store_007476</t>
  </si>
  <si>
    <t>A R Cooling - Dum Dum Cantonment</t>
  </si>
  <si>
    <t>executive_00032, executive_00042</t>
  </si>
  <si>
    <t>Ankan Das, Megha Mondal</t>
  </si>
  <si>
    <t>store_007478</t>
  </si>
  <si>
    <t>A2 Refrigeration</t>
  </si>
  <si>
    <t>store_007479</t>
  </si>
  <si>
    <t>N &amp; R Services</t>
  </si>
  <si>
    <t>store_007480</t>
  </si>
  <si>
    <t>Art Cooling Point And Services</t>
  </si>
  <si>
    <t>store_007481</t>
  </si>
  <si>
    <t>M/S Cool Air Conditioning</t>
  </si>
  <si>
    <t>store_007483</t>
  </si>
  <si>
    <t>Om Prakash Refrigeration</t>
  </si>
  <si>
    <t>store_007484</t>
  </si>
  <si>
    <t>Libya Services</t>
  </si>
  <si>
    <t>store_007485</t>
  </si>
  <si>
    <t>United Air Conditioning Service Center</t>
  </si>
  <si>
    <t>store_007486</t>
  </si>
  <si>
    <t>V2 Services</t>
  </si>
  <si>
    <t>store_007487</t>
  </si>
  <si>
    <t>Sakshi Service</t>
  </si>
  <si>
    <t>store_007489</t>
  </si>
  <si>
    <t>Head office</t>
  </si>
  <si>
    <t>store_007490</t>
  </si>
  <si>
    <t>Grow Nexus(Hitachi Home)</t>
  </si>
  <si>
    <t>store_007491</t>
  </si>
  <si>
    <t>Value Plus -Vns (Ballia)</t>
  </si>
  <si>
    <t>store_007492</t>
  </si>
  <si>
    <t>Value Plus -Vns (Kanchanpur, Chitaipur)</t>
  </si>
  <si>
    <t>store_007493</t>
  </si>
  <si>
    <t>Value Plus -Vns (Azamgarh)</t>
  </si>
  <si>
    <t>store_007494</t>
  </si>
  <si>
    <t>Value Plus -Vns (Babatpur)</t>
  </si>
  <si>
    <t>store_007495</t>
  </si>
  <si>
    <t>Value Plus -Vns (Ramnagar)</t>
  </si>
  <si>
    <t>store_007496</t>
  </si>
  <si>
    <t>Hitachi Home Ventos Enterprises Patna</t>
  </si>
  <si>
    <t>store_007497</t>
  </si>
  <si>
    <t>Bosch Home Comfort India (Johnson Control Hitachi)</t>
  </si>
  <si>
    <t>executive_00033, executive_00044</t>
  </si>
  <si>
    <t>Priyanshu Prasad, Priyanshu Prafulbhai Gohel</t>
  </si>
  <si>
    <t>store_007506</t>
  </si>
  <si>
    <t>Blue electronic</t>
  </si>
  <si>
    <t>store_007507</t>
  </si>
  <si>
    <t>Vicky electronic</t>
  </si>
  <si>
    <t>store_007508</t>
  </si>
  <si>
    <t>Haier Branch office</t>
  </si>
  <si>
    <t>store_007511</t>
  </si>
  <si>
    <t>Shri Balaji Mobile World</t>
  </si>
  <si>
    <t>executive_00002, executive_00026, executive_00043</t>
  </si>
  <si>
    <t>Kanishk Bhardwaj, Sonal Kumar, Anirudh shankar</t>
  </si>
  <si>
    <t>store_007512</t>
  </si>
  <si>
    <t>Kuldeep mobile house</t>
  </si>
  <si>
    <t>store_007517</t>
  </si>
  <si>
    <t>Value Plus -Gkp (Bashratpur)</t>
  </si>
  <si>
    <t>store_007518</t>
  </si>
  <si>
    <t>Value Plus -Gkp (Kunraghat)</t>
  </si>
  <si>
    <t>store_007519</t>
  </si>
  <si>
    <t>Haier HO</t>
  </si>
  <si>
    <t>store_007520</t>
  </si>
  <si>
    <t>Value Plus -Gkp (Deoria Bhatwaliya Chauraha)</t>
  </si>
  <si>
    <t>store_007521</t>
  </si>
  <si>
    <t>Neha Sales</t>
  </si>
  <si>
    <t>store_007522</t>
  </si>
  <si>
    <t>Asian Electronics</t>
  </si>
  <si>
    <t>store_007523</t>
  </si>
  <si>
    <t>Godrej and boyce manfucaturing company</t>
  </si>
  <si>
    <t>executive_00036</t>
  </si>
  <si>
    <t>Jesvin Joshy</t>
  </si>
  <si>
    <t>store_007524</t>
  </si>
  <si>
    <t>M S Ideal</t>
  </si>
  <si>
    <t>store_007527</t>
  </si>
  <si>
    <t>Ajanta Electronics</t>
  </si>
  <si>
    <t>Andheri East</t>
  </si>
  <si>
    <t>executive_00025, executive_00037</t>
  </si>
  <si>
    <t>Utkarsh Narnaware, Naman Kabra</t>
  </si>
  <si>
    <t>store_007528</t>
  </si>
  <si>
    <t>Satyam Electronics</t>
  </si>
  <si>
    <t>Andheri</t>
  </si>
  <si>
    <t>store_007529</t>
  </si>
  <si>
    <t>Milan Enterprises.</t>
  </si>
  <si>
    <t>store_007530</t>
  </si>
  <si>
    <t>Sanjay Sales</t>
  </si>
  <si>
    <t>store_007532</t>
  </si>
  <si>
    <t>Hitachi office</t>
  </si>
  <si>
    <t>pune</t>
  </si>
  <si>
    <t>store_007534</t>
  </si>
  <si>
    <t>Fresh cool system</t>
  </si>
  <si>
    <t>executive_00007, executive_00046</t>
  </si>
  <si>
    <t>Ayush Joshi, Abhishek Kumar Singh</t>
  </si>
  <si>
    <t>store_007535</t>
  </si>
  <si>
    <t>A One Radios</t>
  </si>
  <si>
    <t>store_007536</t>
  </si>
  <si>
    <t>Priya Sales</t>
  </si>
  <si>
    <t>store_007538</t>
  </si>
  <si>
    <t>⁠Pooja electronics’s</t>
  </si>
  <si>
    <t>store_007539</t>
  </si>
  <si>
    <t>Gupta ji sales</t>
  </si>
  <si>
    <t>store_007541</t>
  </si>
  <si>
    <t>Gourav electronics’s</t>
  </si>
  <si>
    <t>store_007542</t>
  </si>
  <si>
    <t>Elite fix solutions</t>
  </si>
  <si>
    <t>thripunithra</t>
  </si>
  <si>
    <t>store_007543</t>
  </si>
  <si>
    <t>Techno tech technical solutions</t>
  </si>
  <si>
    <t>athani</t>
  </si>
  <si>
    <t>store_007544</t>
  </si>
  <si>
    <t>ASP - Malik Enterprises</t>
  </si>
  <si>
    <t>executive_00007, executive_00039, executive_00041</t>
  </si>
  <si>
    <t>Ayush Joshi, Sweety Suman, Kumari Nishav Mishra</t>
  </si>
  <si>
    <t>store_007545</t>
  </si>
  <si>
    <t>ARK air system</t>
  </si>
  <si>
    <t>store_007546</t>
  </si>
  <si>
    <t>Himja service</t>
  </si>
  <si>
    <t>store_007547</t>
  </si>
  <si>
    <t>Lloyd HO</t>
  </si>
  <si>
    <t>executive_00007, executive_00031, executive_00030, executive_00002, executive_00006, executive_00027, executive_00026, executive_00043</t>
  </si>
  <si>
    <t>Ayush Joshi, Bisma Nadeem, Avantika Gupta, Kanishk Bhardwaj, Neeraj Kandwal, Rohan Saxena, Sonal Kumar, Anirudh shankar</t>
  </si>
  <si>
    <t>store_007548</t>
  </si>
  <si>
    <t>Freezing Point</t>
  </si>
  <si>
    <t>store_007549</t>
  </si>
  <si>
    <t>Maria Cooling Solutions</t>
  </si>
  <si>
    <t>store_007551</t>
  </si>
  <si>
    <t>Coolzone Solutions</t>
  </si>
  <si>
    <t>store_007553</t>
  </si>
  <si>
    <t>Kore @ Sector 11 - Gandhinagar | Gj</t>
  </si>
  <si>
    <t>store_007554</t>
  </si>
  <si>
    <t>Kore mobile</t>
  </si>
  <si>
    <t>Naroda</t>
  </si>
  <si>
    <t>store_007555</t>
  </si>
  <si>
    <t>Bapunagar</t>
  </si>
  <si>
    <t>store_007556</t>
  </si>
  <si>
    <t>store_007557</t>
  </si>
  <si>
    <t>Kore Mobile</t>
  </si>
  <si>
    <t>Usmanpura</t>
  </si>
  <si>
    <t>store_007558</t>
  </si>
  <si>
    <t>Shashtrinagar</t>
  </si>
  <si>
    <t>store_007559</t>
  </si>
  <si>
    <t>Bopal</t>
  </si>
  <si>
    <t>store_007564</t>
  </si>
  <si>
    <t>SHIVANSH ENTERPRISE</t>
  </si>
  <si>
    <t>Dombivli East</t>
  </si>
  <si>
    <t>store_007565</t>
  </si>
  <si>
    <t>M S Shree Samarth Krupa Refrigerator</t>
  </si>
  <si>
    <t>store_007567</t>
  </si>
  <si>
    <t>Value Plus Ho</t>
  </si>
  <si>
    <t>executive_00030, executive_00043</t>
  </si>
  <si>
    <t>Avantika Gupta, Anirudh shankar</t>
  </si>
  <si>
    <t>store_007568</t>
  </si>
  <si>
    <t>Science City Road</t>
  </si>
  <si>
    <t>store_007569</t>
  </si>
  <si>
    <t>Chandlodiya</t>
  </si>
  <si>
    <t>store_007570</t>
  </si>
  <si>
    <t>Gulzar Electronics</t>
  </si>
  <si>
    <t>store_007571</t>
  </si>
  <si>
    <t>Gupta electro world</t>
  </si>
  <si>
    <t>shahdra</t>
  </si>
  <si>
    <t>executive_00026, executive_00035</t>
  </si>
  <si>
    <t>Sonal Kumar, Nishant Gaurav</t>
  </si>
  <si>
    <t>store_007572</t>
  </si>
  <si>
    <t>Sri balaji Electronics</t>
  </si>
  <si>
    <t>Krishna nagar</t>
  </si>
  <si>
    <t>store_007576</t>
  </si>
  <si>
    <t>Godrej Branch HO</t>
  </si>
  <si>
    <t>store_007579</t>
  </si>
  <si>
    <t>Unique electronics</t>
  </si>
  <si>
    <t>saket</t>
  </si>
  <si>
    <t>executive_00035</t>
  </si>
  <si>
    <t>Nishant Gaurav</t>
  </si>
  <si>
    <t>store_007580</t>
  </si>
  <si>
    <t>Utkal Sales</t>
  </si>
  <si>
    <t>store_007581</t>
  </si>
  <si>
    <t>executive_00030, executive_00043, executive_00002</t>
  </si>
  <si>
    <t>Avantika Gupta, Anirudh shankar, Kanishk Bhardwaj</t>
  </si>
  <si>
    <t>store_007582</t>
  </si>
  <si>
    <t>Godrej HO</t>
  </si>
  <si>
    <t>store_007583</t>
  </si>
  <si>
    <t>(Om Ent.) ANIL AUDIO VIDEO, Chembur</t>
  </si>
  <si>
    <t>store_007584</t>
  </si>
  <si>
    <t>(Om Ent.) SHREE AAMAJ MA ELECTRONICS</t>
  </si>
  <si>
    <t>store_007585</t>
  </si>
  <si>
    <t>(Om Ent.) ROYAL ENTERPRISES, Chembur</t>
  </si>
  <si>
    <t>store_007586</t>
  </si>
  <si>
    <t>(Om Ent.) GURUNANAK ELECTRONICS, Chembur</t>
  </si>
  <si>
    <t>store_007595</t>
  </si>
  <si>
    <t>Sneha sons</t>
  </si>
  <si>
    <t>store_007596</t>
  </si>
  <si>
    <t>Anamaya Innovations</t>
  </si>
  <si>
    <t>executive_00038, executive_00006</t>
  </si>
  <si>
    <t>Anurag Yadav, Neeraj Kandwal</t>
  </si>
  <si>
    <t>store_007597</t>
  </si>
  <si>
    <t>PVR Electronics</t>
  </si>
  <si>
    <t>store_007599</t>
  </si>
  <si>
    <t>Ultra Electronics</t>
  </si>
  <si>
    <t>executive_00027, executive_00006</t>
  </si>
  <si>
    <t>Rohan Saxena, Neeraj Kandwal</t>
  </si>
  <si>
    <t>store_007600</t>
  </si>
  <si>
    <t>New Ranip</t>
  </si>
  <si>
    <t>store_007601</t>
  </si>
  <si>
    <t>Kalol</t>
  </si>
  <si>
    <t>store_007602</t>
  </si>
  <si>
    <t>Pethapur</t>
  </si>
  <si>
    <t>store_007603</t>
  </si>
  <si>
    <t>Godrej Head Office</t>
  </si>
  <si>
    <t>executive_00042, executive_00032</t>
  </si>
  <si>
    <t>Megha Mondal, Ankan Das</t>
  </si>
  <si>
    <t>store_007604</t>
  </si>
  <si>
    <t>Reliance Digital- Rrl D Xpress O Mall Kochi -8754</t>
  </si>
  <si>
    <t>store_007610</t>
  </si>
  <si>
    <t>Reliance Digital- Rrl Cdit Tripunithura -3789</t>
  </si>
  <si>
    <t>store_007612</t>
  </si>
  <si>
    <t>Reliance Digital- Rrl Cdit Kakkanad -TW83</t>
  </si>
  <si>
    <t>store_007615</t>
  </si>
  <si>
    <t>Tegh solution</t>
  </si>
  <si>
    <t>store_007616</t>
  </si>
  <si>
    <t>Kore -  Isanpur</t>
  </si>
  <si>
    <t>store_007617</t>
  </si>
  <si>
    <t>Kore - Odhav</t>
  </si>
  <si>
    <t>store_007618</t>
  </si>
  <si>
    <t>Kore @ Raipur Chakla | Gj</t>
  </si>
  <si>
    <t>store_007619</t>
  </si>
  <si>
    <t>KORE @ NIKOL - RASPAN | GJ</t>
  </si>
  <si>
    <t>store_007620</t>
  </si>
  <si>
    <t>Chamunda Electronics</t>
  </si>
  <si>
    <t>store_007621</t>
  </si>
  <si>
    <t>Ashish Electronics</t>
  </si>
  <si>
    <t>store_007622</t>
  </si>
  <si>
    <t>Sanjay Electronics - North Delhi</t>
  </si>
  <si>
    <t>store_007623</t>
  </si>
  <si>
    <t>Madhurvani marketing</t>
  </si>
  <si>
    <t>store_007624</t>
  </si>
  <si>
    <t>priyanshi mobile</t>
  </si>
  <si>
    <t>store_007625</t>
  </si>
  <si>
    <t>japan sales</t>
  </si>
  <si>
    <t>store_007626</t>
  </si>
  <si>
    <t>ASP - Arihant Enterprises</t>
  </si>
  <si>
    <t>store_007627</t>
  </si>
  <si>
    <t>Mohit Mobile</t>
  </si>
  <si>
    <t>store_007629</t>
  </si>
  <si>
    <t>Kiran Electronics</t>
  </si>
  <si>
    <t>store_007630</t>
  </si>
  <si>
    <t>Aashapura The Mobile Shoppee (Mira Road)</t>
  </si>
  <si>
    <t>brand_005</t>
  </si>
  <si>
    <t>Nothing</t>
  </si>
  <si>
    <t>executive_00040, executive_00037, executive_00045, executive_00018, executive_00025</t>
  </si>
  <si>
    <t>Swetabh Srivastava, Naman Kabra, Jatin Hegde, Rushikesh Sarode, Utkarsh Narnaware</t>
  </si>
  <si>
    <t>store_007631</t>
  </si>
  <si>
    <t>Adeshwar Collection (Ghatkopar-W)</t>
  </si>
  <si>
    <t>store_007633</t>
  </si>
  <si>
    <t>Apna Mobile Centre (Kurla)</t>
  </si>
  <si>
    <t>store_007635</t>
  </si>
  <si>
    <t>Bhanushali Mobile Point (Ghatkopar)</t>
  </si>
  <si>
    <t>store_007636</t>
  </si>
  <si>
    <t>Cell O City (Kurla-E)</t>
  </si>
  <si>
    <t>store_007639</t>
  </si>
  <si>
    <t>Glowalpha Innovations Private Limited</t>
  </si>
  <si>
    <t>store_007640</t>
  </si>
  <si>
    <t>Gunjan Time (Santacruz)</t>
  </si>
  <si>
    <t>store_007641</t>
  </si>
  <si>
    <t>Hello Thanekars Mobiles And Accessories</t>
  </si>
  <si>
    <t>store_007642</t>
  </si>
  <si>
    <t>Jai Mata Di Electronics (Ulhasnagar)</t>
  </si>
  <si>
    <t>store_007643</t>
  </si>
  <si>
    <t>Jay Bhawani Mobile Shop (Nalasopara East)</t>
  </si>
  <si>
    <t>store_007645</t>
  </si>
  <si>
    <t>Namaste Tradelink (Kalyan W)</t>
  </si>
  <si>
    <t>store_007647</t>
  </si>
  <si>
    <t>Rajesh Mobiles (Ambernath-W)</t>
  </si>
  <si>
    <t>store_007648</t>
  </si>
  <si>
    <t>Ramdev Mobiles (Charni Road)</t>
  </si>
  <si>
    <t>store_007649</t>
  </si>
  <si>
    <t>S.M Mobile And Electronic (Vasai-E) (Nothing)</t>
  </si>
  <si>
    <t>store_007650</t>
  </si>
  <si>
    <t>Shah Electronics (Thane)</t>
  </si>
  <si>
    <t>store_007651</t>
  </si>
  <si>
    <t>Sound Of Music (Ulhasnagar)</t>
  </si>
  <si>
    <t>store_007656</t>
  </si>
  <si>
    <t>B N X  Smart Phone</t>
  </si>
  <si>
    <t>store_007661</t>
  </si>
  <si>
    <t>Royal Mobile Hub</t>
  </si>
  <si>
    <t>store_007668</t>
  </si>
  <si>
    <t>Smart Cool</t>
  </si>
  <si>
    <t>store_007669</t>
  </si>
  <si>
    <t>Croma - Kolathur</t>
  </si>
  <si>
    <t>executive_00034</t>
  </si>
  <si>
    <t>Santo P Sebastian</t>
  </si>
  <si>
    <t>store_007670</t>
  </si>
  <si>
    <t>Shri Shyam TelePoint</t>
  </si>
  <si>
    <t>executive_00038</t>
  </si>
  <si>
    <t>Anurag Yadav</t>
  </si>
  <si>
    <t>store_007672</t>
  </si>
  <si>
    <t>Samsung HO</t>
  </si>
  <si>
    <t>chennai</t>
  </si>
  <si>
    <t>store_007676</t>
  </si>
  <si>
    <t>Xiaomi - Head Office</t>
  </si>
  <si>
    <t>brand_006</t>
  </si>
  <si>
    <t>Xiaomi</t>
  </si>
  <si>
    <t>store_007678</t>
  </si>
  <si>
    <t>Nishu Mobile</t>
  </si>
  <si>
    <t>store_007682</t>
  </si>
  <si>
    <t>Kore @ Jail Road | Dl</t>
  </si>
  <si>
    <t>executive_00039, executive_00041</t>
  </si>
  <si>
    <t>Sweety Suman, Kumari Nishav Mishra</t>
  </si>
  <si>
    <t>store_007683</t>
  </si>
  <si>
    <t>Kore @ Naraina | Dl</t>
  </si>
  <si>
    <t>store_007684</t>
  </si>
  <si>
    <t>Kore@Laxinagar</t>
  </si>
  <si>
    <t>store_007685</t>
  </si>
  <si>
    <t>Omm Care Solutions</t>
  </si>
  <si>
    <t>store_007686</t>
  </si>
  <si>
    <t>Sivam Enterprise</t>
  </si>
  <si>
    <t>store_007687</t>
  </si>
  <si>
    <t>Godrej Branch office</t>
  </si>
  <si>
    <t>store_007688</t>
  </si>
  <si>
    <t>Matrix, Distributor Office (Ghatkopar)</t>
  </si>
  <si>
    <t>store_007689</t>
  </si>
  <si>
    <t>SATHI TRADERS</t>
  </si>
  <si>
    <t>store_007690</t>
  </si>
  <si>
    <t>MENOKAJOTY</t>
  </si>
  <si>
    <t>store_007691</t>
  </si>
  <si>
    <t>Shilpi Mobile and Electronics</t>
  </si>
  <si>
    <t>store_007692</t>
  </si>
  <si>
    <t>Ritwik Enterprises</t>
  </si>
  <si>
    <t>store_007693</t>
  </si>
  <si>
    <t>croma-haridwar</t>
  </si>
  <si>
    <t>executive_00039</t>
  </si>
  <si>
    <t>Sweety Suman</t>
  </si>
  <si>
    <t>store_007694</t>
  </si>
  <si>
    <t>Alfiya Mobile (Dharavi)</t>
  </si>
  <si>
    <t>store_007696</t>
  </si>
  <si>
    <t>Jayesh Novelty (Govandi)</t>
  </si>
  <si>
    <t>store_007697</t>
  </si>
  <si>
    <t>VARDHAMAN MOBILE (Sakinaka)</t>
  </si>
  <si>
    <t>store_007698</t>
  </si>
  <si>
    <t>store_007700</t>
  </si>
  <si>
    <t>Ganesh Electronics (Dombivali)</t>
  </si>
  <si>
    <t>store_007701</t>
  </si>
  <si>
    <t>Xiaomi HO</t>
  </si>
  <si>
    <t>store_007702</t>
  </si>
  <si>
    <t>Patra Electronics - Bhubaneswar</t>
  </si>
  <si>
    <t>store_007703</t>
  </si>
  <si>
    <t>RAJ ELECTRONICS - Bhubaneswar</t>
  </si>
  <si>
    <t>store_007704</t>
  </si>
  <si>
    <t>RAJ ELECTRONICS - cuttack</t>
  </si>
  <si>
    <t>store_007705</t>
  </si>
  <si>
    <t>Xiaomi Distributor Office</t>
  </si>
  <si>
    <t>store_007706</t>
  </si>
  <si>
    <t>GEETA - Naihati</t>
  </si>
  <si>
    <t>store_007707</t>
  </si>
  <si>
    <t>KESHRI LIGHT HOUSE - Naihati</t>
  </si>
  <si>
    <t>store_007708</t>
  </si>
  <si>
    <t>RAJU RETAILS PVT LTD(MANINAGAR)</t>
  </si>
  <si>
    <t>store_007709</t>
  </si>
  <si>
    <t>KABIR TECHNOLOGIES PVT. LTD.(SHASTRI NAGAR)</t>
  </si>
  <si>
    <t>store_007710</t>
  </si>
  <si>
    <t>KABIR TECHNOLOGIES PVT. LTD.(BAPUNAGAR 2)</t>
  </si>
  <si>
    <t>store_007711</t>
  </si>
  <si>
    <t>DHARA MOBILE SALES &amp; SERVICE</t>
  </si>
  <si>
    <t>store_007712</t>
  </si>
  <si>
    <t>Vinayak Enetreprises - North Delhi</t>
  </si>
  <si>
    <t>store_007713</t>
  </si>
  <si>
    <t>Keshri Light House - Barrackpore</t>
  </si>
  <si>
    <t>store_007714</t>
  </si>
  <si>
    <t>VS - Banashankari</t>
  </si>
  <si>
    <t>store_007715</t>
  </si>
  <si>
    <t>Reliance Digital @ Narsaraopet</t>
  </si>
  <si>
    <t>Narsaraopet</t>
  </si>
  <si>
    <t>executive_00035, executive_00023</t>
  </si>
  <si>
    <t>Nishant Gaurav, Amin Ul Raheman</t>
  </si>
  <si>
    <t>store_007716</t>
  </si>
  <si>
    <t>Reliance Digital @ Hibro Complex Itanagar</t>
  </si>
  <si>
    <t>executive_00016, executive_00032, executive_00042, executive_00013</t>
  </si>
  <si>
    <t>Sanjay Sonkar, Ankan Das, Megha Mondal, Suvam Chatterjee</t>
  </si>
  <si>
    <t>store_007717</t>
  </si>
  <si>
    <t>Reliance Digital @ Civil Hosp Rd Sonitpur</t>
  </si>
  <si>
    <t>store_007718</t>
  </si>
  <si>
    <t>Reliance Digital @ Supriya Cinema Road,Betiah</t>
  </si>
  <si>
    <t>store_007719</t>
  </si>
  <si>
    <t>Reliance Digital @ Elante Mall</t>
  </si>
  <si>
    <t>executive_00006, executive_00027</t>
  </si>
  <si>
    <t>Neeraj Kandwal, Rohan Saxena</t>
  </si>
  <si>
    <t>store_007720</t>
  </si>
  <si>
    <t>Reliance Digital @ Binaka Mall</t>
  </si>
  <si>
    <t>store_007721</t>
  </si>
  <si>
    <t>Gtb Nagar New Delh</t>
  </si>
  <si>
    <t>store_007722</t>
  </si>
  <si>
    <t>Reliance Digital @ Margao Bypass</t>
  </si>
  <si>
    <t>store_007723</t>
  </si>
  <si>
    <t>Reliance Digital @ Gondal Rd, Rajkot</t>
  </si>
  <si>
    <t>store_007724</t>
  </si>
  <si>
    <t>Reliance Digital @ Panipat</t>
  </si>
  <si>
    <t>store_007725</t>
  </si>
  <si>
    <t>Reliance Digital @ Palampur</t>
  </si>
  <si>
    <t>Palampur</t>
  </si>
  <si>
    <t>store_007726</t>
  </si>
  <si>
    <t>Reliance Digital @ Rrl Wave Mall</t>
  </si>
  <si>
    <t>store_007727</t>
  </si>
  <si>
    <t>Reliance Digital @ Burwal Market, Giridih</t>
  </si>
  <si>
    <t>store_007728</t>
  </si>
  <si>
    <t>Reliance Digital @ Smart Bazar, Gt World Mall, Bengaluru</t>
  </si>
  <si>
    <t>store_007729</t>
  </si>
  <si>
    <t>Reliance Digital @ Rewa, Madhya Pradesh</t>
  </si>
  <si>
    <t>store_007730</t>
  </si>
  <si>
    <t>Reliance Digital @ Deshmukh Complex Beed By Pass</t>
  </si>
  <si>
    <t>store_007731</t>
  </si>
  <si>
    <t>Reliance Digital @ Marbaniang Hub, Shillong</t>
  </si>
  <si>
    <t>store_007732</t>
  </si>
  <si>
    <t>Reliance Digital @ Dimapur, Nagaland</t>
  </si>
  <si>
    <t>store_007733</t>
  </si>
  <si>
    <t>Reliance Digital @ Chorda Bye Pass Jajpur</t>
  </si>
  <si>
    <t>store_007734</t>
  </si>
  <si>
    <t>Reliance Digital @ Mbd Neopolis Mall</t>
  </si>
  <si>
    <t>store_007735</t>
  </si>
  <si>
    <t>Reliance Digital @ Charbhuja Nagar Chittorgarh</t>
  </si>
  <si>
    <t>executive_00007, executive_00027</t>
  </si>
  <si>
    <t>Ayush Joshi, Rohan Saxena</t>
  </si>
  <si>
    <t>store_007736</t>
  </si>
  <si>
    <t>Reliance Digital @ Vajra World Gangtok</t>
  </si>
  <si>
    <t>store_007737</t>
  </si>
  <si>
    <t>Reliance Digital @ Thanjavur</t>
  </si>
  <si>
    <t>store_007738</t>
  </si>
  <si>
    <t>Reliance Digital @Bhel Hyderabad</t>
  </si>
  <si>
    <t>store_007739</t>
  </si>
  <si>
    <t>Reliance Digital @ Agartala</t>
  </si>
  <si>
    <t>store_007740</t>
  </si>
  <si>
    <t>Reliance Digital @ Gorakhpur Road,Deoria</t>
  </si>
  <si>
    <t>executive_00015, executive_00002, executive_00027</t>
  </si>
  <si>
    <t>Avneesh Mishra, Kanishk Bhardwaj, Rohan Saxena</t>
  </si>
  <si>
    <t>store_007741</t>
  </si>
  <si>
    <t>Reliance Digital @ Pentagon Mall</t>
  </si>
  <si>
    <t>store_007742</t>
  </si>
  <si>
    <t>Reliance Digital @ Sugam Sudhir Complex Garia</t>
  </si>
  <si>
    <t>store_007743</t>
  </si>
  <si>
    <t>Bansal Export Co</t>
  </si>
  <si>
    <t>store_007744</t>
  </si>
  <si>
    <t>Aum G</t>
  </si>
  <si>
    <t>store_007745</t>
  </si>
  <si>
    <t>Anil Electronics</t>
  </si>
  <si>
    <t>store_007746</t>
  </si>
  <si>
    <t>Speed Communication</t>
  </si>
  <si>
    <t>store_007747</t>
  </si>
  <si>
    <t>Kore @ Una | Gj</t>
  </si>
  <si>
    <t>Una</t>
  </si>
  <si>
    <t>store_007748</t>
  </si>
  <si>
    <t>Kore @ Ajwa - Vadodara | Gj</t>
  </si>
  <si>
    <t>store_007749</t>
  </si>
  <si>
    <t>Kore @ Anand | Gj</t>
  </si>
  <si>
    <t>store_007750</t>
  </si>
  <si>
    <t>Kore @ Baldev Plaza - Gorakhpur | Up</t>
  </si>
  <si>
    <t>store_007751</t>
  </si>
  <si>
    <t>Kore @ Barvada - Botad | Gj</t>
  </si>
  <si>
    <t>Botad</t>
  </si>
  <si>
    <t>store_007752</t>
  </si>
  <si>
    <t>Kore @ Bhanvad | Gj</t>
  </si>
  <si>
    <t>Dwarka</t>
  </si>
  <si>
    <t>store_007753</t>
  </si>
  <si>
    <t>Kore @ Bhatiya | Gj</t>
  </si>
  <si>
    <t>store_007754</t>
  </si>
  <si>
    <t>Kore @ Bhavnagar | Gj</t>
  </si>
  <si>
    <t>store_007755</t>
  </si>
  <si>
    <t>Kore @ Billari | Up</t>
  </si>
  <si>
    <t>Muradabad</t>
  </si>
  <si>
    <t>store_007756</t>
  </si>
  <si>
    <t>Kore @ Botad | Gj</t>
  </si>
  <si>
    <t>store_007757</t>
  </si>
  <si>
    <t>Kore @ Budh Vihar | Dl</t>
  </si>
  <si>
    <t>store_007758</t>
  </si>
  <si>
    <t>Kore @ Burari | Dl</t>
  </si>
  <si>
    <t>store_007759</t>
  </si>
  <si>
    <t>Kore @ Chirawa | Rj</t>
  </si>
  <si>
    <t>Chirawa</t>
  </si>
  <si>
    <t>store_007760</t>
  </si>
  <si>
    <t>Kore @ Chotila | Gj</t>
  </si>
  <si>
    <t>Chotila</t>
  </si>
  <si>
    <t>store_007761</t>
  </si>
  <si>
    <t>Kore @ City Mall - Amreli | Gj</t>
  </si>
  <si>
    <t>store_007762</t>
  </si>
  <si>
    <t>Kore @ Damnagar | Gj</t>
  </si>
  <si>
    <t>store_007763</t>
  </si>
  <si>
    <t>Kore @ Dhasa | Gj</t>
  </si>
  <si>
    <t>Dhasa</t>
  </si>
  <si>
    <t>store_007764</t>
  </si>
  <si>
    <t>Kore @ Dhauli Piyau - Mathura | Up</t>
  </si>
  <si>
    <t>store_007765</t>
  </si>
  <si>
    <t>Kore @ Dhola | Gj</t>
  </si>
  <si>
    <t>store_007766</t>
  </si>
  <si>
    <t>Kore @ Dhoraji | Gj</t>
  </si>
  <si>
    <t>store_007767</t>
  </si>
  <si>
    <t>Kore @ Dilshad Garden | Dl</t>
  </si>
  <si>
    <t>store_007768</t>
  </si>
  <si>
    <t>Kore @ G T Road - Aligarh | Up</t>
  </si>
  <si>
    <t>store_007769</t>
  </si>
  <si>
    <t>Kore @ Ganganagar - Meerut | Up</t>
  </si>
  <si>
    <t>store_007770</t>
  </si>
  <si>
    <t>Kore @ Gariyadhar | Gj</t>
  </si>
  <si>
    <t>store_007771</t>
  </si>
  <si>
    <t>Kore @ Gir Gadhada | Gj</t>
  </si>
  <si>
    <t>Gir Gadhada</t>
  </si>
  <si>
    <t>store_007772</t>
  </si>
  <si>
    <t>Kore @ Gohana Stand - Rohtak | Hr</t>
  </si>
  <si>
    <t>store_007773</t>
  </si>
  <si>
    <t>Kore @ Gondal | Gj</t>
  </si>
  <si>
    <t>Gondal</t>
  </si>
  <si>
    <t>store_007774</t>
  </si>
  <si>
    <t>Kore @ Haldarvas | Gj</t>
  </si>
  <si>
    <t>Memdabad</t>
  </si>
  <si>
    <t>store_007775</t>
  </si>
  <si>
    <t>Kore @ Hansi - Hisar | Hr</t>
  </si>
  <si>
    <t>store_007776</t>
  </si>
  <si>
    <t>Kore @ Hathras | Up</t>
  </si>
  <si>
    <t>store_007777</t>
  </si>
  <si>
    <t>Kore @ Hisar | Hr</t>
  </si>
  <si>
    <t>store_007778</t>
  </si>
  <si>
    <t>Kore @ Isanpur | Gj</t>
  </si>
  <si>
    <t>store_007779</t>
  </si>
  <si>
    <t>Kore @ Jam Jodhpur | Gj</t>
  </si>
  <si>
    <t>store_007780</t>
  </si>
  <si>
    <t>Kore @ Jam Khambhaliya | Gj</t>
  </si>
  <si>
    <t>Jam Khambhadia</t>
  </si>
  <si>
    <t>store_007781</t>
  </si>
  <si>
    <t>Kore @ Jasdan - Rajkot | Gj</t>
  </si>
  <si>
    <t>store_007782</t>
  </si>
  <si>
    <t>Kore @ Jesar | Gj</t>
  </si>
  <si>
    <t>store_007783</t>
  </si>
  <si>
    <t>Kore @ Jethibai Marg - Diu | Dd</t>
  </si>
  <si>
    <t>Diu</t>
  </si>
  <si>
    <t>store_007784</t>
  </si>
  <si>
    <t>Kore @ Jhajjar | Hr</t>
  </si>
  <si>
    <t>store_007785</t>
  </si>
  <si>
    <t>Kore @ Jind | Hr</t>
  </si>
  <si>
    <t>store_007786</t>
  </si>
  <si>
    <t>Kore @ Julana -Jind | Hr</t>
  </si>
  <si>
    <t>store_007787</t>
  </si>
  <si>
    <t>Kore @ Kaalol | Gj</t>
  </si>
  <si>
    <t>Kaalol</t>
  </si>
  <si>
    <t>store_007788</t>
  </si>
  <si>
    <t>Kore @ Kamlanagar - Agra | Up</t>
  </si>
  <si>
    <t>store_007789</t>
  </si>
  <si>
    <t>Kore @ Khergam | Gj</t>
  </si>
  <si>
    <t>store_007790</t>
  </si>
  <si>
    <t>Kore @ Kodinar | Gj</t>
  </si>
  <si>
    <t>store_007791</t>
  </si>
  <si>
    <t>Kore @ Kothariya Road - Rajkot | Gj</t>
  </si>
  <si>
    <t>store_007792</t>
  </si>
  <si>
    <t>Kore @ Kumudvadi | Gj</t>
  </si>
  <si>
    <t>store_007793</t>
  </si>
  <si>
    <t>Kore @ Kusumi - Gorakhpur | Up</t>
  </si>
  <si>
    <t>store_007794</t>
  </si>
  <si>
    <t>Kore @ Mahemadavad | Gj</t>
  </si>
  <si>
    <t>store_007795</t>
  </si>
  <si>
    <t>Kore @ Mahuva | Gj</t>
  </si>
  <si>
    <t>store_007796</t>
  </si>
  <si>
    <t>Kore @ Meghpar | Gj</t>
  </si>
  <si>
    <t>store_007797</t>
  </si>
  <si>
    <t>Kore @ Moti Khavdi | Gj</t>
  </si>
  <si>
    <t>store_007798</t>
  </si>
  <si>
    <t>Kore @ Naujheel - Mathura | Up</t>
  </si>
  <si>
    <t>store_007799</t>
  </si>
  <si>
    <t>Kore @ Odhav | Gj</t>
  </si>
  <si>
    <t>store_007800</t>
  </si>
  <si>
    <t>Kore @ Palitana | Gj</t>
  </si>
  <si>
    <t>store_007801</t>
  </si>
  <si>
    <t>Kore @ Pethapur | Gj</t>
  </si>
  <si>
    <t>store_007802</t>
  </si>
  <si>
    <t>Kore @ Petlad | Gj</t>
  </si>
  <si>
    <t>store_007803</t>
  </si>
  <si>
    <t>Kore @ Porbandar | Gj</t>
  </si>
  <si>
    <t>store_007804</t>
  </si>
  <si>
    <t>Kore @ Prachi | Gj</t>
  </si>
  <si>
    <t>store_007805</t>
  </si>
  <si>
    <t>Kore @ Rupam Chowk | Gj</t>
  </si>
  <si>
    <t>store_007806</t>
  </si>
  <si>
    <t>Kore @ Saiyan - Agra | Up</t>
  </si>
  <si>
    <t>store_007807</t>
  </si>
  <si>
    <t>Kore @ Sanand | Gj</t>
  </si>
  <si>
    <t>store_007808</t>
  </si>
  <si>
    <t>Kore @ Savarkundala | Gj</t>
  </si>
  <si>
    <t>store_007809</t>
  </si>
  <si>
    <t>Kore @ Science City Road | Gj</t>
  </si>
  <si>
    <t>store_007810</t>
  </si>
  <si>
    <t>Kore @ Sevaliya | Gj</t>
  </si>
  <si>
    <t>Kheda</t>
  </si>
  <si>
    <t>store_007811</t>
  </si>
  <si>
    <t>Kore @ Sihor | Gj</t>
  </si>
  <si>
    <t>store_007812</t>
  </si>
  <si>
    <t>Kore @ Sonipat | Hr</t>
  </si>
  <si>
    <t>store_007813</t>
  </si>
  <si>
    <t>Kore @ Surendra Nagar | Gj</t>
  </si>
  <si>
    <t>store_007814</t>
  </si>
  <si>
    <t>Kore @ Sutrapada | Gj</t>
  </si>
  <si>
    <t>store_007815</t>
  </si>
  <si>
    <t>Kore @ Talaja | Gj</t>
  </si>
  <si>
    <t>store_007816</t>
  </si>
  <si>
    <t>Kore @ Talod | Gj</t>
  </si>
  <si>
    <t>Talod</t>
  </si>
  <si>
    <t>store_007817</t>
  </si>
  <si>
    <t>Kore @ Timbi | Gj</t>
  </si>
  <si>
    <t>store_007818</t>
  </si>
  <si>
    <t>Kore @ Upleta | Gj</t>
  </si>
  <si>
    <t>store_007819</t>
  </si>
  <si>
    <t>Kore @ Vallabhipur | Gj</t>
  </si>
  <si>
    <t>store_007820</t>
  </si>
  <si>
    <t>Kore @ Veraval | Gj</t>
  </si>
  <si>
    <t>Veraval</t>
  </si>
  <si>
    <t>store_007821</t>
  </si>
  <si>
    <t>Kore @ Wadi Rangmahal - Vadodara | Gj</t>
  </si>
  <si>
    <t>store_007822</t>
  </si>
  <si>
    <t>Kore @ Waghodiya - Vadodara | Gj</t>
  </si>
  <si>
    <t>store_007823</t>
  </si>
  <si>
    <t>Kore @ Meham | Hr</t>
  </si>
  <si>
    <t>Meham,Rohtak,Haryana</t>
  </si>
  <si>
    <t>store_007824</t>
  </si>
  <si>
    <t>Kore @ Kirari | Dl</t>
  </si>
  <si>
    <t>store_007825</t>
  </si>
  <si>
    <t>Kore @ Tosham | Hr</t>
  </si>
  <si>
    <t>Tosham (Bhiwani)</t>
  </si>
  <si>
    <t>store_007826</t>
  </si>
  <si>
    <t>Kore @ Chandmari - Varanasi | Up</t>
  </si>
  <si>
    <t>store_007827</t>
  </si>
  <si>
    <t>Kore @ Geetacolony | Dl</t>
  </si>
  <si>
    <t>store_007828</t>
  </si>
  <si>
    <t>Kore @ Gohana - Sonipat | Hr</t>
  </si>
  <si>
    <t>store_007829</t>
  </si>
  <si>
    <t>Kore @ Chandrikadevi - Lucknow | Up</t>
  </si>
  <si>
    <t>store_007830</t>
  </si>
  <si>
    <t>Kore @ College Road - Nadiad | Gj</t>
  </si>
  <si>
    <t>store_007831</t>
  </si>
  <si>
    <t>Kore @ Subhashnagar | Dl</t>
  </si>
  <si>
    <t>store_007832</t>
  </si>
  <si>
    <t>Kore @ Mahuva - 2 | Gj</t>
  </si>
  <si>
    <t>store_007833</t>
  </si>
  <si>
    <t>Kore @ Mirjamurad - Varanasi | Up</t>
  </si>
  <si>
    <t>store_007834</t>
  </si>
  <si>
    <t>Kore @ Sankat Mochan - Varanasi | Up</t>
  </si>
  <si>
    <t>Varansi</t>
  </si>
  <si>
    <t>store_007835</t>
  </si>
  <si>
    <t>Kore @ Dildar Nagar - Ghazipur | Up</t>
  </si>
  <si>
    <t>Ghazipur</t>
  </si>
  <si>
    <t>store_007836</t>
  </si>
  <si>
    <t>Kore @ Durg | Cg</t>
  </si>
  <si>
    <t>store_007837</t>
  </si>
  <si>
    <t>Kore @ Bhilai - Durg | Cg</t>
  </si>
  <si>
    <t>Bhilai Durg</t>
  </si>
  <si>
    <t>store_007838</t>
  </si>
  <si>
    <t>Kore @ Canal Road - Raipur | Cg</t>
  </si>
  <si>
    <t>store_007839</t>
  </si>
  <si>
    <t>Kore @ Ring Road - Raipur | Cg</t>
  </si>
  <si>
    <t>store_007840</t>
  </si>
  <si>
    <t>Kore @ Santoshi Nagar - Raipur | Cg</t>
  </si>
  <si>
    <t>store_007841</t>
  </si>
  <si>
    <t>Kore @ Shankar Nagar - Raipur | Cg</t>
  </si>
  <si>
    <t>store_007842</t>
  </si>
  <si>
    <t>Kore @ Bilaspur | Cg</t>
  </si>
  <si>
    <t>store_007843</t>
  </si>
  <si>
    <t>Kore @ Gurugram - Sec 86 | Hr</t>
  </si>
  <si>
    <t>store_007844</t>
  </si>
  <si>
    <t>Kore @ Adarsh Nagar - Sonipat | Hr</t>
  </si>
  <si>
    <t>store_007845</t>
  </si>
  <si>
    <t>Kore @ Janakpuri | Dl</t>
  </si>
  <si>
    <t>store_007846</t>
  </si>
  <si>
    <t>Kore @ Palam Colony | Dl</t>
  </si>
  <si>
    <t>store_007847</t>
  </si>
  <si>
    <t>Kore @ Sanjay Palace -2 - Agra | Up</t>
  </si>
  <si>
    <t>store_007848</t>
  </si>
  <si>
    <t>Kore @ Gautam Buddha Nagar | Up</t>
  </si>
  <si>
    <t>store_007849</t>
  </si>
  <si>
    <t>Kore @ Dadri | Up</t>
  </si>
  <si>
    <t>Dadri</t>
  </si>
  <si>
    <t>store_007850</t>
  </si>
  <si>
    <t>Kore @ Old Bus Stand - Narnaund | Hr</t>
  </si>
  <si>
    <t>store_007851</t>
  </si>
  <si>
    <t>S K Engineers.</t>
  </si>
  <si>
    <t>store_007852</t>
  </si>
  <si>
    <t>Krishna Enterprises</t>
  </si>
  <si>
    <t>store_007853</t>
  </si>
  <si>
    <t>Anand Enterprises</t>
  </si>
  <si>
    <t>store_007854</t>
  </si>
  <si>
    <t>Laxmi Traders</t>
  </si>
  <si>
    <t>store_007855</t>
  </si>
  <si>
    <t>Digital Zone</t>
  </si>
  <si>
    <t>store_007856</t>
  </si>
  <si>
    <t>Sanjay Sales And Service</t>
  </si>
  <si>
    <t>store_007857</t>
  </si>
  <si>
    <t>Garg Enterprises</t>
  </si>
  <si>
    <t>store_007858</t>
  </si>
  <si>
    <t>Ganpati Enterprises</t>
  </si>
  <si>
    <t>store_007859</t>
  </si>
  <si>
    <t>Gupta Electronics World</t>
  </si>
  <si>
    <t>store_007860</t>
  </si>
  <si>
    <t>Light Sound Enterprises</t>
  </si>
  <si>
    <t>store_007861</t>
  </si>
  <si>
    <t>Sanjay Trading Company</t>
  </si>
  <si>
    <t>store_007862</t>
  </si>
  <si>
    <t>Amit Sales</t>
  </si>
  <si>
    <t>store_007863</t>
  </si>
  <si>
    <t>Yash Electronics</t>
  </si>
  <si>
    <t>store_007864</t>
  </si>
  <si>
    <t>J M D Yash Traders</t>
  </si>
  <si>
    <t>store_007865</t>
  </si>
  <si>
    <t>Value Plus -Vns (Mau)</t>
  </si>
  <si>
    <t>store_007866</t>
  </si>
  <si>
    <t>Value Plus -Gkp (Gokhaknath)</t>
  </si>
  <si>
    <t>store_007867</t>
  </si>
  <si>
    <t>Saharanpur (Link Road)</t>
  </si>
  <si>
    <t>store_007868</t>
  </si>
  <si>
    <t>Aggarwal Electronics Hub</t>
  </si>
  <si>
    <t>store_007869</t>
  </si>
  <si>
    <t>S K International</t>
  </si>
  <si>
    <t>store_007870</t>
  </si>
  <si>
    <t>Amit Marketing</t>
  </si>
  <si>
    <t>store_007871</t>
  </si>
  <si>
    <t>Vs - Delhi(Bhajanpura)</t>
  </si>
  <si>
    <t>store_007872</t>
  </si>
  <si>
    <t>Jj Associates</t>
  </si>
  <si>
    <t>store_007873</t>
  </si>
  <si>
    <t>Shiv Ganga Electronics</t>
  </si>
  <si>
    <t>store_007874</t>
  </si>
  <si>
    <t>Akash Refrigeration</t>
  </si>
  <si>
    <t>store_007875</t>
  </si>
  <si>
    <t>Naveen Muskan Electronics</t>
  </si>
  <si>
    <t>store_007876</t>
  </si>
  <si>
    <t>Gupta Light World</t>
  </si>
  <si>
    <t>store_007877</t>
  </si>
  <si>
    <t>M S Meena Refrigeration</t>
  </si>
  <si>
    <t>store_007878</t>
  </si>
  <si>
    <t>V R Corporation</t>
  </si>
  <si>
    <t>store_007879</t>
  </si>
  <si>
    <t>G.B.Sales Corporation</t>
  </si>
  <si>
    <t>store_007880</t>
  </si>
  <si>
    <t>Shree Bajrang Services</t>
  </si>
  <si>
    <t>store_007881</t>
  </si>
  <si>
    <t>Shreya Marketing</t>
  </si>
  <si>
    <t>store_007882</t>
  </si>
  <si>
    <t>Kumar Electric Store</t>
  </si>
  <si>
    <t>store_007883</t>
  </si>
  <si>
    <t>Mathura (Dwarkapuri)</t>
  </si>
  <si>
    <t>store_007884</t>
  </si>
  <si>
    <t>M S Abhiram Refrigeration</t>
  </si>
  <si>
    <t>store_007885</t>
  </si>
  <si>
    <t>A.S Electronics India</t>
  </si>
  <si>
    <t>store_007886</t>
  </si>
  <si>
    <t>Value Plus -Knp (Auriya)</t>
  </si>
  <si>
    <t>store_007887</t>
  </si>
  <si>
    <t>Digital Goal</t>
  </si>
  <si>
    <t>store_007888</t>
  </si>
  <si>
    <t>Noble Aircon</t>
  </si>
  <si>
    <t>store_007889</t>
  </si>
  <si>
    <t>Arhan Aircon</t>
  </si>
  <si>
    <t>store_007890</t>
  </si>
  <si>
    <t>Shri Balaji Collection</t>
  </si>
  <si>
    <t>store_007891</t>
  </si>
  <si>
    <t>G D Refrigeration And Electrical Works</t>
  </si>
  <si>
    <t>store_007892</t>
  </si>
  <si>
    <t>Gupta Electronics &amp; Furniture</t>
  </si>
  <si>
    <t>store_007893</t>
  </si>
  <si>
    <t>Kejriwal Marketing</t>
  </si>
  <si>
    <t>store_007894</t>
  </si>
  <si>
    <t>Agarwal Enterprises</t>
  </si>
  <si>
    <t>store_007895</t>
  </si>
  <si>
    <t>Shree Ji Enterprises</t>
  </si>
  <si>
    <t>store_007896</t>
  </si>
  <si>
    <t>Rohit Refrigeration Pvt Ltd</t>
  </si>
  <si>
    <t>store_007897</t>
  </si>
  <si>
    <t>Reliance Digital -Rrl Cdit  Tollygunge Store Ko -8953</t>
  </si>
  <si>
    <t>store_007898</t>
  </si>
  <si>
    <t>R S Service Point</t>
  </si>
  <si>
    <t>store_007899</t>
  </si>
  <si>
    <t>Slg (Matigara)</t>
  </si>
  <si>
    <t>store_007900</t>
  </si>
  <si>
    <t>Hitachi Home - Electronic Center</t>
  </si>
  <si>
    <t>store_007901</t>
  </si>
  <si>
    <t>Tegh Solutions</t>
  </si>
  <si>
    <t>store_007902</t>
  </si>
  <si>
    <t>Balaji Aircon</t>
  </si>
  <si>
    <t>store_007903</t>
  </si>
  <si>
    <t>Raj Electricals &amp; Electronics</t>
  </si>
  <si>
    <t>store_007904</t>
  </si>
  <si>
    <t>Satyam Electronic And Electricals</t>
  </si>
  <si>
    <t>store_007905</t>
  </si>
  <si>
    <t>M S Star Enterprises</t>
  </si>
  <si>
    <t>store_007906</t>
  </si>
  <si>
    <t>A.B. Sons</t>
  </si>
  <si>
    <t>store_007907</t>
  </si>
  <si>
    <t>Prakash Trading-Ambica Electricals</t>
  </si>
  <si>
    <t>store_007908</t>
  </si>
  <si>
    <t>Mann Trades</t>
  </si>
  <si>
    <t>store_007909</t>
  </si>
  <si>
    <t>Balaji Enterprises</t>
  </si>
  <si>
    <t>store_007910</t>
  </si>
  <si>
    <t>Jai Shree Agencies</t>
  </si>
  <si>
    <t>store_007911</t>
  </si>
  <si>
    <t>Ms Reliable Sales  Services</t>
  </si>
  <si>
    <t>store_007912</t>
  </si>
  <si>
    <t>Shree Gupta Agencies</t>
  </si>
  <si>
    <t>store_007913</t>
  </si>
  <si>
    <t>Goyal Television (Value Plus)</t>
  </si>
  <si>
    <t>store_007914</t>
  </si>
  <si>
    <t>Digital World-Sadar</t>
  </si>
  <si>
    <t>store_007915</t>
  </si>
  <si>
    <t>M S Cristal Cool</t>
  </si>
  <si>
    <t>store_007916</t>
  </si>
  <si>
    <t>Arihant Communication</t>
  </si>
  <si>
    <t>store_007917</t>
  </si>
  <si>
    <t>Shree Vindheswari Sales</t>
  </si>
  <si>
    <t>store_007918</t>
  </si>
  <si>
    <t>Sangam App. And Electricals (P) Ltd</t>
  </si>
  <si>
    <t>store_007919</t>
  </si>
  <si>
    <t>Mobile World</t>
  </si>
  <si>
    <t>store_007920</t>
  </si>
  <si>
    <t>Ss Technologies</t>
  </si>
  <si>
    <t>store_007921</t>
  </si>
  <si>
    <t>Shri Ram Electronics</t>
  </si>
  <si>
    <t>store_007922</t>
  </si>
  <si>
    <t>Nagar Communication</t>
  </si>
  <si>
    <t>store_007923</t>
  </si>
  <si>
    <t>Shiv Electronics</t>
  </si>
  <si>
    <t>store_007924</t>
  </si>
  <si>
    <t>M S Shree Akshaya Electronics</t>
  </si>
  <si>
    <t>store_007925</t>
  </si>
  <si>
    <t>Raj Electronics Plaza</t>
  </si>
  <si>
    <t>store_007926</t>
  </si>
  <si>
    <t>Sales Corner</t>
  </si>
  <si>
    <t>store_007927</t>
  </si>
  <si>
    <t>Air Cool Technology</t>
  </si>
  <si>
    <t>store_007928</t>
  </si>
  <si>
    <t>Garg Communication</t>
  </si>
  <si>
    <t>store_007929</t>
  </si>
  <si>
    <t>Rakesh Communication</t>
  </si>
  <si>
    <t>store_007930</t>
  </si>
  <si>
    <t>Shri Thakur Electronics</t>
  </si>
  <si>
    <t>store_007931</t>
  </si>
  <si>
    <t>Arora Communication</t>
  </si>
  <si>
    <t>store_007932</t>
  </si>
  <si>
    <t>M/S Airnet Communication</t>
  </si>
  <si>
    <t>store_007933</t>
  </si>
  <si>
    <t>Rajput Electronic</t>
  </si>
  <si>
    <t>store_007934</t>
  </si>
  <si>
    <t>M/S Gupta Furniture &amp; Electronics</t>
  </si>
  <si>
    <t>store_007935</t>
  </si>
  <si>
    <t>Sri Ram Refrigeration</t>
  </si>
  <si>
    <t>store_007936</t>
  </si>
  <si>
    <t>M S Realtech Solutions</t>
  </si>
  <si>
    <t>Kannur</t>
  </si>
  <si>
    <t>store_007937</t>
  </si>
  <si>
    <t>M S Bhagya Laxmi Sales  Service</t>
  </si>
  <si>
    <t>store_007938</t>
  </si>
  <si>
    <t>Expert Aircon Services</t>
  </si>
  <si>
    <t>store_007939</t>
  </si>
  <si>
    <t>Siri Solutions</t>
  </si>
  <si>
    <t>store_007940</t>
  </si>
  <si>
    <t>Chandra    Communication</t>
  </si>
  <si>
    <t>store_007941</t>
  </si>
  <si>
    <t>Siddhi Vinayak Traders</t>
  </si>
  <si>
    <t>store_007942</t>
  </si>
  <si>
    <t>Raj Electronics Rourkela</t>
  </si>
  <si>
    <t>store_007943</t>
  </si>
  <si>
    <t>Ekta Electronic</t>
  </si>
  <si>
    <t>store_007944</t>
  </si>
  <si>
    <t>Raj Electronics Angul</t>
  </si>
  <si>
    <t>store_007945</t>
  </si>
  <si>
    <t>Raj Electronics Talcher</t>
  </si>
  <si>
    <t>store_007946</t>
  </si>
  <si>
    <t>Friends Digital</t>
  </si>
  <si>
    <t>store_007947</t>
  </si>
  <si>
    <t>M/S Shree Electronics And Furniture</t>
  </si>
  <si>
    <t>store_007948</t>
  </si>
  <si>
    <t>Fairdeal International</t>
  </si>
  <si>
    <t>store_007949</t>
  </si>
  <si>
    <t>Uni Electro</t>
  </si>
  <si>
    <t>store_007950</t>
  </si>
  <si>
    <t>Shree Ji Sales</t>
  </si>
  <si>
    <t>store_007951</t>
  </si>
  <si>
    <t>Super Cool Electronics</t>
  </si>
  <si>
    <t>store_007952</t>
  </si>
  <si>
    <t>Bhawal Electronics India Pvt Ltd</t>
  </si>
  <si>
    <t>store_007953</t>
  </si>
  <si>
    <t>Sangita Radios</t>
  </si>
  <si>
    <t>store_007954</t>
  </si>
  <si>
    <t>Viraj Sales Corporation</t>
  </si>
  <si>
    <t>store_007955</t>
  </si>
  <si>
    <t>New Maha Laxmi Electronics</t>
  </si>
  <si>
    <t>store_007956</t>
  </si>
  <si>
    <t>Great Eastern Trading</t>
  </si>
  <si>
    <t>store_007957</t>
  </si>
  <si>
    <t>Master Care</t>
  </si>
  <si>
    <t>store_007958</t>
  </si>
  <si>
    <t>Lakshay Mobile &amp; Electronics</t>
  </si>
  <si>
    <t>store_007959</t>
  </si>
  <si>
    <t>Hitachi Home - Cool Care Air Conditioning-Shakti N</t>
  </si>
  <si>
    <t>store_007960</t>
  </si>
  <si>
    <t>Universal Services</t>
  </si>
  <si>
    <t>store_007961</t>
  </si>
  <si>
    <t>Hitachi Home - Vishal</t>
  </si>
  <si>
    <t>store_007962</t>
  </si>
  <si>
    <t>Fair Growth Marketing</t>
  </si>
  <si>
    <t>store_007963</t>
  </si>
  <si>
    <t>Shree Ram Electro World</t>
  </si>
  <si>
    <t>store_007964</t>
  </si>
  <si>
    <t>New Raj Electronics And Electricals</t>
  </si>
  <si>
    <t>store_007965</t>
  </si>
  <si>
    <t>Titu Electric Co</t>
  </si>
  <si>
    <t>store_007966</t>
  </si>
  <si>
    <t>Dhingra &amp; Sons</t>
  </si>
  <si>
    <t>store_007967</t>
  </si>
  <si>
    <t>K P Cool Point</t>
  </si>
  <si>
    <t>store_007968</t>
  </si>
  <si>
    <t>Shree Balaji Sale And Service Solutions</t>
  </si>
  <si>
    <t>store_007969</t>
  </si>
  <si>
    <t>Naveen Electro Tech-Delhi</t>
  </si>
  <si>
    <t>store_007970</t>
  </si>
  <si>
    <t>Kore @ Laxminagar | Dl</t>
  </si>
  <si>
    <t>store_007971</t>
  </si>
  <si>
    <t>Haryana Oil Store</t>
  </si>
  <si>
    <t>store_007972</t>
  </si>
  <si>
    <t>Shri Krishna Mobile And Electronics</t>
  </si>
  <si>
    <t>store_007973</t>
  </si>
  <si>
    <t>Mohit Muskan</t>
  </si>
  <si>
    <t>store_007974</t>
  </si>
  <si>
    <t>Shri Balaji Services Solution</t>
  </si>
  <si>
    <t>store_007975</t>
  </si>
  <si>
    <t>M S Cool Star Service Centre</t>
  </si>
  <si>
    <t>Idukki</t>
  </si>
  <si>
    <t>store_007976</t>
  </si>
  <si>
    <t>Maa Tarini Enterprises</t>
  </si>
  <si>
    <t>store_007977</t>
  </si>
  <si>
    <t>Kannankandy Sales Corporation</t>
  </si>
  <si>
    <t>store_007978</t>
  </si>
  <si>
    <t>Narmada Trading Corporation</t>
  </si>
  <si>
    <t>store_007979</t>
  </si>
  <si>
    <t>Prashant Electric Company</t>
  </si>
  <si>
    <t>store_007980</t>
  </si>
  <si>
    <t>Abhishek Electronics &amp; Modern Furniture</t>
  </si>
  <si>
    <t>store_007981</t>
  </si>
  <si>
    <t>Gopal Jee Electricals</t>
  </si>
  <si>
    <t>store_007982</t>
  </si>
  <si>
    <t>Gada Electronics Retail India Private Limite</t>
  </si>
  <si>
    <t>store_007983</t>
  </si>
  <si>
    <t>Sri Balajee Retail</t>
  </si>
  <si>
    <t>store_007984</t>
  </si>
  <si>
    <t>Sound Trading Co.</t>
  </si>
  <si>
    <t>store_007985</t>
  </si>
  <si>
    <t>M S New Bharat Refrigeration</t>
  </si>
  <si>
    <t>store_007986</t>
  </si>
  <si>
    <t>Nageshwari Refrigeration</t>
  </si>
  <si>
    <t>store_007987</t>
  </si>
  <si>
    <t>Shree Ganesh Cool Services</t>
  </si>
  <si>
    <t>store_007988</t>
  </si>
  <si>
    <t>Haryana Radio Service</t>
  </si>
  <si>
    <t>store_007989</t>
  </si>
  <si>
    <t>Verma Service Point</t>
  </si>
  <si>
    <t>store_007990</t>
  </si>
  <si>
    <t>J.K.International-Durgapur</t>
  </si>
  <si>
    <t>store_007991</t>
  </si>
  <si>
    <t>M S New Tech Services</t>
  </si>
  <si>
    <t>store_007992</t>
  </si>
  <si>
    <t>Erik Sons</t>
  </si>
  <si>
    <t>store_007993</t>
  </si>
  <si>
    <t>Shivani Mobile World</t>
  </si>
  <si>
    <t>store_007994</t>
  </si>
  <si>
    <t>Bala Ji Digital</t>
  </si>
  <si>
    <t>store_007995</t>
  </si>
  <si>
    <t>Deepak Treders (Tilla)</t>
  </si>
  <si>
    <t>store_007996</t>
  </si>
  <si>
    <t>M S Ali Refrigeration Corporation</t>
  </si>
  <si>
    <t>store_007997</t>
  </si>
  <si>
    <t>Hitachi Home - Ashoka Trading &amp; Co.</t>
  </si>
  <si>
    <t>store_007998</t>
  </si>
  <si>
    <t>Hitachi Home - U.A.Associate-Muzaffarpur</t>
  </si>
  <si>
    <t>store_007999</t>
  </si>
  <si>
    <t>Raj Electronics Link Road</t>
  </si>
  <si>
    <t>store_008000</t>
  </si>
  <si>
    <t>M/S Maa Karma Enterprises</t>
  </si>
  <si>
    <t>store_008001</t>
  </si>
  <si>
    <t>Kore @ Bapunagar | Gj</t>
  </si>
  <si>
    <t>store_008002</t>
  </si>
  <si>
    <t>Kore @ Naroda | Gj</t>
  </si>
  <si>
    <t>store_008003</t>
  </si>
  <si>
    <t>Kore @ Usmanpura | Gj</t>
  </si>
  <si>
    <t>store_008004</t>
  </si>
  <si>
    <t>Dhanlaxmi Mobile &amp; Service Center</t>
  </si>
  <si>
    <t>store_008005</t>
  </si>
  <si>
    <t>Raj Ratn Electronics</t>
  </si>
  <si>
    <t>store_008006</t>
  </si>
  <si>
    <t>M S Maa Vaishno Enterprises</t>
  </si>
  <si>
    <t>store_008007</t>
  </si>
  <si>
    <t>Snow Point</t>
  </si>
  <si>
    <t>store_008008</t>
  </si>
  <si>
    <t>R.K.Video</t>
  </si>
  <si>
    <t>store_008009</t>
  </si>
  <si>
    <t>Raj Electronics Jajpur Road</t>
  </si>
  <si>
    <t>store_008010</t>
  </si>
  <si>
    <t>Hitachi Home - Pandit Marketing</t>
  </si>
  <si>
    <t>store_008011</t>
  </si>
  <si>
    <t>Shri Navkar Enterprises</t>
  </si>
  <si>
    <t>store_008012</t>
  </si>
  <si>
    <t>Kore @ Gondal Road - Rajkot | Gj</t>
  </si>
  <si>
    <t>store_008013</t>
  </si>
  <si>
    <t>Kore @ Jamnagar | Gj</t>
  </si>
  <si>
    <t>store_008014</t>
  </si>
  <si>
    <t>Kore @ Palanpur | Gj</t>
  </si>
  <si>
    <t>store_008015</t>
  </si>
  <si>
    <t>Kore @ Shastrinagar | Gj</t>
  </si>
  <si>
    <t>store_008016</t>
  </si>
  <si>
    <t>Pai International Electronics Ltd</t>
  </si>
  <si>
    <t>store_008017</t>
  </si>
  <si>
    <t>Pinpoint Logistics-Uma Enterprise</t>
  </si>
  <si>
    <t>store_008018</t>
  </si>
  <si>
    <t>Goyal Decor</t>
  </si>
  <si>
    <t>store_008019</t>
  </si>
  <si>
    <t>Agra (Sanjay Place Agra)</t>
  </si>
  <si>
    <t>store_008020</t>
  </si>
  <si>
    <t>Goel Plaza Electronics And Furnitures</t>
  </si>
  <si>
    <t>store_008021</t>
  </si>
  <si>
    <t>Rohit Refrigeration Pvt.Ltd  Burdwan</t>
  </si>
  <si>
    <t>store_008022</t>
  </si>
  <si>
    <t>M S Sagar Refrigeration And Aircondition</t>
  </si>
  <si>
    <t>store_008023</t>
  </si>
  <si>
    <t>White Innovative Solutions</t>
  </si>
  <si>
    <t>store_008024</t>
  </si>
  <si>
    <t>Hitachi Home-Hitachi Air Shopee The Freezing Shop-</t>
  </si>
  <si>
    <t>store_008025</t>
  </si>
  <si>
    <t>Electronics Mart India Limited</t>
  </si>
  <si>
    <t>store_008026</t>
  </si>
  <si>
    <t>Pankaj Hardware And Electricals</t>
  </si>
  <si>
    <t>store_008027</t>
  </si>
  <si>
    <t>M/S Bharat Enterprises</t>
  </si>
  <si>
    <t>store_008028</t>
  </si>
  <si>
    <t>Shree Nath Plaza</t>
  </si>
  <si>
    <t>store_008029</t>
  </si>
  <si>
    <t>Air Conditioner Point-Ambedkar Ro</t>
  </si>
  <si>
    <t>store_008030</t>
  </si>
  <si>
    <t>Deepak Cool Home -Aligarh</t>
  </si>
  <si>
    <t>store_008031</t>
  </si>
  <si>
    <t>M S Freeze Care</t>
  </si>
  <si>
    <t>store_008032</t>
  </si>
  <si>
    <t>M/S Goel Plaza Electronics And Furnitures</t>
  </si>
  <si>
    <t>store_008033</t>
  </si>
  <si>
    <t>Elite Complex</t>
  </si>
  <si>
    <t>store_008034</t>
  </si>
  <si>
    <t>G N Aircondition Engg</t>
  </si>
  <si>
    <t>store_008035</t>
  </si>
  <si>
    <t>Goyal Watch Company</t>
  </si>
  <si>
    <t>store_008036</t>
  </si>
  <si>
    <t>Kore @ Bopal | Gj</t>
  </si>
  <si>
    <t>store_008037</t>
  </si>
  <si>
    <t>Kore @ Gadhada | Gj</t>
  </si>
  <si>
    <t>store_008038</t>
  </si>
  <si>
    <t>Mobile Mart</t>
  </si>
  <si>
    <t>store_008039</t>
  </si>
  <si>
    <t>Pal Electronics &amp; Mobile World</t>
  </si>
  <si>
    <t>store_008040</t>
  </si>
  <si>
    <t>Light Emporium Pvt Ltd.</t>
  </si>
  <si>
    <t>store_008041</t>
  </si>
  <si>
    <t>Naman Retail Private Limited</t>
  </si>
  <si>
    <t>store_008042</t>
  </si>
  <si>
    <t>Sri Sahib Distributors</t>
  </si>
  <si>
    <t>store_008043</t>
  </si>
  <si>
    <t>Bharat Traders</t>
  </si>
  <si>
    <t>store_008044</t>
  </si>
  <si>
    <t>Adarsh Electronic &amp; Furniture</t>
  </si>
  <si>
    <t>store_008045</t>
  </si>
  <si>
    <t>Saini Electric House</t>
  </si>
  <si>
    <t>store_008046</t>
  </si>
  <si>
    <t>Kamalia Sons Pvt. Ltd.</t>
  </si>
  <si>
    <t>store_008047</t>
  </si>
  <si>
    <t>Hitachi Home-Gaya Musical Store-Gaya</t>
  </si>
  <si>
    <t>store_008048</t>
  </si>
  <si>
    <t>Hitachi Home-Kapil Enterprises-Raja Park</t>
  </si>
  <si>
    <t>store_008049</t>
  </si>
  <si>
    <t>Kore @ Kalol | Gj</t>
  </si>
  <si>
    <t>store_008050</t>
  </si>
  <si>
    <t>Kore @ Krishnanagar | Gj</t>
  </si>
  <si>
    <t>store_008051</t>
  </si>
  <si>
    <t>Kore @ Rajula | Gj</t>
  </si>
  <si>
    <t>store_008052</t>
  </si>
  <si>
    <t>Mumbai Enterprises</t>
  </si>
  <si>
    <t>store_008053</t>
  </si>
  <si>
    <t>Kalra,S Mobile Cafe</t>
  </si>
  <si>
    <t>store_008054</t>
  </si>
  <si>
    <t>Darsh Airconditioning Solutions</t>
  </si>
  <si>
    <t>store_008055</t>
  </si>
  <si>
    <t>Jain Radio And Watch</t>
  </si>
  <si>
    <t>store_008056</t>
  </si>
  <si>
    <t>Kore @ Rajmahal | Gj</t>
  </si>
  <si>
    <t>store_008057</t>
  </si>
  <si>
    <t>Shri Pita Maruti Electrical Stores</t>
  </si>
  <si>
    <t>store_008058</t>
  </si>
  <si>
    <t>Maha Lakshmi Enterprises</t>
  </si>
  <si>
    <t>store_008059</t>
  </si>
  <si>
    <t>Universal Sales- Rajarhat</t>
  </si>
  <si>
    <t>store_008060</t>
  </si>
  <si>
    <t>Kore @ Chandlodiya | Gj</t>
  </si>
  <si>
    <t>store_008061</t>
  </si>
  <si>
    <t>Kore @ New - Ranip | Gj</t>
  </si>
  <si>
    <t>store_008062</t>
  </si>
  <si>
    <t>Bansal Float Glass Company</t>
  </si>
  <si>
    <t>store_008063</t>
  </si>
  <si>
    <t>Kore @ Govindnagar - Kanpur | Up</t>
  </si>
  <si>
    <t>store_008064</t>
  </si>
  <si>
    <t>Bala Ji Trading Company</t>
  </si>
  <si>
    <t>store_008065</t>
  </si>
  <si>
    <t>Alankar Electronics</t>
  </si>
  <si>
    <t>store_008066</t>
  </si>
  <si>
    <t>Prashant Electronic And Battry Service</t>
  </si>
  <si>
    <t>store_008067</t>
  </si>
  <si>
    <t>Shri Sidh Sons.</t>
  </si>
  <si>
    <t>store_008068</t>
  </si>
  <si>
    <t>Anjani Enterprises</t>
  </si>
  <si>
    <t>store_008069</t>
  </si>
  <si>
    <t>M/S Sonu Mobile Point</t>
  </si>
  <si>
    <t>store_008070</t>
  </si>
  <si>
    <t>Sarang Electronics</t>
  </si>
  <si>
    <t>store_008071</t>
  </si>
  <si>
    <t>Shiv Electric Experience Centre</t>
  </si>
  <si>
    <t>store_008072</t>
  </si>
  <si>
    <t>Mytech Telecom Private Limited</t>
  </si>
  <si>
    <t>store_008073</t>
  </si>
  <si>
    <t>Shop In Ebo</t>
  </si>
  <si>
    <t>Baharampur</t>
  </si>
  <si>
    <t>store_008074</t>
  </si>
  <si>
    <t>Shri Avone Electronics Private Limi</t>
  </si>
  <si>
    <t>store_008075</t>
  </si>
  <si>
    <t>Kore @ Kadi New | Gj</t>
  </si>
  <si>
    <t>store_008076</t>
  </si>
  <si>
    <t>Kore @ Morbi - Main | Gj</t>
  </si>
  <si>
    <t>store_008077</t>
  </si>
  <si>
    <t>D.P. Mall</t>
  </si>
  <si>
    <t>store_008078</t>
  </si>
  <si>
    <t>Kore @ Krishnanagar - Mathura | Up</t>
  </si>
  <si>
    <t>store_008079</t>
  </si>
  <si>
    <t>Ambey Electronics</t>
  </si>
  <si>
    <t>store_008080</t>
  </si>
  <si>
    <t>Maa Annapurna Electronics And Furniture</t>
  </si>
  <si>
    <t>store_008081</t>
  </si>
  <si>
    <t>Eagle Airconditioning Center (Chan Fin)</t>
  </si>
  <si>
    <t>store_008082</t>
  </si>
  <si>
    <t>M S G V Services</t>
  </si>
  <si>
    <t>store_008083</t>
  </si>
  <si>
    <t>Deep Gift Corner Pvt Ltd.</t>
  </si>
  <si>
    <t>store_008084</t>
  </si>
  <si>
    <t>Cell Point (India) Limited</t>
  </si>
  <si>
    <t>store_008085</t>
  </si>
  <si>
    <t>Super Electronics And Electricals</t>
  </si>
  <si>
    <t>store_008086</t>
  </si>
  <si>
    <t>Anant Electronics</t>
  </si>
  <si>
    <t>store_008087</t>
  </si>
  <si>
    <t>Mm Enterprises</t>
  </si>
  <si>
    <t>store_008088</t>
  </si>
  <si>
    <t>Sk Enterprises</t>
  </si>
  <si>
    <t>store_008089</t>
  </si>
  <si>
    <t>Kore @ Sanjay Palace 2 - Agra | Up</t>
  </si>
  <si>
    <t>store_008090</t>
  </si>
  <si>
    <t>Lulu Hyper Market</t>
  </si>
  <si>
    <t>store_008091</t>
  </si>
  <si>
    <t>Bindra Radio And Elec Corp</t>
  </si>
  <si>
    <t>store_008092</t>
  </si>
  <si>
    <t>Acumen (J) Marketing Pvt Lmt-Kolkat</t>
  </si>
  <si>
    <t>store_008093</t>
  </si>
  <si>
    <t>Malik Cycle Works</t>
  </si>
  <si>
    <t>store_008094</t>
  </si>
  <si>
    <t>Panjagutta Hyderabad</t>
  </si>
  <si>
    <t>store_008095</t>
  </si>
  <si>
    <t>Kore @ Sardarnagar - Rajkot | Gj</t>
  </si>
  <si>
    <t>store_008096</t>
  </si>
  <si>
    <t>Jammu Battery House</t>
  </si>
  <si>
    <t>store_008097</t>
  </si>
  <si>
    <t>Durga Emporium</t>
  </si>
  <si>
    <t>store_008098</t>
  </si>
  <si>
    <t>Shubham Agencies</t>
  </si>
  <si>
    <t>store_008099</t>
  </si>
  <si>
    <t>Raipur Electonics</t>
  </si>
  <si>
    <t>store_008100</t>
  </si>
  <si>
    <t>Ravi  Genral Tredres</t>
  </si>
  <si>
    <t>store_008101</t>
  </si>
  <si>
    <t>M.S. Electronics</t>
  </si>
  <si>
    <t>store_008102</t>
  </si>
  <si>
    <t>Baba Electronics</t>
  </si>
  <si>
    <t>store_008103</t>
  </si>
  <si>
    <t>Sri Venkateshwara Sercies</t>
  </si>
  <si>
    <t>store_008104</t>
  </si>
  <si>
    <t>M/S.  Panda  Electronics</t>
  </si>
  <si>
    <t>store_008105</t>
  </si>
  <si>
    <t>Sonu Electronics</t>
  </si>
  <si>
    <t>store_008106</t>
  </si>
  <si>
    <t>Kalra Electronics</t>
  </si>
  <si>
    <t>store_008107</t>
  </si>
  <si>
    <t>S B Electronics</t>
  </si>
  <si>
    <t>store_008108</t>
  </si>
  <si>
    <t>G.N. Electronics</t>
  </si>
  <si>
    <t>store_008109</t>
  </si>
  <si>
    <t>Hotspot-New Delhi South Exte</t>
  </si>
  <si>
    <t>store_008110</t>
  </si>
  <si>
    <t>Kore @ Vidhyanagar - Anand | Gj</t>
  </si>
  <si>
    <t>store_008111</t>
  </si>
  <si>
    <t>Kore @ Koparkhairane - Mumbai | Mh</t>
  </si>
  <si>
    <t>store_008112</t>
  </si>
  <si>
    <t>Psr Enterprises</t>
  </si>
  <si>
    <t>store_008113</t>
  </si>
  <si>
    <t>Supra Power Systems</t>
  </si>
  <si>
    <t>store_008114</t>
  </si>
  <si>
    <t>C.L Electronics</t>
  </si>
  <si>
    <t>store_008115</t>
  </si>
  <si>
    <t>Kamal Electronics</t>
  </si>
  <si>
    <t>store_008116</t>
  </si>
  <si>
    <t>K I Enterprises</t>
  </si>
  <si>
    <t>store_008117</t>
  </si>
  <si>
    <t>A P Enterprises</t>
  </si>
  <si>
    <t>store_008118</t>
  </si>
  <si>
    <t>Avishan Traders</t>
  </si>
  <si>
    <t>store_008119</t>
  </si>
  <si>
    <t>Madhur Electricals,</t>
  </si>
  <si>
    <t>store_008120</t>
  </si>
  <si>
    <t>Av Enterprises</t>
  </si>
  <si>
    <t>store_008121</t>
  </si>
  <si>
    <t>Veetraag Distributors</t>
  </si>
  <si>
    <t>store_008122</t>
  </si>
  <si>
    <t>M.R. Enterprises</t>
  </si>
  <si>
    <t>store_008123</t>
  </si>
  <si>
    <t>Gopal Electronics</t>
  </si>
  <si>
    <t>store_008124</t>
  </si>
  <si>
    <t>K.M Enterprise</t>
  </si>
  <si>
    <t>store_008125</t>
  </si>
  <si>
    <t>Aas Electronics</t>
  </si>
  <si>
    <t>store_008126</t>
  </si>
  <si>
    <t>Dua Electronics</t>
  </si>
  <si>
    <t>store_008127</t>
  </si>
  <si>
    <t>Bohra Enterprises</t>
  </si>
  <si>
    <t>store_008128</t>
  </si>
  <si>
    <t>A S Services</t>
  </si>
  <si>
    <t>store_008129</t>
  </si>
  <si>
    <t>M S Jai Hanuman Services</t>
  </si>
  <si>
    <t>store_008130</t>
  </si>
  <si>
    <t>Paras Electronics</t>
  </si>
  <si>
    <t>store_008131</t>
  </si>
  <si>
    <t>Nutaan Electronics</t>
  </si>
  <si>
    <t>store_008132</t>
  </si>
  <si>
    <t>Lucky Electronics</t>
  </si>
  <si>
    <t>store_008133</t>
  </si>
  <si>
    <t>Usha Enterprises</t>
  </si>
  <si>
    <t>store_008134</t>
  </si>
  <si>
    <t>Zee Electronics</t>
  </si>
  <si>
    <t>store_008135</t>
  </si>
  <si>
    <t>Tara Enterprises</t>
  </si>
  <si>
    <t>store_008136</t>
  </si>
  <si>
    <t>Capital Fancy Light</t>
  </si>
  <si>
    <t>store_008137</t>
  </si>
  <si>
    <t>Kishan Enterprises</t>
  </si>
  <si>
    <t>store_008138</t>
  </si>
  <si>
    <t>Spark  Digi  World</t>
  </si>
  <si>
    <t>store_008139</t>
  </si>
  <si>
    <t>Kore @ Vikas Bazar - Mathura | Up</t>
  </si>
  <si>
    <t>store_008140</t>
  </si>
  <si>
    <t>Bapi Electronics</t>
  </si>
  <si>
    <t>store_008141</t>
  </si>
  <si>
    <t>Rajendra Electronics &amp; Furniture</t>
  </si>
  <si>
    <t>store_008142</t>
  </si>
  <si>
    <t>Tiger Electronics</t>
  </si>
  <si>
    <t>store_008143</t>
  </si>
  <si>
    <t>Ashiana Enterprises</t>
  </si>
  <si>
    <t>store_008144</t>
  </si>
  <si>
    <t>Digi 1</t>
  </si>
  <si>
    <t>store_008145</t>
  </si>
  <si>
    <t>Samiya Enterprises</t>
  </si>
  <si>
    <t>store_008146</t>
  </si>
  <si>
    <t>Jeet Electronics</t>
  </si>
  <si>
    <t>store_008147</t>
  </si>
  <si>
    <t>Arati Electronics</t>
  </si>
  <si>
    <t>store_008148</t>
  </si>
  <si>
    <t>Sahara Electronics</t>
  </si>
  <si>
    <t>store_008149</t>
  </si>
  <si>
    <t>E Zone Services</t>
  </si>
  <si>
    <t>store_008150</t>
  </si>
  <si>
    <t>Arpit Enterprises</t>
  </si>
  <si>
    <t>store_008151</t>
  </si>
  <si>
    <t>M S S S Service</t>
  </si>
  <si>
    <t>Maharajganj (Up)</t>
  </si>
  <si>
    <t>store_008152</t>
  </si>
  <si>
    <t>M S S J Service</t>
  </si>
  <si>
    <t>store_008153</t>
  </si>
  <si>
    <t>M S Rr Services</t>
  </si>
  <si>
    <t>store_008154</t>
  </si>
  <si>
    <t>M.S. Traders</t>
  </si>
  <si>
    <t>store_008155</t>
  </si>
  <si>
    <t>Meer Enterprises</t>
  </si>
  <si>
    <t>store_008156</t>
  </si>
  <si>
    <t>Roorkee (Malviya Chowk)</t>
  </si>
  <si>
    <t>store_008157</t>
  </si>
  <si>
    <t>Hitachi Home - Nice Engineers-Nityanand Nagar</t>
  </si>
  <si>
    <t>store_008158</t>
  </si>
  <si>
    <t>Bharath Electronics</t>
  </si>
  <si>
    <t>store_008159</t>
  </si>
  <si>
    <t>M/S New Bhatia Disc Centere</t>
  </si>
  <si>
    <t>store_008160</t>
  </si>
  <si>
    <t>M/S A.K. Electronics</t>
  </si>
  <si>
    <t>store_008161</t>
  </si>
  <si>
    <t>Rajindra Electronics</t>
  </si>
  <si>
    <t>store_008162</t>
  </si>
  <si>
    <t>Kore @ Koparkhairane - Shivneri | Mh</t>
  </si>
  <si>
    <t>store_008163</t>
  </si>
  <si>
    <t>Divisha Electronics</t>
  </si>
  <si>
    <t>store_008164</t>
  </si>
  <si>
    <t>Somesh Trading</t>
  </si>
  <si>
    <t>store_008165</t>
  </si>
  <si>
    <t>G.S Furniture</t>
  </si>
  <si>
    <t>store_008166</t>
  </si>
  <si>
    <t>Gaurav Sales</t>
  </si>
  <si>
    <t>store_008167</t>
  </si>
  <si>
    <t>Geetanjali Furniture And Electronics</t>
  </si>
  <si>
    <t>store_008168</t>
  </si>
  <si>
    <t>Agra (Cross Road Mall)</t>
  </si>
  <si>
    <t>store_008169</t>
  </si>
  <si>
    <t>India Spare Parts</t>
  </si>
  <si>
    <t>store_008170</t>
  </si>
  <si>
    <t>Kumaon Radios &amp; Electronics Private</t>
  </si>
  <si>
    <t>store_008171</t>
  </si>
  <si>
    <t>M/S R.K. Electronics</t>
  </si>
  <si>
    <t>store_008172</t>
  </si>
  <si>
    <t>Prime Enterprises</t>
  </si>
  <si>
    <t>store_008173</t>
  </si>
  <si>
    <t>M S Fridge Palace</t>
  </si>
  <si>
    <t>Pathanamthitta</t>
  </si>
  <si>
    <t>store_008174</t>
  </si>
  <si>
    <t>M S J J Associates</t>
  </si>
  <si>
    <t>store_008175</t>
  </si>
  <si>
    <t>Dhruv Enterprises</t>
  </si>
  <si>
    <t>store_008176</t>
  </si>
  <si>
    <t>M/S Jaga Video Cd</t>
  </si>
  <si>
    <t>store_008177</t>
  </si>
  <si>
    <t>Sunita Electronics</t>
  </si>
  <si>
    <t>store_008178</t>
  </si>
  <si>
    <t>M/S Navelty Almirah And Tv Fridge Store</t>
  </si>
  <si>
    <t>store_008179</t>
  </si>
  <si>
    <t>Legend Electronics</t>
  </si>
  <si>
    <t>store_008180</t>
  </si>
  <si>
    <t>M K Electricals</t>
  </si>
  <si>
    <t>store_008181</t>
  </si>
  <si>
    <t>M.M. Electricals</t>
  </si>
  <si>
    <t>store_008182</t>
  </si>
  <si>
    <t>S R Associates</t>
  </si>
  <si>
    <t>store_008183</t>
  </si>
  <si>
    <t>Beena Enterprises</t>
  </si>
  <si>
    <t>store_008184</t>
  </si>
  <si>
    <t>Jyoti Electronics</t>
  </si>
  <si>
    <t>store_008185</t>
  </si>
  <si>
    <t>Shiva Electricals</t>
  </si>
  <si>
    <t>store_008186</t>
  </si>
  <si>
    <t>Darshan Enterprises</t>
  </si>
  <si>
    <t>store_008187</t>
  </si>
  <si>
    <t>B.T. Electricals</t>
  </si>
  <si>
    <t>store_008188</t>
  </si>
  <si>
    <t>Matoshree Electronics</t>
  </si>
  <si>
    <t>store_008189</t>
  </si>
  <si>
    <t>Kalra Enterpries</t>
  </si>
  <si>
    <t>store_008190</t>
  </si>
  <si>
    <t>Mahender Electronics</t>
  </si>
  <si>
    <t>store_008191</t>
  </si>
  <si>
    <t>M S Das Service</t>
  </si>
  <si>
    <t>store_008192</t>
  </si>
  <si>
    <t>Kts Services</t>
  </si>
  <si>
    <t>store_008193</t>
  </si>
  <si>
    <t>Mahadev Enterprises</t>
  </si>
  <si>
    <t>store_008194</t>
  </si>
  <si>
    <t>Sun Hill Electronics</t>
  </si>
  <si>
    <t>store_008195</t>
  </si>
  <si>
    <t>Bhardwaj Refrigaration</t>
  </si>
  <si>
    <t>store_008196</t>
  </si>
  <si>
    <t>Pruthi Electricals</t>
  </si>
  <si>
    <t>store_008197</t>
  </si>
  <si>
    <t>Saravana Stores Celebrity Private L</t>
  </si>
  <si>
    <t>store_008198</t>
  </si>
  <si>
    <t>I Max Electronics &amp; Home Appliances</t>
  </si>
  <si>
    <t>store_008199</t>
  </si>
  <si>
    <t>Kore @ Dombivali - West - Mumbai | Mh</t>
  </si>
  <si>
    <t>store_008200</t>
  </si>
  <si>
    <t>Annu Sales</t>
  </si>
  <si>
    <t>store_008201</t>
  </si>
  <si>
    <t>Surjhankar Electronics</t>
  </si>
  <si>
    <t>store_008202</t>
  </si>
  <si>
    <t>A. M. Electricals</t>
  </si>
  <si>
    <t>store_008203</t>
  </si>
  <si>
    <t>R.K. Electricals</t>
  </si>
  <si>
    <t>store_008204</t>
  </si>
  <si>
    <t>M/S E R Enterprises</t>
  </si>
  <si>
    <t>store_008205</t>
  </si>
  <si>
    <t>Standerd Electronics</t>
  </si>
  <si>
    <t>store_008206</t>
  </si>
  <si>
    <t>Bm Electricals</t>
  </si>
  <si>
    <t>store_008207</t>
  </si>
  <si>
    <t>Eleena Electricals</t>
  </si>
  <si>
    <t>store_008208</t>
  </si>
  <si>
    <t>Nijhawan Electronics</t>
  </si>
  <si>
    <t>store_008209</t>
  </si>
  <si>
    <t>M/S Lavi Enterprises</t>
  </si>
  <si>
    <t>store_008210</t>
  </si>
  <si>
    <t>Songyukta  Electronics</t>
  </si>
  <si>
    <t>store_008211</t>
  </si>
  <si>
    <t>G.S. Traders</t>
  </si>
  <si>
    <t>store_008212</t>
  </si>
  <si>
    <t>Top Ten Electronics Shoppe</t>
  </si>
  <si>
    <t>store_008213</t>
  </si>
  <si>
    <t>The Legend New Saravana Stores Bram</t>
  </si>
  <si>
    <t>store_008214</t>
  </si>
  <si>
    <t>Electronica.</t>
  </si>
  <si>
    <t>store_008215</t>
  </si>
  <si>
    <t>Kore @ Gurunanak Chowk - Palanpur | Gj</t>
  </si>
  <si>
    <t>store_008216</t>
  </si>
  <si>
    <t>Aary Appliances</t>
  </si>
  <si>
    <t>store_008217</t>
  </si>
  <si>
    <t>Kore @ Vikroli East - Mumbai | Mh</t>
  </si>
  <si>
    <t>store_008218</t>
  </si>
  <si>
    <t>Bajarang Trading Co</t>
  </si>
  <si>
    <t>store_008219</t>
  </si>
  <si>
    <t>Baby Steel Furniture</t>
  </si>
  <si>
    <t>store_008220</t>
  </si>
  <si>
    <t>Kartikeya Enterprises</t>
  </si>
  <si>
    <t>store_008221</t>
  </si>
  <si>
    <t>Gaya Prasad Furniture</t>
  </si>
  <si>
    <t>store_008222</t>
  </si>
  <si>
    <t>M/S Shakti Traders</t>
  </si>
  <si>
    <t>store_008223</t>
  </si>
  <si>
    <t>Hindusthan Distributor</t>
  </si>
  <si>
    <t>store_008224</t>
  </si>
  <si>
    <t>Ms Home Appliances Service Centre</t>
  </si>
  <si>
    <t>store_008225</t>
  </si>
  <si>
    <t>Guru Kirpa Enterprises</t>
  </si>
  <si>
    <t>store_008226</t>
  </si>
  <si>
    <t>Maheshwari Enterprises</t>
  </si>
  <si>
    <t>store_008227</t>
  </si>
  <si>
    <t>Rup Agencies</t>
  </si>
  <si>
    <t>store_008228</t>
  </si>
  <si>
    <t>Chahat Super Market</t>
  </si>
  <si>
    <t>store_008229</t>
  </si>
  <si>
    <t>Prem Traders</t>
  </si>
  <si>
    <t>store_008230</t>
  </si>
  <si>
    <t>Heavy Discount Electronics</t>
  </si>
  <si>
    <t>store_008231</t>
  </si>
  <si>
    <t>Raghunandan Enterprises</t>
  </si>
  <si>
    <t>store_008232</t>
  </si>
  <si>
    <t>Bishwanath Electricals</t>
  </si>
  <si>
    <t>store_008233</t>
  </si>
  <si>
    <t>Archana Electronics Sales</t>
  </si>
  <si>
    <t>store_008234</t>
  </si>
  <si>
    <t>Arohi Electrical &amp; Electronics</t>
  </si>
  <si>
    <t>store_008235</t>
  </si>
  <si>
    <t>M/S Vashisht Enterprises</t>
  </si>
  <si>
    <t>store_008236</t>
  </si>
  <si>
    <t>V.K. Kapoor Trading Co</t>
  </si>
  <si>
    <t>store_008237</t>
  </si>
  <si>
    <t>M S Srujana Enterprises 2</t>
  </si>
  <si>
    <t>store_008238</t>
  </si>
  <si>
    <t>M S Jyotsana Enterprises</t>
  </si>
  <si>
    <t>store_008239</t>
  </si>
  <si>
    <t>Chirag Traders</t>
  </si>
  <si>
    <t>store_008240</t>
  </si>
  <si>
    <t>S.P.Sales</t>
  </si>
  <si>
    <t>store_008241</t>
  </si>
  <si>
    <t>Gaba Electronics &amp; Electricals</t>
  </si>
  <si>
    <t>store_008242</t>
  </si>
  <si>
    <t>Farid Electronics &amp; Electrical</t>
  </si>
  <si>
    <t>store_008243</t>
  </si>
  <si>
    <t>Singhania Traders</t>
  </si>
  <si>
    <t>store_008244</t>
  </si>
  <si>
    <t>Agrawal Agencies</t>
  </si>
  <si>
    <t>store_008245</t>
  </si>
  <si>
    <t>Fairdeal Agencies</t>
  </si>
  <si>
    <t>store_008246</t>
  </si>
  <si>
    <t>Ira Associates</t>
  </si>
  <si>
    <t>store_008247</t>
  </si>
  <si>
    <t>Sahitya Enterprises Pvt Ltd</t>
  </si>
  <si>
    <t>store_008248</t>
  </si>
  <si>
    <t>M/S Nayak Traders</t>
  </si>
  <si>
    <t>store_008249</t>
  </si>
  <si>
    <t>Gargh Sales</t>
  </si>
  <si>
    <t>store_008250</t>
  </si>
  <si>
    <t>Abacus Rac Ha Services</t>
  </si>
  <si>
    <t>store_008251</t>
  </si>
  <si>
    <t>Niketa Telcom</t>
  </si>
  <si>
    <t>store_008252</t>
  </si>
  <si>
    <t>Kushal Home Appliances</t>
  </si>
  <si>
    <t>store_008253</t>
  </si>
  <si>
    <t>J.S.D.M. Traders</t>
  </si>
  <si>
    <t>store_008254</t>
  </si>
  <si>
    <t>Punmiya Sales</t>
  </si>
  <si>
    <t>Raigad</t>
  </si>
  <si>
    <t>store_008255</t>
  </si>
  <si>
    <t>Ethiraj Hotel Mart</t>
  </si>
  <si>
    <t>store_008256</t>
  </si>
  <si>
    <t>Advance Sales</t>
  </si>
  <si>
    <t>store_008257</t>
  </si>
  <si>
    <t>M D Agencies</t>
  </si>
  <si>
    <t>store_008258</t>
  </si>
  <si>
    <t>Tirupati Agencies</t>
  </si>
  <si>
    <t>store_008259</t>
  </si>
  <si>
    <t>Sonu Electronics And Electricals</t>
  </si>
  <si>
    <t>store_008260</t>
  </si>
  <si>
    <t>Multi Channel Electronics Pvt. Ltd.</t>
  </si>
  <si>
    <t>store_008261</t>
  </si>
  <si>
    <t>Utsav</t>
  </si>
  <si>
    <t>store_008262</t>
  </si>
  <si>
    <t>G M Trading</t>
  </si>
  <si>
    <t>store_008263</t>
  </si>
  <si>
    <t>Subudhi Electrical Stores</t>
  </si>
  <si>
    <t>store_008264</t>
  </si>
  <si>
    <t>Top N Town</t>
  </si>
  <si>
    <t>store_008265</t>
  </si>
  <si>
    <t>Parikh Sales</t>
  </si>
  <si>
    <t>store_008266</t>
  </si>
  <si>
    <t>M S Trinity Associates</t>
  </si>
  <si>
    <t>store_008267</t>
  </si>
  <si>
    <t>Sarada Appliance Store</t>
  </si>
  <si>
    <t>store_008268</t>
  </si>
  <si>
    <t>Neeraj Agencies Pvt Ltd.</t>
  </si>
  <si>
    <t>store_008269</t>
  </si>
  <si>
    <t>Cpr Di`Stributor Pvt. Ltd(Lotus)</t>
  </si>
  <si>
    <t>store_008270</t>
  </si>
  <si>
    <t>Kalpaka Electronics And Home Bazzar</t>
  </si>
  <si>
    <t>store_008271</t>
  </si>
  <si>
    <t>Potdar Tractors</t>
  </si>
  <si>
    <t>store_008272</t>
  </si>
  <si>
    <t>Smile Store</t>
  </si>
  <si>
    <t>store_008273</t>
  </si>
  <si>
    <t>Attari</t>
  </si>
  <si>
    <t>store_008274</t>
  </si>
  <si>
    <t>Lakhu Teleservices Pvt Ltd</t>
  </si>
  <si>
    <t>store_008275</t>
  </si>
  <si>
    <t>Saluja Computers And Services</t>
  </si>
  <si>
    <t>store_008276</t>
  </si>
  <si>
    <t>Appasons</t>
  </si>
  <si>
    <t>store_008277</t>
  </si>
  <si>
    <t>Shanti Electricals And Home Applian</t>
  </si>
  <si>
    <t>store_008278</t>
  </si>
  <si>
    <t>Ajay Tradecorporation Pvt. Ltd.</t>
  </si>
  <si>
    <t>store_008279</t>
  </si>
  <si>
    <t>Mondal Distribution Pvt. Ltd</t>
  </si>
  <si>
    <t>store_008280</t>
  </si>
  <si>
    <t>Chaman Steel Industries</t>
  </si>
  <si>
    <t>store_008281</t>
  </si>
  <si>
    <t>Nhl Distribution Pvt Ltd</t>
  </si>
  <si>
    <t>store_008282</t>
  </si>
  <si>
    <t>Baba Akhandalmani Electricals</t>
  </si>
  <si>
    <t>store_008283</t>
  </si>
  <si>
    <t>Nod (Crossing Republic)</t>
  </si>
  <si>
    <t>store_008284</t>
  </si>
  <si>
    <t>Chawla Brothers</t>
  </si>
  <si>
    <t>store_008285</t>
  </si>
  <si>
    <t>M S Genius Appliances Repair Llp</t>
  </si>
  <si>
    <t>store_008286</t>
  </si>
  <si>
    <t>Sheetal Tarang</t>
  </si>
  <si>
    <t>store_008287</t>
  </si>
  <si>
    <t>Sales Emporium</t>
  </si>
  <si>
    <t>store_008288</t>
  </si>
  <si>
    <t>Photo King</t>
  </si>
  <si>
    <t>store_008289</t>
  </si>
  <si>
    <t>Mool Chand Deena Nath</t>
  </si>
  <si>
    <t>store_008290</t>
  </si>
  <si>
    <t>Thiya Distribution And Logistic Pri</t>
  </si>
  <si>
    <t>store_008291</t>
  </si>
  <si>
    <t>Qrs Retail Limited</t>
  </si>
  <si>
    <t>store_008292</t>
  </si>
  <si>
    <t>Chellamani &amp; Co</t>
  </si>
  <si>
    <t>store_008293</t>
  </si>
  <si>
    <t>Vivek Limited</t>
  </si>
  <si>
    <t>store_008294</t>
  </si>
  <si>
    <t>Cost-2-Cost Computers</t>
  </si>
  <si>
    <t>store_008295</t>
  </si>
  <si>
    <t>Shankarlal Rameshchandra Panchal</t>
  </si>
  <si>
    <t>store_008296</t>
  </si>
  <si>
    <t>S. Selladurai Nadar Hotel ＆ Caterin</t>
  </si>
  <si>
    <t>store_008297</t>
  </si>
  <si>
    <t>Elmec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</si>
</sst>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b/>
      <sz val="14.0"/>
      <color rgb="FF1F1F1F"/>
      <name val="&quot;Google Sans&quot;"/>
    </font>
    <font>
      <color rgb="FF1F1F1F"/>
      <name val="&quot;Google Sans&quot;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42.33"/>
    <col customWidth="1" min="3" max="3" width="20.78"/>
    <col customWidth="1" min="4" max="4" width="30.78"/>
    <col customWidth="1" min="5" max="6" width="15.78"/>
    <col customWidth="1" min="7" max="7" width="20.78"/>
    <col customWidth="1" min="8" max="9" width="25.78"/>
    <col customWidth="1" min="10" max="10" width="20.78"/>
    <col customWidth="1" min="11" max="15" width="15.78"/>
    <col customWidth="1" min="16" max="17" width="40.78"/>
    <col customWidth="1" min="18" max="19" width="2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21</v>
      </c>
      <c r="E2" s="1">
        <v>28.4729904</v>
      </c>
      <c r="F2" s="1">
        <v>77.51506239999999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27.0</v>
      </c>
      <c r="S2" s="1" t="str">
        <f>IFERROR(__xludf.DUMMYFUNCTION("MAP(A2:A3812, B2:B3812, R2:R3812, LAMBDA(id, name, visits, IF(id="""", """", IF(visits=MAXIFS(R2:R3812, B2:B3812, name), IFERROR(TEXTJOIN("", "", TRUE, FILTER(A2:A3812, LOWER(B2:B3812)=LOWER(name), A2:A3812&lt;&gt;id))), """"))))"),"")</f>
        <v/>
      </c>
    </row>
    <row r="3">
      <c r="A3" s="1" t="s">
        <v>32</v>
      </c>
      <c r="B3" s="1" t="s">
        <v>33</v>
      </c>
      <c r="C3" s="1" t="s">
        <v>21</v>
      </c>
      <c r="E3" s="1">
        <v>28.5714679</v>
      </c>
      <c r="F3" s="1">
        <v>77.3234538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N3" s="1" t="s">
        <v>28</v>
      </c>
      <c r="O3" s="1" t="s">
        <v>29</v>
      </c>
      <c r="P3" s="1" t="s">
        <v>34</v>
      </c>
      <c r="Q3" s="1" t="s">
        <v>35</v>
      </c>
      <c r="R3" s="1">
        <v>14.0</v>
      </c>
      <c r="S3" s="1"/>
    </row>
    <row r="4">
      <c r="A4" s="1" t="s">
        <v>36</v>
      </c>
      <c r="B4" s="1" t="s">
        <v>37</v>
      </c>
      <c r="C4" s="1" t="s">
        <v>38</v>
      </c>
      <c r="E4" s="1">
        <v>28.6736397</v>
      </c>
      <c r="F4" s="1">
        <v>77.4433497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N4" s="1" t="s">
        <v>28</v>
      </c>
      <c r="O4" s="1" t="s">
        <v>29</v>
      </c>
      <c r="P4" s="1" t="s">
        <v>39</v>
      </c>
      <c r="Q4" s="1" t="s">
        <v>40</v>
      </c>
      <c r="R4" s="1">
        <v>10.0</v>
      </c>
      <c r="S4" s="1"/>
    </row>
    <row r="5">
      <c r="A5" s="1" t="s">
        <v>41</v>
      </c>
      <c r="B5" s="1" t="s">
        <v>42</v>
      </c>
      <c r="C5" s="1" t="s">
        <v>43</v>
      </c>
      <c r="E5" s="1">
        <v>28.5922925</v>
      </c>
      <c r="F5" s="1">
        <v>77.4364624</v>
      </c>
      <c r="G5" s="1" t="s">
        <v>22</v>
      </c>
      <c r="H5" s="1" t="s">
        <v>23</v>
      </c>
      <c r="I5" s="1" t="s">
        <v>24</v>
      </c>
      <c r="J5" s="1" t="s">
        <v>44</v>
      </c>
      <c r="K5" s="1" t="s">
        <v>26</v>
      </c>
      <c r="L5" s="1" t="s">
        <v>27</v>
      </c>
      <c r="N5" s="1" t="s">
        <v>28</v>
      </c>
      <c r="O5" s="1" t="s">
        <v>29</v>
      </c>
      <c r="P5" s="1" t="s">
        <v>45</v>
      </c>
      <c r="Q5" s="1" t="s">
        <v>46</v>
      </c>
      <c r="R5" s="1">
        <v>18.0</v>
      </c>
      <c r="S5" s="1"/>
    </row>
    <row r="6">
      <c r="A6" s="1" t="s">
        <v>47</v>
      </c>
      <c r="B6" s="1" t="s">
        <v>48</v>
      </c>
      <c r="C6" s="1" t="s">
        <v>38</v>
      </c>
      <c r="E6" s="1">
        <v>28.6394028</v>
      </c>
      <c r="F6" s="1">
        <v>77.36184449999999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N6" s="1" t="s">
        <v>28</v>
      </c>
      <c r="O6" s="1" t="s">
        <v>29</v>
      </c>
      <c r="P6" s="1" t="s">
        <v>49</v>
      </c>
      <c r="Q6" s="1" t="s">
        <v>50</v>
      </c>
      <c r="R6" s="1">
        <v>7.0</v>
      </c>
      <c r="S6" s="1"/>
    </row>
    <row r="7">
      <c r="A7" s="1" t="s">
        <v>51</v>
      </c>
      <c r="B7" s="1" t="s">
        <v>52</v>
      </c>
      <c r="C7" s="1" t="s">
        <v>53</v>
      </c>
      <c r="E7" s="1">
        <v>27.2107048</v>
      </c>
      <c r="F7" s="1">
        <v>77.9997209</v>
      </c>
      <c r="G7" s="1" t="s">
        <v>54</v>
      </c>
      <c r="H7" s="1" t="s">
        <v>55</v>
      </c>
      <c r="J7" s="1" t="s">
        <v>56</v>
      </c>
      <c r="K7" s="1" t="s">
        <v>26</v>
      </c>
      <c r="L7" s="1" t="s">
        <v>27</v>
      </c>
      <c r="N7" s="1" t="s">
        <v>28</v>
      </c>
      <c r="O7" s="1" t="s">
        <v>57</v>
      </c>
      <c r="P7" s="1" t="s">
        <v>58</v>
      </c>
      <c r="Q7" s="1" t="s">
        <v>59</v>
      </c>
      <c r="R7" s="1">
        <v>0.0</v>
      </c>
      <c r="S7" s="1"/>
    </row>
    <row r="8">
      <c r="A8" s="1" t="s">
        <v>60</v>
      </c>
      <c r="B8" s="1" t="s">
        <v>61</v>
      </c>
      <c r="C8" s="1" t="s">
        <v>62</v>
      </c>
      <c r="E8" s="1">
        <v>28.4000457</v>
      </c>
      <c r="F8" s="1">
        <v>77.84923549999999</v>
      </c>
      <c r="G8" s="1" t="s">
        <v>54</v>
      </c>
      <c r="H8" s="1" t="s">
        <v>55</v>
      </c>
      <c r="J8" s="1" t="s">
        <v>56</v>
      </c>
      <c r="K8" s="1" t="s">
        <v>26</v>
      </c>
      <c r="L8" s="1" t="s">
        <v>27</v>
      </c>
      <c r="N8" s="1" t="s">
        <v>28</v>
      </c>
      <c r="O8" s="1" t="s">
        <v>57</v>
      </c>
      <c r="P8" s="1" t="s">
        <v>58</v>
      </c>
      <c r="Q8" s="1" t="s">
        <v>59</v>
      </c>
      <c r="R8" s="1">
        <v>1.0</v>
      </c>
      <c r="S8" s="1"/>
    </row>
    <row r="9">
      <c r="A9" s="1" t="s">
        <v>63</v>
      </c>
      <c r="B9" s="1" t="s">
        <v>64</v>
      </c>
      <c r="C9" s="1" t="s">
        <v>53</v>
      </c>
      <c r="E9" s="1">
        <v>27.1584597</v>
      </c>
      <c r="F9" s="1">
        <v>78.04482569999999</v>
      </c>
      <c r="G9" s="1" t="s">
        <v>54</v>
      </c>
      <c r="H9" s="1" t="s">
        <v>55</v>
      </c>
      <c r="J9" s="1" t="s">
        <v>56</v>
      </c>
      <c r="K9" s="1" t="s">
        <v>26</v>
      </c>
      <c r="L9" s="1" t="s">
        <v>27</v>
      </c>
      <c r="N9" s="1" t="s">
        <v>28</v>
      </c>
      <c r="O9" s="1" t="s">
        <v>57</v>
      </c>
      <c r="P9" s="1" t="s">
        <v>58</v>
      </c>
      <c r="Q9" s="1" t="s">
        <v>59</v>
      </c>
      <c r="R9" s="1">
        <v>0.0</v>
      </c>
      <c r="S9" s="1"/>
    </row>
    <row r="10">
      <c r="A10" s="1" t="s">
        <v>65</v>
      </c>
      <c r="B10" s="1" t="s">
        <v>66</v>
      </c>
      <c r="C10" s="1" t="s">
        <v>53</v>
      </c>
      <c r="E10" s="1">
        <v>27.2031307</v>
      </c>
      <c r="F10" s="1">
        <v>78.0011916</v>
      </c>
      <c r="G10" s="1" t="s">
        <v>54</v>
      </c>
      <c r="H10" s="1" t="s">
        <v>55</v>
      </c>
      <c r="J10" s="1" t="s">
        <v>56</v>
      </c>
      <c r="K10" s="1" t="s">
        <v>26</v>
      </c>
      <c r="L10" s="1" t="s">
        <v>27</v>
      </c>
      <c r="N10" s="1" t="s">
        <v>28</v>
      </c>
      <c r="O10" s="1" t="s">
        <v>57</v>
      </c>
      <c r="P10" s="1" t="s">
        <v>58</v>
      </c>
      <c r="Q10" s="1" t="s">
        <v>59</v>
      </c>
      <c r="R10" s="1">
        <v>0.0</v>
      </c>
      <c r="S10" s="1"/>
    </row>
    <row r="11">
      <c r="A11" s="1" t="s">
        <v>67</v>
      </c>
      <c r="B11" s="1" t="s">
        <v>68</v>
      </c>
      <c r="C11" s="1" t="s">
        <v>38</v>
      </c>
      <c r="E11" s="1">
        <v>28.6737731</v>
      </c>
      <c r="F11" s="1">
        <v>77.44050399999999</v>
      </c>
      <c r="G11" s="1" t="s">
        <v>54</v>
      </c>
      <c r="H11" s="1" t="s">
        <v>55</v>
      </c>
      <c r="J11" s="1" t="s">
        <v>25</v>
      </c>
      <c r="K11" s="1" t="s">
        <v>26</v>
      </c>
      <c r="L11" s="1" t="s">
        <v>27</v>
      </c>
      <c r="N11" s="1" t="s">
        <v>28</v>
      </c>
      <c r="O11" s="1" t="s">
        <v>29</v>
      </c>
      <c r="P11" s="1" t="s">
        <v>69</v>
      </c>
      <c r="Q11" s="1" t="s">
        <v>70</v>
      </c>
      <c r="R11" s="1">
        <v>9.0</v>
      </c>
      <c r="S11" s="1"/>
    </row>
    <row r="12">
      <c r="A12" s="1" t="s">
        <v>71</v>
      </c>
      <c r="B12" s="1" t="s">
        <v>72</v>
      </c>
      <c r="C12" s="1" t="s">
        <v>21</v>
      </c>
      <c r="E12" s="1">
        <v>28.5911757</v>
      </c>
      <c r="F12" s="1">
        <v>77.4350975</v>
      </c>
      <c r="G12" s="1" t="s">
        <v>54</v>
      </c>
      <c r="H12" s="1" t="s">
        <v>55</v>
      </c>
      <c r="J12" s="1" t="s">
        <v>44</v>
      </c>
      <c r="K12" s="1" t="s">
        <v>26</v>
      </c>
      <c r="L12" s="1" t="s">
        <v>27</v>
      </c>
      <c r="N12" s="1" t="s">
        <v>28</v>
      </c>
      <c r="O12" s="1" t="s">
        <v>29</v>
      </c>
      <c r="P12" s="1" t="s">
        <v>49</v>
      </c>
      <c r="Q12" s="1" t="s">
        <v>50</v>
      </c>
      <c r="R12" s="1">
        <v>13.0</v>
      </c>
      <c r="S12" s="1"/>
    </row>
    <row r="13">
      <c r="A13" s="1" t="s">
        <v>73</v>
      </c>
      <c r="B13" s="1" t="s">
        <v>74</v>
      </c>
      <c r="C13" s="1" t="s">
        <v>21</v>
      </c>
      <c r="E13" s="1">
        <v>28.6061068</v>
      </c>
      <c r="F13" s="1">
        <v>77.4295703</v>
      </c>
      <c r="G13" s="1" t="s">
        <v>54</v>
      </c>
      <c r="H13" s="1" t="s">
        <v>55</v>
      </c>
      <c r="J13" s="1" t="s">
        <v>25</v>
      </c>
      <c r="K13" s="1" t="s">
        <v>26</v>
      </c>
      <c r="L13" s="1" t="s">
        <v>27</v>
      </c>
      <c r="N13" s="1" t="s">
        <v>28</v>
      </c>
      <c r="O13" s="1" t="s">
        <v>29</v>
      </c>
      <c r="P13" s="1" t="s">
        <v>49</v>
      </c>
      <c r="Q13" s="1" t="s">
        <v>50</v>
      </c>
      <c r="R13" s="1">
        <v>7.0</v>
      </c>
      <c r="S13" s="1"/>
    </row>
    <row r="14">
      <c r="A14" s="1" t="s">
        <v>75</v>
      </c>
      <c r="B14" s="1" t="s">
        <v>76</v>
      </c>
      <c r="C14" s="1" t="s">
        <v>38</v>
      </c>
      <c r="E14" s="1">
        <v>28.6386504</v>
      </c>
      <c r="F14" s="1">
        <v>77.3618085</v>
      </c>
      <c r="G14" s="1" t="s">
        <v>54</v>
      </c>
      <c r="H14" s="1" t="s">
        <v>55</v>
      </c>
      <c r="J14" s="1" t="s">
        <v>25</v>
      </c>
      <c r="K14" s="1" t="s">
        <v>26</v>
      </c>
      <c r="L14" s="1" t="s">
        <v>27</v>
      </c>
      <c r="N14" s="1" t="s">
        <v>28</v>
      </c>
      <c r="O14" s="1" t="s">
        <v>29</v>
      </c>
      <c r="P14" s="1" t="s">
        <v>49</v>
      </c>
      <c r="Q14" s="1" t="s">
        <v>50</v>
      </c>
      <c r="R14" s="1">
        <v>9.0</v>
      </c>
      <c r="S14" s="1"/>
    </row>
    <row r="15">
      <c r="A15" s="1" t="s">
        <v>77</v>
      </c>
      <c r="B15" s="1" t="s">
        <v>78</v>
      </c>
      <c r="C15" s="1" t="s">
        <v>38</v>
      </c>
      <c r="E15" s="1">
        <v>28.7044656</v>
      </c>
      <c r="F15" s="1">
        <v>77.4153594</v>
      </c>
      <c r="G15" s="1" t="s">
        <v>54</v>
      </c>
      <c r="H15" s="1" t="s">
        <v>55</v>
      </c>
      <c r="J15" s="1" t="s">
        <v>56</v>
      </c>
      <c r="K15" s="1" t="s">
        <v>26</v>
      </c>
      <c r="L15" s="1" t="s">
        <v>27</v>
      </c>
      <c r="N15" s="1" t="s">
        <v>28</v>
      </c>
      <c r="O15" s="1" t="s">
        <v>57</v>
      </c>
      <c r="P15" s="1" t="s">
        <v>69</v>
      </c>
      <c r="Q15" s="1" t="s">
        <v>70</v>
      </c>
      <c r="R15" s="1">
        <v>4.0</v>
      </c>
      <c r="S15" s="1"/>
    </row>
    <row r="16">
      <c r="A16" s="1" t="s">
        <v>79</v>
      </c>
      <c r="B16" s="1" t="s">
        <v>80</v>
      </c>
      <c r="C16" s="1" t="s">
        <v>38</v>
      </c>
      <c r="E16" s="1">
        <v>28.6467521</v>
      </c>
      <c r="F16" s="1">
        <v>77.32011109999999</v>
      </c>
      <c r="G16" s="1" t="s">
        <v>54</v>
      </c>
      <c r="H16" s="1" t="s">
        <v>55</v>
      </c>
      <c r="J16" s="1" t="s">
        <v>56</v>
      </c>
      <c r="K16" s="1" t="s">
        <v>26</v>
      </c>
      <c r="L16" s="1" t="s">
        <v>27</v>
      </c>
      <c r="N16" s="1" t="s">
        <v>28</v>
      </c>
      <c r="O16" s="1" t="s">
        <v>57</v>
      </c>
      <c r="P16" s="1" t="s">
        <v>49</v>
      </c>
      <c r="Q16" s="1" t="s">
        <v>50</v>
      </c>
      <c r="R16" s="1">
        <v>2.0</v>
      </c>
      <c r="S16" s="1"/>
    </row>
    <row r="17">
      <c r="A17" s="1" t="s">
        <v>81</v>
      </c>
      <c r="B17" s="1" t="s">
        <v>82</v>
      </c>
      <c r="C17" s="1" t="s">
        <v>21</v>
      </c>
      <c r="E17" s="1">
        <v>28.5666962</v>
      </c>
      <c r="F17" s="1">
        <v>77.3214364</v>
      </c>
      <c r="G17" s="1" t="s">
        <v>54</v>
      </c>
      <c r="H17" s="1" t="s">
        <v>55</v>
      </c>
      <c r="J17" s="1" t="s">
        <v>25</v>
      </c>
      <c r="K17" s="1" t="s">
        <v>26</v>
      </c>
      <c r="L17" s="1" t="s">
        <v>27</v>
      </c>
      <c r="N17" s="1" t="s">
        <v>28</v>
      </c>
      <c r="O17" s="1" t="s">
        <v>29</v>
      </c>
      <c r="P17" s="1" t="s">
        <v>83</v>
      </c>
      <c r="Q17" s="1" t="s">
        <v>84</v>
      </c>
      <c r="R17" s="1">
        <v>9.0</v>
      </c>
      <c r="S17" s="1"/>
    </row>
    <row r="18">
      <c r="A18" s="1" t="s">
        <v>85</v>
      </c>
      <c r="B18" s="1" t="s">
        <v>86</v>
      </c>
      <c r="C18" s="1" t="s">
        <v>21</v>
      </c>
      <c r="E18" s="1">
        <v>28.5745886</v>
      </c>
      <c r="F18" s="1">
        <v>77.3535435</v>
      </c>
      <c r="G18" s="1" t="s">
        <v>54</v>
      </c>
      <c r="H18" s="1" t="s">
        <v>55</v>
      </c>
      <c r="J18" s="1" t="s">
        <v>44</v>
      </c>
      <c r="K18" s="1" t="s">
        <v>26</v>
      </c>
      <c r="L18" s="1" t="s">
        <v>27</v>
      </c>
      <c r="N18" s="1" t="s">
        <v>28</v>
      </c>
      <c r="O18" s="1" t="s">
        <v>29</v>
      </c>
      <c r="P18" s="1" t="s">
        <v>49</v>
      </c>
      <c r="Q18" s="1" t="s">
        <v>50</v>
      </c>
      <c r="R18" s="1">
        <v>5.0</v>
      </c>
      <c r="S18" s="1"/>
    </row>
    <row r="19">
      <c r="A19" s="1" t="s">
        <v>87</v>
      </c>
      <c r="B19" s="1" t="s">
        <v>88</v>
      </c>
      <c r="C19" s="1" t="s">
        <v>21</v>
      </c>
      <c r="E19" s="1">
        <v>28.4775224</v>
      </c>
      <c r="F19" s="1">
        <v>77.5235599</v>
      </c>
      <c r="G19" s="1" t="s">
        <v>54</v>
      </c>
      <c r="H19" s="1" t="s">
        <v>55</v>
      </c>
      <c r="J19" s="1" t="s">
        <v>56</v>
      </c>
      <c r="K19" s="1" t="s">
        <v>26</v>
      </c>
      <c r="L19" s="1" t="s">
        <v>27</v>
      </c>
      <c r="N19" s="1" t="s">
        <v>28</v>
      </c>
      <c r="O19" s="1" t="s">
        <v>57</v>
      </c>
      <c r="P19" s="1" t="s">
        <v>49</v>
      </c>
      <c r="Q19" s="1" t="s">
        <v>50</v>
      </c>
      <c r="R19" s="1">
        <v>19.0</v>
      </c>
      <c r="S19" s="1"/>
    </row>
    <row r="20">
      <c r="A20" s="1" t="s">
        <v>89</v>
      </c>
      <c r="B20" s="1" t="s">
        <v>90</v>
      </c>
      <c r="C20" s="1" t="s">
        <v>21</v>
      </c>
      <c r="E20" s="1">
        <v>28.4637632</v>
      </c>
      <c r="F20" s="1">
        <v>77.5072922</v>
      </c>
      <c r="G20" s="1" t="s">
        <v>54</v>
      </c>
      <c r="H20" s="1" t="s">
        <v>55</v>
      </c>
      <c r="J20" s="1" t="s">
        <v>56</v>
      </c>
      <c r="K20" s="1" t="s">
        <v>26</v>
      </c>
      <c r="L20" s="1" t="s">
        <v>27</v>
      </c>
      <c r="N20" s="1" t="s">
        <v>28</v>
      </c>
      <c r="O20" s="1" t="s">
        <v>57</v>
      </c>
      <c r="P20" s="1" t="s">
        <v>49</v>
      </c>
      <c r="Q20" s="1" t="s">
        <v>50</v>
      </c>
      <c r="R20" s="1">
        <v>17.0</v>
      </c>
      <c r="S20" s="1"/>
    </row>
    <row r="21" ht="15.75" customHeight="1">
      <c r="A21" s="1" t="s">
        <v>91</v>
      </c>
      <c r="B21" s="1" t="s">
        <v>92</v>
      </c>
      <c r="C21" s="1" t="s">
        <v>21</v>
      </c>
      <c r="E21" s="1">
        <v>28.5947071</v>
      </c>
      <c r="F21" s="1">
        <v>77.3967511</v>
      </c>
      <c r="G21" s="1" t="s">
        <v>54</v>
      </c>
      <c r="H21" s="1" t="s">
        <v>55</v>
      </c>
      <c r="J21" s="1" t="s">
        <v>56</v>
      </c>
      <c r="K21" s="1" t="s">
        <v>26</v>
      </c>
      <c r="L21" s="1" t="s">
        <v>27</v>
      </c>
      <c r="N21" s="1" t="s">
        <v>28</v>
      </c>
      <c r="O21" s="1" t="s">
        <v>57</v>
      </c>
      <c r="P21" s="1" t="s">
        <v>49</v>
      </c>
      <c r="Q21" s="1" t="s">
        <v>50</v>
      </c>
      <c r="R21" s="1">
        <v>8.0</v>
      </c>
      <c r="S21" s="1"/>
    </row>
    <row r="22" ht="15.75" customHeight="1">
      <c r="A22" s="1" t="s">
        <v>93</v>
      </c>
      <c r="B22" s="1" t="s">
        <v>94</v>
      </c>
      <c r="C22" s="1" t="s">
        <v>21</v>
      </c>
      <c r="E22" s="1">
        <v>28.457025</v>
      </c>
      <c r="F22" s="1">
        <v>77.49931699999999</v>
      </c>
      <c r="G22" s="1" t="s">
        <v>54</v>
      </c>
      <c r="H22" s="1" t="s">
        <v>55</v>
      </c>
      <c r="J22" s="1" t="s">
        <v>56</v>
      </c>
      <c r="K22" s="1" t="s">
        <v>26</v>
      </c>
      <c r="L22" s="1" t="s">
        <v>27</v>
      </c>
      <c r="N22" s="1" t="s">
        <v>28</v>
      </c>
      <c r="O22" s="1" t="s">
        <v>57</v>
      </c>
      <c r="P22" s="1" t="s">
        <v>49</v>
      </c>
      <c r="Q22" s="1" t="s">
        <v>50</v>
      </c>
      <c r="R22" s="1">
        <v>13.0</v>
      </c>
      <c r="S22" s="1"/>
    </row>
    <row r="23" ht="15.75" customHeight="1">
      <c r="A23" s="1" t="s">
        <v>95</v>
      </c>
      <c r="B23" s="1" t="s">
        <v>96</v>
      </c>
      <c r="C23" s="1" t="s">
        <v>43</v>
      </c>
      <c r="E23" s="1">
        <v>28.5756227</v>
      </c>
      <c r="F23" s="1">
        <v>77.4445198</v>
      </c>
      <c r="G23" s="1" t="s">
        <v>97</v>
      </c>
      <c r="H23" s="1" t="s">
        <v>98</v>
      </c>
      <c r="J23" s="1" t="s">
        <v>44</v>
      </c>
      <c r="K23" s="1" t="s">
        <v>99</v>
      </c>
      <c r="L23" s="1" t="s">
        <v>27</v>
      </c>
      <c r="N23" s="1" t="s">
        <v>28</v>
      </c>
      <c r="O23" s="1" t="s">
        <v>29</v>
      </c>
      <c r="P23" s="1" t="s">
        <v>100</v>
      </c>
      <c r="Q23" s="1" t="s">
        <v>101</v>
      </c>
      <c r="R23" s="1">
        <v>11.0</v>
      </c>
      <c r="S23" s="1"/>
    </row>
    <row r="24" ht="15.75" customHeight="1">
      <c r="A24" s="1" t="s">
        <v>102</v>
      </c>
      <c r="B24" s="1" t="s">
        <v>103</v>
      </c>
      <c r="C24" s="1" t="s">
        <v>38</v>
      </c>
      <c r="E24" s="1">
        <v>28.677627</v>
      </c>
      <c r="F24" s="1">
        <v>77.42597839999999</v>
      </c>
      <c r="G24" s="1" t="s">
        <v>97</v>
      </c>
      <c r="H24" s="1" t="s">
        <v>98</v>
      </c>
      <c r="J24" s="1" t="s">
        <v>25</v>
      </c>
      <c r="K24" s="1" t="s">
        <v>99</v>
      </c>
      <c r="L24" s="1" t="s">
        <v>27</v>
      </c>
      <c r="N24" s="1" t="s">
        <v>28</v>
      </c>
      <c r="O24" s="1" t="s">
        <v>29</v>
      </c>
      <c r="P24" s="1" t="s">
        <v>100</v>
      </c>
      <c r="Q24" s="1" t="s">
        <v>101</v>
      </c>
      <c r="R24" s="1">
        <v>3.0</v>
      </c>
      <c r="S24" s="1"/>
    </row>
    <row r="25" ht="15.75" customHeight="1">
      <c r="A25" s="1" t="s">
        <v>104</v>
      </c>
      <c r="B25" s="1" t="s">
        <v>105</v>
      </c>
      <c r="C25" s="1" t="s">
        <v>106</v>
      </c>
      <c r="E25" s="1">
        <v>28.9929826</v>
      </c>
      <c r="F25" s="1">
        <v>77.7056782</v>
      </c>
      <c r="G25" s="1" t="s">
        <v>97</v>
      </c>
      <c r="H25" s="1" t="s">
        <v>98</v>
      </c>
      <c r="J25" s="1" t="s">
        <v>25</v>
      </c>
      <c r="K25" s="1" t="s">
        <v>99</v>
      </c>
      <c r="L25" s="1" t="s">
        <v>27</v>
      </c>
      <c r="N25" s="1" t="s">
        <v>28</v>
      </c>
      <c r="O25" s="1" t="s">
        <v>29</v>
      </c>
      <c r="P25" s="1" t="s">
        <v>58</v>
      </c>
      <c r="Q25" s="1" t="s">
        <v>59</v>
      </c>
      <c r="R25" s="1">
        <v>3.0</v>
      </c>
      <c r="S25" s="1"/>
    </row>
    <row r="26" ht="15.75" customHeight="1">
      <c r="A26" s="1" t="s">
        <v>107</v>
      </c>
      <c r="B26" s="1" t="s">
        <v>108</v>
      </c>
      <c r="C26" s="1" t="s">
        <v>106</v>
      </c>
      <c r="E26" s="1">
        <v>29.0246378</v>
      </c>
      <c r="F26" s="1">
        <v>77.68616800000001</v>
      </c>
      <c r="G26" s="1" t="s">
        <v>97</v>
      </c>
      <c r="H26" s="1" t="s">
        <v>98</v>
      </c>
      <c r="J26" s="1" t="s">
        <v>25</v>
      </c>
      <c r="P26" s="1" t="s">
        <v>58</v>
      </c>
      <c r="Q26" s="1" t="s">
        <v>59</v>
      </c>
      <c r="R26" s="1">
        <v>2.0</v>
      </c>
      <c r="S26" s="1"/>
    </row>
    <row r="27" ht="15.75" customHeight="1">
      <c r="A27" s="1" t="s">
        <v>109</v>
      </c>
      <c r="B27" s="1" t="s">
        <v>110</v>
      </c>
      <c r="C27" s="1" t="s">
        <v>21</v>
      </c>
      <c r="E27" s="1">
        <v>28.5376327</v>
      </c>
      <c r="F27" s="1">
        <v>77.3866948</v>
      </c>
      <c r="G27" s="1" t="s">
        <v>111</v>
      </c>
      <c r="H27" s="1" t="s">
        <v>112</v>
      </c>
      <c r="I27" s="1" t="s">
        <v>24</v>
      </c>
      <c r="J27" s="1" t="s">
        <v>25</v>
      </c>
      <c r="K27" s="1" t="s">
        <v>99</v>
      </c>
      <c r="L27" s="1" t="s">
        <v>27</v>
      </c>
      <c r="N27" s="1" t="s">
        <v>28</v>
      </c>
      <c r="O27" s="1" t="s">
        <v>29</v>
      </c>
      <c r="P27" s="1" t="s">
        <v>49</v>
      </c>
      <c r="Q27" s="1" t="s">
        <v>50</v>
      </c>
      <c r="R27" s="1">
        <v>7.0</v>
      </c>
      <c r="S27" s="1"/>
    </row>
    <row r="28" ht="15.75" customHeight="1">
      <c r="A28" s="1" t="s">
        <v>113</v>
      </c>
      <c r="B28" s="1" t="s">
        <v>114</v>
      </c>
      <c r="C28" s="1" t="s">
        <v>115</v>
      </c>
      <c r="E28" s="1">
        <v>31.6339793</v>
      </c>
      <c r="F28" s="1">
        <v>74.8722642</v>
      </c>
      <c r="G28" s="1" t="s">
        <v>97</v>
      </c>
      <c r="H28" s="1" t="s">
        <v>98</v>
      </c>
      <c r="J28" s="1" t="s">
        <v>56</v>
      </c>
      <c r="R28" s="1">
        <v>1.0</v>
      </c>
      <c r="S28" s="1"/>
    </row>
    <row r="29" ht="15.75" customHeight="1">
      <c r="A29" s="1" t="s">
        <v>116</v>
      </c>
      <c r="B29" s="1" t="s">
        <v>117</v>
      </c>
      <c r="C29" s="1" t="s">
        <v>21</v>
      </c>
      <c r="E29" s="1">
        <v>28.6069478</v>
      </c>
      <c r="F29" s="1">
        <v>77.37971050000002</v>
      </c>
      <c r="G29" s="1" t="s">
        <v>97</v>
      </c>
      <c r="H29" s="1" t="s">
        <v>98</v>
      </c>
      <c r="J29" s="1" t="s">
        <v>118</v>
      </c>
      <c r="K29" s="1" t="s">
        <v>99</v>
      </c>
      <c r="L29" s="1" t="s">
        <v>27</v>
      </c>
      <c r="N29" s="1" t="s">
        <v>28</v>
      </c>
      <c r="O29" s="1" t="s">
        <v>29</v>
      </c>
      <c r="P29" s="1" t="s">
        <v>49</v>
      </c>
      <c r="Q29" s="1" t="s">
        <v>50</v>
      </c>
      <c r="R29" s="1">
        <v>3.0</v>
      </c>
      <c r="S29" s="1"/>
    </row>
    <row r="30" ht="15.75" customHeight="1">
      <c r="A30" s="1" t="s">
        <v>119</v>
      </c>
      <c r="B30" s="1" t="s">
        <v>120</v>
      </c>
      <c r="C30" s="1" t="s">
        <v>21</v>
      </c>
      <c r="E30" s="1">
        <v>28.6461156</v>
      </c>
      <c r="F30" s="1">
        <v>77.4173556</v>
      </c>
      <c r="G30" s="1" t="s">
        <v>97</v>
      </c>
      <c r="H30" s="1" t="s">
        <v>98</v>
      </c>
      <c r="J30" s="1" t="s">
        <v>118</v>
      </c>
      <c r="K30" s="1" t="s">
        <v>99</v>
      </c>
      <c r="L30" s="1" t="s">
        <v>27</v>
      </c>
      <c r="N30" s="1" t="s">
        <v>28</v>
      </c>
      <c r="O30" s="1" t="s">
        <v>29</v>
      </c>
      <c r="P30" s="1" t="s">
        <v>49</v>
      </c>
      <c r="Q30" s="1" t="s">
        <v>50</v>
      </c>
      <c r="R30" s="1">
        <v>1.0</v>
      </c>
      <c r="S30" s="1"/>
    </row>
    <row r="31" ht="15.75" customHeight="1">
      <c r="A31" s="1" t="s">
        <v>121</v>
      </c>
      <c r="B31" s="1" t="s">
        <v>122</v>
      </c>
      <c r="C31" s="1" t="s">
        <v>115</v>
      </c>
      <c r="E31" s="1">
        <v>31.6298509</v>
      </c>
      <c r="F31" s="1">
        <v>74.8755779</v>
      </c>
      <c r="G31" s="1" t="s">
        <v>97</v>
      </c>
      <c r="H31" s="1" t="s">
        <v>98</v>
      </c>
      <c r="J31" s="1" t="s">
        <v>25</v>
      </c>
      <c r="K31" s="1" t="s">
        <v>99</v>
      </c>
      <c r="L31" s="1" t="s">
        <v>27</v>
      </c>
      <c r="N31" s="1" t="s">
        <v>123</v>
      </c>
      <c r="O31" s="1" t="s">
        <v>29</v>
      </c>
      <c r="R31" s="1">
        <v>1.0</v>
      </c>
      <c r="S31" s="1"/>
    </row>
    <row r="32" ht="15.75" customHeight="1">
      <c r="A32" s="1" t="s">
        <v>124</v>
      </c>
      <c r="B32" s="1" t="s">
        <v>125</v>
      </c>
      <c r="C32" s="1" t="s">
        <v>38</v>
      </c>
      <c r="E32" s="1">
        <v>28.6886212</v>
      </c>
      <c r="F32" s="1">
        <v>77.5485477</v>
      </c>
      <c r="G32" s="1" t="s">
        <v>97</v>
      </c>
      <c r="H32" s="1" t="s">
        <v>98</v>
      </c>
      <c r="J32" s="1" t="s">
        <v>44</v>
      </c>
      <c r="P32" s="1" t="s">
        <v>49</v>
      </c>
      <c r="Q32" s="1" t="s">
        <v>50</v>
      </c>
      <c r="R32" s="1">
        <v>1.0</v>
      </c>
      <c r="S32" s="1"/>
    </row>
    <row r="33" ht="15.75" customHeight="1">
      <c r="A33" s="1" t="s">
        <v>126</v>
      </c>
      <c r="B33" s="1" t="s">
        <v>127</v>
      </c>
      <c r="C33" s="1" t="s">
        <v>38</v>
      </c>
      <c r="E33" s="1">
        <v>28.5466416</v>
      </c>
      <c r="F33" s="1">
        <v>77.5457083</v>
      </c>
      <c r="G33" s="1" t="s">
        <v>97</v>
      </c>
      <c r="H33" s="1" t="s">
        <v>98</v>
      </c>
      <c r="J33" s="1" t="s">
        <v>44</v>
      </c>
      <c r="K33" s="1" t="s">
        <v>99</v>
      </c>
      <c r="L33" s="1" t="s">
        <v>27</v>
      </c>
      <c r="N33" s="1" t="s">
        <v>28</v>
      </c>
      <c r="O33" s="1" t="s">
        <v>29</v>
      </c>
      <c r="P33" s="1" t="s">
        <v>49</v>
      </c>
      <c r="Q33" s="1" t="s">
        <v>50</v>
      </c>
      <c r="R33" s="1">
        <v>3.0</v>
      </c>
      <c r="S33" s="1"/>
    </row>
    <row r="34" ht="15.75" customHeight="1">
      <c r="A34" s="1" t="s">
        <v>128</v>
      </c>
      <c r="B34" s="1" t="s">
        <v>129</v>
      </c>
      <c r="C34" s="1" t="s">
        <v>38</v>
      </c>
      <c r="E34" s="1">
        <v>28.6676911</v>
      </c>
      <c r="F34" s="1">
        <v>77.4275454</v>
      </c>
      <c r="G34" s="1" t="s">
        <v>97</v>
      </c>
      <c r="H34" s="1" t="s">
        <v>98</v>
      </c>
      <c r="J34" s="1" t="s">
        <v>56</v>
      </c>
      <c r="P34" s="1" t="s">
        <v>49</v>
      </c>
      <c r="Q34" s="1" t="s">
        <v>50</v>
      </c>
      <c r="R34" s="1">
        <v>1.0</v>
      </c>
      <c r="S34" s="1"/>
    </row>
    <row r="35" ht="15.75" customHeight="1">
      <c r="A35" s="1" t="s">
        <v>130</v>
      </c>
      <c r="B35" s="1" t="s">
        <v>131</v>
      </c>
      <c r="C35" s="1" t="s">
        <v>43</v>
      </c>
      <c r="E35" s="1">
        <v>28.5127109</v>
      </c>
      <c r="F35" s="1">
        <v>77.4772536</v>
      </c>
      <c r="G35" s="1" t="s">
        <v>97</v>
      </c>
      <c r="H35" s="1" t="s">
        <v>98</v>
      </c>
      <c r="J35" s="1" t="s">
        <v>44</v>
      </c>
      <c r="P35" s="1" t="s">
        <v>49</v>
      </c>
      <c r="Q35" s="1" t="s">
        <v>50</v>
      </c>
      <c r="R35" s="1">
        <v>2.0</v>
      </c>
      <c r="S35" s="1"/>
    </row>
    <row r="36" ht="15.75" customHeight="1">
      <c r="A36" s="1" t="s">
        <v>132</v>
      </c>
      <c r="B36" s="1" t="s">
        <v>133</v>
      </c>
      <c r="C36" s="1" t="s">
        <v>106</v>
      </c>
      <c r="E36" s="1">
        <v>28.9856958</v>
      </c>
      <c r="F36" s="1">
        <v>77.6698464</v>
      </c>
      <c r="G36" s="1" t="s">
        <v>97</v>
      </c>
      <c r="H36" s="1" t="s">
        <v>98</v>
      </c>
      <c r="J36" s="1" t="s">
        <v>44</v>
      </c>
      <c r="K36" s="1" t="s">
        <v>99</v>
      </c>
      <c r="L36" s="1" t="s">
        <v>27</v>
      </c>
      <c r="N36" s="1" t="s">
        <v>28</v>
      </c>
      <c r="O36" s="1" t="s">
        <v>29</v>
      </c>
      <c r="P36" s="1" t="s">
        <v>58</v>
      </c>
      <c r="Q36" s="1" t="s">
        <v>59</v>
      </c>
      <c r="R36" s="1">
        <v>1.0</v>
      </c>
      <c r="S36" s="1"/>
    </row>
    <row r="37" ht="15.75" customHeight="1">
      <c r="A37" s="1" t="s">
        <v>134</v>
      </c>
      <c r="B37" s="1" t="s">
        <v>135</v>
      </c>
      <c r="C37" s="1" t="s">
        <v>21</v>
      </c>
      <c r="E37" s="1">
        <v>28.6173478</v>
      </c>
      <c r="F37" s="1">
        <v>77.3529964</v>
      </c>
      <c r="G37" s="1" t="s">
        <v>97</v>
      </c>
      <c r="H37" s="1" t="s">
        <v>98</v>
      </c>
      <c r="J37" s="1" t="s">
        <v>56</v>
      </c>
      <c r="K37" s="1" t="s">
        <v>99</v>
      </c>
      <c r="L37" s="1" t="s">
        <v>27</v>
      </c>
      <c r="N37" s="1" t="s">
        <v>28</v>
      </c>
      <c r="O37" s="1" t="s">
        <v>29</v>
      </c>
      <c r="P37" s="1" t="s">
        <v>49</v>
      </c>
      <c r="Q37" s="1" t="s">
        <v>50</v>
      </c>
      <c r="R37" s="1">
        <v>2.0</v>
      </c>
      <c r="S37" s="1"/>
    </row>
    <row r="38" ht="15.75" customHeight="1">
      <c r="A38" s="1" t="s">
        <v>136</v>
      </c>
      <c r="B38" s="1" t="s">
        <v>137</v>
      </c>
      <c r="C38" s="1" t="s">
        <v>115</v>
      </c>
      <c r="E38" s="1">
        <v>31.6280579</v>
      </c>
      <c r="F38" s="1">
        <v>74.8748492</v>
      </c>
      <c r="G38" s="1" t="s">
        <v>97</v>
      </c>
      <c r="H38" s="1" t="s">
        <v>98</v>
      </c>
      <c r="J38" s="1" t="s">
        <v>118</v>
      </c>
      <c r="R38" s="1">
        <v>2.0</v>
      </c>
      <c r="S38" s="1"/>
    </row>
    <row r="39" ht="15.75" customHeight="1">
      <c r="A39" s="1" t="s">
        <v>138</v>
      </c>
      <c r="B39" s="1" t="s">
        <v>139</v>
      </c>
      <c r="C39" s="1" t="s">
        <v>106</v>
      </c>
      <c r="E39" s="1">
        <v>28.9717109</v>
      </c>
      <c r="F39" s="1">
        <v>77.66911970000001</v>
      </c>
      <c r="G39" s="1" t="s">
        <v>97</v>
      </c>
      <c r="H39" s="1" t="s">
        <v>98</v>
      </c>
      <c r="J39" s="1" t="s">
        <v>56</v>
      </c>
      <c r="K39" s="1" t="s">
        <v>99</v>
      </c>
      <c r="L39" s="1" t="s">
        <v>27</v>
      </c>
      <c r="N39" s="1" t="s">
        <v>28</v>
      </c>
      <c r="O39" s="1" t="s">
        <v>29</v>
      </c>
      <c r="P39" s="1" t="s">
        <v>58</v>
      </c>
      <c r="Q39" s="1" t="s">
        <v>59</v>
      </c>
      <c r="R39" s="1">
        <v>1.0</v>
      </c>
      <c r="S39" s="1"/>
    </row>
    <row r="40" ht="15.75" customHeight="1">
      <c r="A40" s="1" t="s">
        <v>140</v>
      </c>
      <c r="B40" s="1" t="s">
        <v>141</v>
      </c>
      <c r="C40" s="1" t="s">
        <v>142</v>
      </c>
      <c r="E40" s="1">
        <v>18.9655573</v>
      </c>
      <c r="F40" s="1">
        <v>73.1946573</v>
      </c>
      <c r="G40" s="1" t="s">
        <v>22</v>
      </c>
      <c r="H40" s="1" t="s">
        <v>23</v>
      </c>
      <c r="I40" s="1" t="s">
        <v>24</v>
      </c>
      <c r="J40" s="1" t="s">
        <v>25</v>
      </c>
      <c r="K40" s="1" t="s">
        <v>26</v>
      </c>
      <c r="L40" s="1" t="s">
        <v>27</v>
      </c>
      <c r="N40" s="1" t="s">
        <v>143</v>
      </c>
      <c r="O40" s="1" t="s">
        <v>29</v>
      </c>
      <c r="P40" s="1" t="s">
        <v>144</v>
      </c>
      <c r="Q40" s="1" t="s">
        <v>145</v>
      </c>
      <c r="R40" s="1">
        <v>7.0</v>
      </c>
      <c r="S40" s="1"/>
    </row>
    <row r="41" ht="15.75" customHeight="1">
      <c r="A41" s="1" t="s">
        <v>146</v>
      </c>
      <c r="B41" s="1" t="s">
        <v>147</v>
      </c>
      <c r="C41" s="1" t="s">
        <v>148</v>
      </c>
      <c r="E41" s="1">
        <v>19.2290548</v>
      </c>
      <c r="F41" s="1">
        <v>72.85740249999999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27</v>
      </c>
      <c r="N41" s="1" t="s">
        <v>143</v>
      </c>
      <c r="O41" s="1" t="s">
        <v>29</v>
      </c>
      <c r="P41" s="1" t="s">
        <v>144</v>
      </c>
      <c r="Q41" s="1" t="s">
        <v>145</v>
      </c>
      <c r="R41" s="1">
        <v>10.0</v>
      </c>
      <c r="S41" s="1"/>
    </row>
    <row r="42" ht="15.75" customHeight="1">
      <c r="A42" s="1" t="s">
        <v>149</v>
      </c>
      <c r="B42" s="1" t="s">
        <v>150</v>
      </c>
      <c r="C42" s="1" t="s">
        <v>151</v>
      </c>
      <c r="E42" s="1">
        <v>18.6522806</v>
      </c>
      <c r="F42" s="1">
        <v>73.83997169999999</v>
      </c>
      <c r="G42" s="1" t="s">
        <v>22</v>
      </c>
      <c r="H42" s="1" t="s">
        <v>23</v>
      </c>
      <c r="I42" s="1" t="s">
        <v>24</v>
      </c>
      <c r="J42" s="1" t="s">
        <v>25</v>
      </c>
      <c r="K42" s="1" t="s">
        <v>26</v>
      </c>
      <c r="L42" s="1" t="s">
        <v>27</v>
      </c>
      <c r="N42" s="1" t="s">
        <v>143</v>
      </c>
      <c r="O42" s="1" t="s">
        <v>29</v>
      </c>
      <c r="P42" s="1" t="s">
        <v>152</v>
      </c>
      <c r="Q42" s="1" t="s">
        <v>153</v>
      </c>
      <c r="R42" s="1">
        <v>14.0</v>
      </c>
      <c r="S42" s="1"/>
    </row>
    <row r="43" ht="15.75" customHeight="1">
      <c r="A43" s="1" t="s">
        <v>154</v>
      </c>
      <c r="B43" s="1" t="s">
        <v>155</v>
      </c>
      <c r="C43" s="1" t="s">
        <v>151</v>
      </c>
      <c r="E43" s="1">
        <v>18.5336359</v>
      </c>
      <c r="F43" s="1">
        <v>73.829622</v>
      </c>
      <c r="G43" s="1" t="s">
        <v>22</v>
      </c>
      <c r="H43" s="1" t="s">
        <v>23</v>
      </c>
      <c r="I43" s="1" t="s">
        <v>24</v>
      </c>
      <c r="J43" s="1" t="s">
        <v>44</v>
      </c>
      <c r="K43" s="1" t="s">
        <v>26</v>
      </c>
      <c r="L43" s="1" t="s">
        <v>27</v>
      </c>
      <c r="N43" s="1" t="s">
        <v>143</v>
      </c>
      <c r="O43" s="1" t="s">
        <v>29</v>
      </c>
      <c r="P43" s="1" t="s">
        <v>152</v>
      </c>
      <c r="Q43" s="1" t="s">
        <v>153</v>
      </c>
      <c r="R43" s="1">
        <v>11.0</v>
      </c>
      <c r="S43" s="1"/>
    </row>
    <row r="44" ht="15.75" customHeight="1">
      <c r="A44" s="1" t="s">
        <v>156</v>
      </c>
      <c r="B44" s="1" t="s">
        <v>157</v>
      </c>
      <c r="C44" s="1" t="s">
        <v>151</v>
      </c>
      <c r="E44" s="1">
        <v>18.5285053</v>
      </c>
      <c r="F44" s="1">
        <v>73.8744122</v>
      </c>
      <c r="G44" s="1" t="s">
        <v>22</v>
      </c>
      <c r="H44" s="1" t="s">
        <v>23</v>
      </c>
      <c r="I44" s="1" t="s">
        <v>24</v>
      </c>
      <c r="J44" s="1" t="s">
        <v>25</v>
      </c>
      <c r="K44" s="1" t="s">
        <v>26</v>
      </c>
      <c r="L44" s="1" t="s">
        <v>27</v>
      </c>
      <c r="N44" s="1" t="s">
        <v>143</v>
      </c>
      <c r="O44" s="1" t="s">
        <v>29</v>
      </c>
      <c r="P44" s="1" t="s">
        <v>152</v>
      </c>
      <c r="Q44" s="1" t="s">
        <v>153</v>
      </c>
      <c r="R44" s="1">
        <v>8.0</v>
      </c>
      <c r="S44" s="1"/>
    </row>
    <row r="45" ht="15.75" customHeight="1">
      <c r="A45" s="1" t="s">
        <v>158</v>
      </c>
      <c r="B45" s="1" t="s">
        <v>159</v>
      </c>
      <c r="C45" s="1" t="s">
        <v>142</v>
      </c>
      <c r="E45" s="1">
        <v>19.262564</v>
      </c>
      <c r="F45" s="1">
        <v>72.96373179999999</v>
      </c>
      <c r="G45" s="1" t="s">
        <v>22</v>
      </c>
      <c r="H45" s="1" t="s">
        <v>23</v>
      </c>
      <c r="I45" s="1" t="s">
        <v>24</v>
      </c>
      <c r="J45" s="1" t="s">
        <v>25</v>
      </c>
      <c r="K45" s="1" t="s">
        <v>26</v>
      </c>
      <c r="L45" s="1" t="s">
        <v>27</v>
      </c>
      <c r="N45" s="1" t="s">
        <v>143</v>
      </c>
      <c r="O45" s="1" t="s">
        <v>29</v>
      </c>
      <c r="P45" s="1" t="s">
        <v>144</v>
      </c>
      <c r="Q45" s="1" t="s">
        <v>145</v>
      </c>
      <c r="R45" s="1">
        <v>17.0</v>
      </c>
      <c r="S45" s="1"/>
    </row>
    <row r="46" ht="15.75" customHeight="1">
      <c r="A46" s="1" t="s">
        <v>160</v>
      </c>
      <c r="B46" s="1" t="s">
        <v>161</v>
      </c>
      <c r="C46" s="1" t="s">
        <v>162</v>
      </c>
      <c r="E46" s="1">
        <v>28.4414105</v>
      </c>
      <c r="F46" s="1">
        <v>77.3029358</v>
      </c>
      <c r="G46" s="1" t="s">
        <v>22</v>
      </c>
      <c r="H46" s="1" t="s">
        <v>23</v>
      </c>
      <c r="I46" s="1" t="s">
        <v>24</v>
      </c>
      <c r="J46" s="1" t="s">
        <v>44</v>
      </c>
      <c r="K46" s="1" t="s">
        <v>26</v>
      </c>
      <c r="L46" s="1" t="s">
        <v>27</v>
      </c>
      <c r="N46" s="1" t="s">
        <v>163</v>
      </c>
      <c r="O46" s="1" t="s">
        <v>29</v>
      </c>
      <c r="P46" s="1" t="s">
        <v>164</v>
      </c>
      <c r="Q46" s="1" t="s">
        <v>165</v>
      </c>
      <c r="R46" s="1">
        <v>8.0</v>
      </c>
      <c r="S46" s="1"/>
    </row>
    <row r="47" ht="15.75" customHeight="1">
      <c r="A47" s="1" t="s">
        <v>166</v>
      </c>
      <c r="B47" s="1" t="s">
        <v>167</v>
      </c>
      <c r="C47" s="1" t="s">
        <v>162</v>
      </c>
      <c r="E47" s="1">
        <v>28.4094338</v>
      </c>
      <c r="F47" s="1">
        <v>77.3178807</v>
      </c>
      <c r="G47" s="1" t="s">
        <v>22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27</v>
      </c>
      <c r="N47" s="1" t="s">
        <v>163</v>
      </c>
      <c r="O47" s="1" t="s">
        <v>29</v>
      </c>
      <c r="P47" s="1" t="s">
        <v>164</v>
      </c>
      <c r="Q47" s="1" t="s">
        <v>165</v>
      </c>
      <c r="R47" s="1">
        <v>7.0</v>
      </c>
      <c r="S47" s="1"/>
    </row>
    <row r="48" ht="15.75" customHeight="1">
      <c r="A48" s="1" t="s">
        <v>168</v>
      </c>
      <c r="B48" s="1" t="s">
        <v>169</v>
      </c>
      <c r="C48" s="1" t="s">
        <v>151</v>
      </c>
      <c r="E48" s="1">
        <v>18.5633721</v>
      </c>
      <c r="F48" s="1">
        <v>73.9171851</v>
      </c>
      <c r="G48" s="1" t="s">
        <v>22</v>
      </c>
      <c r="H48" s="1" t="s">
        <v>23</v>
      </c>
      <c r="I48" s="1" t="s">
        <v>24</v>
      </c>
      <c r="J48" s="1" t="s">
        <v>25</v>
      </c>
      <c r="K48" s="1" t="s">
        <v>26</v>
      </c>
      <c r="L48" s="1" t="s">
        <v>27</v>
      </c>
      <c r="N48" s="1" t="s">
        <v>143</v>
      </c>
      <c r="O48" s="1" t="s">
        <v>29</v>
      </c>
      <c r="P48" s="1" t="s">
        <v>152</v>
      </c>
      <c r="Q48" s="1" t="s">
        <v>153</v>
      </c>
      <c r="R48" s="1">
        <v>8.0</v>
      </c>
      <c r="S48" s="1"/>
    </row>
    <row r="49" ht="15.75" customHeight="1">
      <c r="A49" s="1" t="s">
        <v>170</v>
      </c>
      <c r="B49" s="1" t="s">
        <v>171</v>
      </c>
      <c r="C49" s="1" t="s">
        <v>151</v>
      </c>
      <c r="E49" s="1">
        <v>18.5088443</v>
      </c>
      <c r="F49" s="1">
        <v>73.9182308</v>
      </c>
      <c r="G49" s="1" t="s">
        <v>22</v>
      </c>
      <c r="H49" s="1" t="s">
        <v>23</v>
      </c>
      <c r="I49" s="1" t="s">
        <v>24</v>
      </c>
      <c r="J49" s="1" t="s">
        <v>44</v>
      </c>
      <c r="K49" s="1" t="s">
        <v>26</v>
      </c>
      <c r="L49" s="1" t="s">
        <v>27</v>
      </c>
      <c r="N49" s="1" t="s">
        <v>143</v>
      </c>
      <c r="O49" s="1" t="s">
        <v>29</v>
      </c>
      <c r="P49" s="1" t="s">
        <v>152</v>
      </c>
      <c r="Q49" s="1" t="s">
        <v>153</v>
      </c>
      <c r="R49" s="1">
        <v>16.0</v>
      </c>
      <c r="S49" s="1"/>
    </row>
    <row r="50" ht="15.75" customHeight="1">
      <c r="A50" s="1" t="s">
        <v>172</v>
      </c>
      <c r="B50" s="1" t="s">
        <v>173</v>
      </c>
      <c r="C50" s="1" t="s">
        <v>174</v>
      </c>
      <c r="E50" s="1">
        <v>28.6456877</v>
      </c>
      <c r="F50" s="1">
        <v>77.12002059999999</v>
      </c>
      <c r="G50" s="1" t="s">
        <v>22</v>
      </c>
      <c r="H50" s="1" t="s">
        <v>23</v>
      </c>
      <c r="I50" s="1" t="s">
        <v>24</v>
      </c>
      <c r="J50" s="1" t="s">
        <v>25</v>
      </c>
      <c r="K50" s="1" t="s">
        <v>26</v>
      </c>
      <c r="L50" s="1" t="s">
        <v>27</v>
      </c>
      <c r="N50" s="1" t="s">
        <v>174</v>
      </c>
      <c r="O50" s="1" t="s">
        <v>29</v>
      </c>
      <c r="P50" s="1" t="s">
        <v>175</v>
      </c>
      <c r="Q50" s="1" t="s">
        <v>176</v>
      </c>
      <c r="R50" s="1">
        <v>11.0</v>
      </c>
      <c r="S50" s="1"/>
    </row>
    <row r="51" ht="15.75" customHeight="1">
      <c r="A51" s="1" t="s">
        <v>177</v>
      </c>
      <c r="B51" s="1" t="s">
        <v>178</v>
      </c>
      <c r="C51" s="1" t="s">
        <v>151</v>
      </c>
      <c r="E51" s="1">
        <v>18.5023133</v>
      </c>
      <c r="F51" s="1">
        <v>73.8018396</v>
      </c>
      <c r="G51" s="1" t="s">
        <v>22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27</v>
      </c>
      <c r="N51" s="1" t="s">
        <v>143</v>
      </c>
      <c r="O51" s="1" t="s">
        <v>29</v>
      </c>
      <c r="P51" s="1" t="s">
        <v>152</v>
      </c>
      <c r="Q51" s="1" t="s">
        <v>153</v>
      </c>
      <c r="R51" s="1">
        <v>13.0</v>
      </c>
      <c r="S51" s="1"/>
    </row>
    <row r="52" ht="15.75" customHeight="1">
      <c r="A52" s="1" t="s">
        <v>179</v>
      </c>
      <c r="B52" s="1" t="s">
        <v>180</v>
      </c>
      <c r="C52" s="1" t="s">
        <v>142</v>
      </c>
      <c r="E52" s="1">
        <v>19.2615426</v>
      </c>
      <c r="F52" s="1">
        <v>73.02763039999999</v>
      </c>
      <c r="G52" s="1" t="s">
        <v>22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27</v>
      </c>
      <c r="N52" s="1" t="s">
        <v>143</v>
      </c>
      <c r="O52" s="1" t="s">
        <v>29</v>
      </c>
      <c r="P52" s="1" t="s">
        <v>144</v>
      </c>
      <c r="Q52" s="1" t="s">
        <v>145</v>
      </c>
      <c r="R52" s="1">
        <v>2.0</v>
      </c>
      <c r="S52" s="1"/>
    </row>
    <row r="53" ht="15.75" customHeight="1">
      <c r="A53" s="1" t="s">
        <v>181</v>
      </c>
      <c r="B53" s="1" t="s">
        <v>182</v>
      </c>
      <c r="C53" s="1" t="s">
        <v>151</v>
      </c>
      <c r="E53" s="1">
        <v>18.6237625</v>
      </c>
      <c r="F53" s="1">
        <v>73.7856575</v>
      </c>
      <c r="G53" s="1" t="s">
        <v>22</v>
      </c>
      <c r="H53" s="1" t="s">
        <v>23</v>
      </c>
      <c r="I53" s="1" t="s">
        <v>24</v>
      </c>
      <c r="J53" s="1" t="s">
        <v>25</v>
      </c>
      <c r="K53" s="1" t="s">
        <v>26</v>
      </c>
      <c r="L53" s="1" t="s">
        <v>27</v>
      </c>
      <c r="N53" s="1" t="s">
        <v>143</v>
      </c>
      <c r="O53" s="1" t="s">
        <v>29</v>
      </c>
      <c r="P53" s="1" t="s">
        <v>152</v>
      </c>
      <c r="Q53" s="1" t="s">
        <v>153</v>
      </c>
      <c r="R53" s="1">
        <v>16.0</v>
      </c>
      <c r="S53" s="1"/>
    </row>
    <row r="54" ht="15.75" customHeight="1">
      <c r="A54" s="1" t="s">
        <v>183</v>
      </c>
      <c r="B54" s="1" t="s">
        <v>184</v>
      </c>
      <c r="C54" s="1" t="s">
        <v>185</v>
      </c>
      <c r="E54" s="1">
        <v>17.4200129</v>
      </c>
      <c r="F54" s="1">
        <v>78.58460319999999</v>
      </c>
      <c r="G54" s="1" t="s">
        <v>22</v>
      </c>
      <c r="H54" s="1" t="s">
        <v>23</v>
      </c>
      <c r="I54" s="1" t="s">
        <v>24</v>
      </c>
      <c r="J54" s="1" t="s">
        <v>44</v>
      </c>
      <c r="K54" s="1" t="s">
        <v>26</v>
      </c>
      <c r="L54" s="1" t="s">
        <v>27</v>
      </c>
      <c r="N54" s="1" t="s">
        <v>186</v>
      </c>
      <c r="O54" s="1" t="s">
        <v>29</v>
      </c>
      <c r="P54" s="1" t="s">
        <v>187</v>
      </c>
      <c r="Q54" s="1" t="s">
        <v>188</v>
      </c>
      <c r="R54" s="1">
        <v>3.0</v>
      </c>
      <c r="S54" s="1"/>
    </row>
    <row r="55" ht="15.75" customHeight="1">
      <c r="A55" s="1" t="s">
        <v>189</v>
      </c>
      <c r="B55" s="1" t="s">
        <v>190</v>
      </c>
      <c r="C55" s="1" t="s">
        <v>174</v>
      </c>
      <c r="E55" s="1">
        <v>28.6479786</v>
      </c>
      <c r="F55" s="1">
        <v>77.2430828</v>
      </c>
      <c r="G55" s="1" t="s">
        <v>22</v>
      </c>
      <c r="H55" s="1" t="s">
        <v>23</v>
      </c>
      <c r="I55" s="1" t="s">
        <v>24</v>
      </c>
      <c r="J55" s="1" t="s">
        <v>44</v>
      </c>
      <c r="K55" s="1" t="s">
        <v>26</v>
      </c>
      <c r="L55" s="1" t="s">
        <v>27</v>
      </c>
      <c r="N55" s="1" t="s">
        <v>174</v>
      </c>
      <c r="O55" s="1" t="s">
        <v>29</v>
      </c>
      <c r="P55" s="1" t="s">
        <v>175</v>
      </c>
      <c r="Q55" s="1" t="s">
        <v>176</v>
      </c>
      <c r="R55" s="1">
        <v>8.0</v>
      </c>
      <c r="S55" s="1"/>
    </row>
    <row r="56" ht="15.75" customHeight="1">
      <c r="A56" s="1" t="s">
        <v>191</v>
      </c>
      <c r="B56" s="1" t="s">
        <v>192</v>
      </c>
      <c r="C56" s="1" t="s">
        <v>185</v>
      </c>
      <c r="E56" s="1">
        <v>17.3446539</v>
      </c>
      <c r="F56" s="1">
        <v>78.52949579999999</v>
      </c>
      <c r="G56" s="1" t="s">
        <v>22</v>
      </c>
      <c r="H56" s="1" t="s">
        <v>23</v>
      </c>
      <c r="I56" s="1" t="s">
        <v>24</v>
      </c>
      <c r="J56" s="1" t="s">
        <v>118</v>
      </c>
      <c r="K56" s="1" t="s">
        <v>26</v>
      </c>
      <c r="L56" s="1" t="s">
        <v>27</v>
      </c>
      <c r="N56" s="1" t="s">
        <v>186</v>
      </c>
      <c r="O56" s="1" t="s">
        <v>29</v>
      </c>
      <c r="P56" s="1" t="s">
        <v>187</v>
      </c>
      <c r="Q56" s="1" t="s">
        <v>188</v>
      </c>
      <c r="R56" s="1">
        <v>4.0</v>
      </c>
      <c r="S56" s="1"/>
    </row>
    <row r="57" ht="15.75" customHeight="1">
      <c r="A57" s="1" t="s">
        <v>193</v>
      </c>
      <c r="B57" s="1" t="s">
        <v>194</v>
      </c>
      <c r="C57" s="1" t="s">
        <v>148</v>
      </c>
      <c r="E57" s="1">
        <v>19.0180739</v>
      </c>
      <c r="F57" s="1">
        <v>72.8305496</v>
      </c>
      <c r="G57" s="1" t="s">
        <v>22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27</v>
      </c>
      <c r="N57" s="1" t="s">
        <v>143</v>
      </c>
      <c r="O57" s="1" t="s">
        <v>29</v>
      </c>
      <c r="P57" s="1" t="s">
        <v>144</v>
      </c>
      <c r="Q57" s="1" t="s">
        <v>145</v>
      </c>
      <c r="R57" s="1">
        <v>12.0</v>
      </c>
      <c r="S57" s="1"/>
    </row>
    <row r="58" ht="15.75" customHeight="1">
      <c r="A58" s="1" t="s">
        <v>195</v>
      </c>
      <c r="B58" s="1" t="s">
        <v>196</v>
      </c>
      <c r="C58" s="1" t="s">
        <v>174</v>
      </c>
      <c r="E58" s="1">
        <v>28.6394849</v>
      </c>
      <c r="F58" s="1">
        <v>77.29199109999999</v>
      </c>
      <c r="G58" s="1" t="s">
        <v>22</v>
      </c>
      <c r="H58" s="1" t="s">
        <v>23</v>
      </c>
      <c r="I58" s="1" t="s">
        <v>24</v>
      </c>
      <c r="J58" s="1" t="s">
        <v>25</v>
      </c>
      <c r="K58" s="1" t="s">
        <v>26</v>
      </c>
      <c r="L58" s="1" t="s">
        <v>27</v>
      </c>
      <c r="N58" s="1" t="s">
        <v>174</v>
      </c>
      <c r="O58" s="1" t="s">
        <v>29</v>
      </c>
      <c r="P58" s="1" t="s">
        <v>175</v>
      </c>
      <c r="Q58" s="1" t="s">
        <v>176</v>
      </c>
      <c r="R58" s="1">
        <v>10.0</v>
      </c>
      <c r="S58" s="1"/>
    </row>
    <row r="59" ht="15.75" customHeight="1">
      <c r="A59" s="1" t="s">
        <v>197</v>
      </c>
      <c r="B59" s="1" t="s">
        <v>198</v>
      </c>
      <c r="C59" s="1" t="s">
        <v>148</v>
      </c>
      <c r="E59" s="1">
        <v>19.1874459</v>
      </c>
      <c r="F59" s="1">
        <v>72.8483689</v>
      </c>
      <c r="G59" s="1" t="s">
        <v>22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27</v>
      </c>
      <c r="N59" s="1" t="s">
        <v>143</v>
      </c>
      <c r="O59" s="1" t="s">
        <v>29</v>
      </c>
      <c r="P59" s="1" t="s">
        <v>144</v>
      </c>
      <c r="Q59" s="1" t="s">
        <v>145</v>
      </c>
      <c r="R59" s="1">
        <v>8.0</v>
      </c>
      <c r="S59" s="1"/>
    </row>
    <row r="60" ht="15.75" customHeight="1">
      <c r="A60" s="1" t="s">
        <v>199</v>
      </c>
      <c r="B60" s="1" t="s">
        <v>200</v>
      </c>
      <c r="C60" s="1" t="s">
        <v>142</v>
      </c>
      <c r="E60" s="1">
        <v>19.0632517</v>
      </c>
      <c r="F60" s="1">
        <v>72.9988553</v>
      </c>
      <c r="G60" s="1" t="s">
        <v>22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27</v>
      </c>
      <c r="N60" s="1" t="s">
        <v>143</v>
      </c>
      <c r="O60" s="1" t="s">
        <v>29</v>
      </c>
      <c r="P60" s="1" t="s">
        <v>144</v>
      </c>
      <c r="Q60" s="1" t="s">
        <v>145</v>
      </c>
      <c r="R60" s="1">
        <v>9.0</v>
      </c>
      <c r="S60" s="1"/>
    </row>
    <row r="61" ht="15.75" customHeight="1">
      <c r="A61" s="1" t="s">
        <v>201</v>
      </c>
      <c r="B61" s="1" t="s">
        <v>202</v>
      </c>
      <c r="C61" s="1" t="s">
        <v>148</v>
      </c>
      <c r="E61" s="1">
        <v>18.9560988</v>
      </c>
      <c r="F61" s="1">
        <v>72.8156089</v>
      </c>
      <c r="G61" s="1" t="s">
        <v>22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27</v>
      </c>
      <c r="N61" s="1" t="s">
        <v>143</v>
      </c>
      <c r="O61" s="1" t="s">
        <v>29</v>
      </c>
      <c r="P61" s="1" t="s">
        <v>144</v>
      </c>
      <c r="Q61" s="1" t="s">
        <v>145</v>
      </c>
      <c r="R61" s="1">
        <v>5.0</v>
      </c>
      <c r="S61" s="1"/>
    </row>
    <row r="62" ht="15.75" customHeight="1">
      <c r="A62" s="1" t="s">
        <v>203</v>
      </c>
      <c r="B62" s="1" t="s">
        <v>204</v>
      </c>
      <c r="C62" s="1" t="s">
        <v>142</v>
      </c>
      <c r="E62" s="1">
        <v>19.2805378</v>
      </c>
      <c r="F62" s="1">
        <v>72.87594179999999</v>
      </c>
      <c r="G62" s="1" t="s">
        <v>22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27</v>
      </c>
      <c r="N62" s="1" t="s">
        <v>143</v>
      </c>
      <c r="O62" s="1" t="s">
        <v>29</v>
      </c>
      <c r="P62" s="1" t="s">
        <v>144</v>
      </c>
      <c r="Q62" s="1" t="s">
        <v>145</v>
      </c>
      <c r="R62" s="1">
        <v>10.0</v>
      </c>
      <c r="S62" s="1"/>
    </row>
    <row r="63" ht="15.75" customHeight="1">
      <c r="A63" s="1" t="s">
        <v>205</v>
      </c>
      <c r="B63" s="1" t="s">
        <v>206</v>
      </c>
      <c r="C63" s="1" t="s">
        <v>142</v>
      </c>
      <c r="E63" s="1">
        <v>19.4563596</v>
      </c>
      <c r="F63" s="1">
        <v>72.79246119999999</v>
      </c>
      <c r="G63" s="1" t="s">
        <v>22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27</v>
      </c>
      <c r="N63" s="1" t="s">
        <v>143</v>
      </c>
      <c r="O63" s="1" t="s">
        <v>29</v>
      </c>
      <c r="P63" s="1" t="s">
        <v>144</v>
      </c>
      <c r="Q63" s="1" t="s">
        <v>145</v>
      </c>
      <c r="R63" s="1">
        <v>3.0</v>
      </c>
      <c r="S63" s="1"/>
    </row>
    <row r="64" ht="15.75" customHeight="1">
      <c r="A64" s="1" t="s">
        <v>207</v>
      </c>
      <c r="B64" s="1" t="s">
        <v>208</v>
      </c>
      <c r="C64" s="1" t="s">
        <v>174</v>
      </c>
      <c r="E64" s="1">
        <v>28.6276766</v>
      </c>
      <c r="F64" s="1">
        <v>77.0739622</v>
      </c>
      <c r="G64" s="1" t="s">
        <v>22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27</v>
      </c>
      <c r="N64" s="1" t="s">
        <v>174</v>
      </c>
      <c r="O64" s="1" t="s">
        <v>29</v>
      </c>
      <c r="P64" s="1" t="s">
        <v>175</v>
      </c>
      <c r="Q64" s="1" t="s">
        <v>176</v>
      </c>
      <c r="R64" s="1">
        <v>16.0</v>
      </c>
      <c r="S64" s="1"/>
    </row>
    <row r="65" ht="15.75" customHeight="1">
      <c r="A65" s="1" t="s">
        <v>209</v>
      </c>
      <c r="B65" s="1" t="s">
        <v>210</v>
      </c>
      <c r="C65" s="1" t="s">
        <v>162</v>
      </c>
      <c r="E65" s="1">
        <v>28.4094338</v>
      </c>
      <c r="F65" s="1">
        <v>77.3178807</v>
      </c>
      <c r="G65" s="1" t="s">
        <v>22</v>
      </c>
      <c r="H65" s="1" t="s">
        <v>23</v>
      </c>
      <c r="I65" s="1" t="s">
        <v>24</v>
      </c>
      <c r="J65" s="1" t="s">
        <v>56</v>
      </c>
      <c r="K65" s="1" t="s">
        <v>26</v>
      </c>
      <c r="L65" s="1" t="s">
        <v>27</v>
      </c>
      <c r="N65" s="1" t="s">
        <v>163</v>
      </c>
      <c r="O65" s="1" t="s">
        <v>57</v>
      </c>
      <c r="P65" s="1" t="s">
        <v>164</v>
      </c>
      <c r="Q65" s="1" t="s">
        <v>165</v>
      </c>
      <c r="R65" s="1">
        <v>10.0</v>
      </c>
      <c r="S65" s="1"/>
    </row>
    <row r="66" ht="15.75" customHeight="1">
      <c r="A66" s="1" t="s">
        <v>211</v>
      </c>
      <c r="B66" s="1" t="s">
        <v>212</v>
      </c>
      <c r="C66" s="1" t="s">
        <v>148</v>
      </c>
      <c r="E66" s="1">
        <v>19.0344814</v>
      </c>
      <c r="F66" s="1">
        <v>72.8421067</v>
      </c>
      <c r="G66" s="1" t="s">
        <v>22</v>
      </c>
      <c r="H66" s="1" t="s">
        <v>23</v>
      </c>
      <c r="I66" s="1" t="s">
        <v>24</v>
      </c>
      <c r="J66" s="1" t="s">
        <v>44</v>
      </c>
      <c r="K66" s="1" t="s">
        <v>26</v>
      </c>
      <c r="L66" s="1" t="s">
        <v>27</v>
      </c>
      <c r="N66" s="1" t="s">
        <v>143</v>
      </c>
      <c r="O66" s="1" t="s">
        <v>29</v>
      </c>
      <c r="P66" s="1" t="s">
        <v>144</v>
      </c>
      <c r="Q66" s="1" t="s">
        <v>145</v>
      </c>
      <c r="R66" s="1">
        <v>4.0</v>
      </c>
      <c r="S66" s="1"/>
    </row>
    <row r="67" ht="15.75" customHeight="1">
      <c r="A67" s="1" t="s">
        <v>213</v>
      </c>
      <c r="B67" s="1" t="s">
        <v>214</v>
      </c>
      <c r="C67" s="1" t="s">
        <v>215</v>
      </c>
      <c r="E67" s="1">
        <v>22.999069</v>
      </c>
      <c r="F67" s="1">
        <v>72.61093699999999</v>
      </c>
      <c r="G67" s="1" t="s">
        <v>22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27</v>
      </c>
      <c r="N67" s="1" t="s">
        <v>216</v>
      </c>
      <c r="O67" s="1" t="s">
        <v>29</v>
      </c>
      <c r="P67" s="1" t="s">
        <v>217</v>
      </c>
      <c r="Q67" s="1" t="s">
        <v>218</v>
      </c>
      <c r="R67" s="1">
        <v>9.0</v>
      </c>
      <c r="S67" s="1"/>
    </row>
    <row r="68" ht="15.75" customHeight="1">
      <c r="A68" s="1" t="s">
        <v>219</v>
      </c>
      <c r="B68" s="1" t="s">
        <v>220</v>
      </c>
      <c r="C68" s="1" t="s">
        <v>174</v>
      </c>
      <c r="E68" s="1">
        <v>28.6509821</v>
      </c>
      <c r="F68" s="1">
        <v>77.286333</v>
      </c>
      <c r="G68" s="1" t="s">
        <v>22</v>
      </c>
      <c r="H68" s="1" t="s">
        <v>23</v>
      </c>
      <c r="I68" s="1" t="s">
        <v>24</v>
      </c>
      <c r="J68" s="1" t="s">
        <v>221</v>
      </c>
      <c r="K68" s="1" t="s">
        <v>26</v>
      </c>
      <c r="L68" s="1" t="s">
        <v>27</v>
      </c>
      <c r="N68" s="1" t="s">
        <v>174</v>
      </c>
      <c r="O68" s="1" t="s">
        <v>57</v>
      </c>
      <c r="P68" s="1" t="s">
        <v>222</v>
      </c>
      <c r="Q68" s="1" t="s">
        <v>223</v>
      </c>
      <c r="R68" s="1">
        <v>6.0</v>
      </c>
      <c r="S68" s="1"/>
    </row>
    <row r="69" ht="15.75" customHeight="1">
      <c r="A69" s="1" t="s">
        <v>224</v>
      </c>
      <c r="B69" s="1" t="s">
        <v>225</v>
      </c>
      <c r="C69" s="1" t="s">
        <v>142</v>
      </c>
      <c r="E69" s="1">
        <v>19.1994164</v>
      </c>
      <c r="F69" s="1">
        <v>73.1060574</v>
      </c>
      <c r="G69" s="1" t="s">
        <v>22</v>
      </c>
      <c r="H69" s="1" t="s">
        <v>23</v>
      </c>
      <c r="I69" s="1" t="s">
        <v>24</v>
      </c>
      <c r="J69" s="1" t="s">
        <v>25</v>
      </c>
      <c r="K69" s="1" t="s">
        <v>26</v>
      </c>
      <c r="L69" s="1" t="s">
        <v>27</v>
      </c>
      <c r="N69" s="1" t="s">
        <v>143</v>
      </c>
      <c r="O69" s="1" t="s">
        <v>29</v>
      </c>
      <c r="P69" s="1" t="s">
        <v>144</v>
      </c>
      <c r="Q69" s="1" t="s">
        <v>145</v>
      </c>
      <c r="R69" s="1">
        <v>3.0</v>
      </c>
      <c r="S69" s="1"/>
    </row>
    <row r="70" ht="15.75" customHeight="1">
      <c r="A70" s="1" t="s">
        <v>226</v>
      </c>
      <c r="B70" s="1" t="s">
        <v>227</v>
      </c>
      <c r="C70" s="1" t="s">
        <v>151</v>
      </c>
      <c r="E70" s="1">
        <v>18.464974</v>
      </c>
      <c r="F70" s="1">
        <v>73.8798127</v>
      </c>
      <c r="G70" s="1" t="s">
        <v>22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27</v>
      </c>
      <c r="N70" s="1" t="s">
        <v>143</v>
      </c>
      <c r="O70" s="1" t="s">
        <v>29</v>
      </c>
      <c r="P70" s="1" t="s">
        <v>152</v>
      </c>
      <c r="Q70" s="1" t="s">
        <v>153</v>
      </c>
      <c r="R70" s="1">
        <v>13.0</v>
      </c>
      <c r="S70" s="1"/>
    </row>
    <row r="71" ht="15.75" customHeight="1">
      <c r="A71" s="1" t="s">
        <v>228</v>
      </c>
      <c r="B71" s="1" t="s">
        <v>229</v>
      </c>
      <c r="C71" s="1" t="s">
        <v>151</v>
      </c>
      <c r="E71" s="1">
        <v>18.5696918</v>
      </c>
      <c r="F71" s="1">
        <v>73.78077069999999</v>
      </c>
      <c r="G71" s="1" t="s">
        <v>22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27</v>
      </c>
      <c r="N71" s="1" t="s">
        <v>143</v>
      </c>
      <c r="O71" s="1" t="s">
        <v>29</v>
      </c>
      <c r="P71" s="1" t="s">
        <v>152</v>
      </c>
      <c r="Q71" s="1" t="s">
        <v>153</v>
      </c>
      <c r="R71" s="1">
        <v>21.0</v>
      </c>
      <c r="S71" s="1"/>
    </row>
    <row r="72" ht="15.75" customHeight="1">
      <c r="A72" s="1" t="s">
        <v>230</v>
      </c>
      <c r="B72" s="1" t="s">
        <v>231</v>
      </c>
      <c r="C72" s="1" t="s">
        <v>174</v>
      </c>
      <c r="E72" s="1">
        <v>28.6453079</v>
      </c>
      <c r="F72" s="1">
        <v>77.2026635</v>
      </c>
      <c r="G72" s="1" t="s">
        <v>22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27</v>
      </c>
      <c r="N72" s="1" t="s">
        <v>174</v>
      </c>
      <c r="O72" s="1" t="s">
        <v>29</v>
      </c>
      <c r="P72" s="1" t="s">
        <v>232</v>
      </c>
      <c r="Q72" s="1" t="s">
        <v>233</v>
      </c>
      <c r="R72" s="1">
        <v>7.0</v>
      </c>
      <c r="S72" s="1"/>
    </row>
    <row r="73" ht="15.75" customHeight="1">
      <c r="A73" s="1" t="s">
        <v>234</v>
      </c>
      <c r="B73" s="1" t="s">
        <v>235</v>
      </c>
      <c r="C73" s="1" t="s">
        <v>174</v>
      </c>
      <c r="E73" s="1">
        <v>28.5531541</v>
      </c>
      <c r="F73" s="1">
        <v>77.1935275</v>
      </c>
      <c r="G73" s="1" t="s">
        <v>22</v>
      </c>
      <c r="H73" s="1" t="s">
        <v>23</v>
      </c>
      <c r="I73" s="1" t="s">
        <v>24</v>
      </c>
      <c r="J73" s="1" t="s">
        <v>118</v>
      </c>
      <c r="K73" s="1" t="s">
        <v>26</v>
      </c>
      <c r="L73" s="1" t="s">
        <v>27</v>
      </c>
      <c r="N73" s="1" t="s">
        <v>174</v>
      </c>
      <c r="O73" s="1" t="s">
        <v>57</v>
      </c>
      <c r="P73" s="1" t="s">
        <v>236</v>
      </c>
      <c r="Q73" s="1" t="s">
        <v>237</v>
      </c>
      <c r="R73" s="1">
        <v>8.0</v>
      </c>
      <c r="S73" s="1"/>
    </row>
    <row r="74" ht="15.75" customHeight="1">
      <c r="A74" s="1" t="s">
        <v>238</v>
      </c>
      <c r="B74" s="1" t="s">
        <v>239</v>
      </c>
      <c r="C74" s="1" t="s">
        <v>151</v>
      </c>
      <c r="E74" s="1">
        <v>18.5999365</v>
      </c>
      <c r="F74" s="1">
        <v>73.80356069999999</v>
      </c>
      <c r="G74" s="1" t="s">
        <v>22</v>
      </c>
      <c r="H74" s="1" t="s">
        <v>23</v>
      </c>
      <c r="I74" s="1" t="s">
        <v>24</v>
      </c>
      <c r="J74" s="1" t="s">
        <v>25</v>
      </c>
      <c r="K74" s="1" t="s">
        <v>26</v>
      </c>
      <c r="L74" s="1" t="s">
        <v>27</v>
      </c>
      <c r="N74" s="1" t="s">
        <v>143</v>
      </c>
      <c r="O74" s="1" t="s">
        <v>29</v>
      </c>
      <c r="P74" s="1" t="s">
        <v>152</v>
      </c>
      <c r="Q74" s="1" t="s">
        <v>153</v>
      </c>
      <c r="R74" s="1">
        <v>6.0</v>
      </c>
      <c r="S74" s="1"/>
    </row>
    <row r="75" ht="15.75" customHeight="1">
      <c r="A75" s="1" t="s">
        <v>240</v>
      </c>
      <c r="B75" s="1" t="s">
        <v>241</v>
      </c>
      <c r="C75" s="1" t="s">
        <v>242</v>
      </c>
      <c r="E75" s="1">
        <v>21.1417761</v>
      </c>
      <c r="F75" s="1">
        <v>72.77094149999999</v>
      </c>
      <c r="G75" s="1" t="s">
        <v>22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27</v>
      </c>
      <c r="N75" s="1" t="s">
        <v>216</v>
      </c>
      <c r="O75" s="1" t="s">
        <v>29</v>
      </c>
      <c r="P75" s="1" t="s">
        <v>243</v>
      </c>
      <c r="Q75" s="1" t="s">
        <v>244</v>
      </c>
      <c r="R75" s="1">
        <v>37.0</v>
      </c>
      <c r="S75" s="1"/>
    </row>
    <row r="76" ht="15.75" customHeight="1">
      <c r="A76" s="1" t="s">
        <v>245</v>
      </c>
      <c r="B76" s="1" t="s">
        <v>246</v>
      </c>
      <c r="C76" s="1" t="s">
        <v>185</v>
      </c>
      <c r="E76" s="1">
        <v>17.4315961</v>
      </c>
      <c r="F76" s="1">
        <v>78.4065686</v>
      </c>
      <c r="G76" s="1" t="s">
        <v>22</v>
      </c>
      <c r="H76" s="1" t="s">
        <v>23</v>
      </c>
      <c r="I76" s="1" t="s">
        <v>24</v>
      </c>
      <c r="J76" s="1" t="s">
        <v>56</v>
      </c>
      <c r="K76" s="1" t="s">
        <v>26</v>
      </c>
      <c r="L76" s="1" t="s">
        <v>27</v>
      </c>
      <c r="N76" s="1" t="s">
        <v>186</v>
      </c>
      <c r="O76" s="1" t="s">
        <v>57</v>
      </c>
      <c r="P76" s="1" t="s">
        <v>187</v>
      </c>
      <c r="Q76" s="1" t="s">
        <v>188</v>
      </c>
      <c r="R76" s="1">
        <v>5.0</v>
      </c>
      <c r="S76" s="1"/>
    </row>
    <row r="77" ht="15.75" customHeight="1">
      <c r="A77" s="1" t="s">
        <v>247</v>
      </c>
      <c r="B77" s="1" t="s">
        <v>248</v>
      </c>
      <c r="C77" s="1" t="s">
        <v>151</v>
      </c>
      <c r="E77" s="1">
        <v>18.4592417</v>
      </c>
      <c r="F77" s="1">
        <v>73.8584296</v>
      </c>
      <c r="G77" s="1" t="s">
        <v>22</v>
      </c>
      <c r="H77" s="1" t="s">
        <v>23</v>
      </c>
      <c r="I77" s="1" t="s">
        <v>24</v>
      </c>
      <c r="J77" s="1" t="s">
        <v>25</v>
      </c>
      <c r="K77" s="1" t="s">
        <v>26</v>
      </c>
      <c r="L77" s="1" t="s">
        <v>27</v>
      </c>
      <c r="N77" s="1" t="s">
        <v>143</v>
      </c>
      <c r="O77" s="1" t="s">
        <v>29</v>
      </c>
      <c r="P77" s="1" t="s">
        <v>152</v>
      </c>
      <c r="Q77" s="1" t="s">
        <v>153</v>
      </c>
      <c r="R77" s="1">
        <v>19.0</v>
      </c>
      <c r="S77" s="1"/>
    </row>
    <row r="78" ht="15.75" customHeight="1">
      <c r="A78" s="1" t="s">
        <v>249</v>
      </c>
      <c r="B78" s="1" t="s">
        <v>250</v>
      </c>
      <c r="C78" s="1" t="s">
        <v>174</v>
      </c>
      <c r="E78" s="1">
        <v>28.7091426</v>
      </c>
      <c r="F78" s="1">
        <v>77.1845642</v>
      </c>
      <c r="G78" s="1" t="s">
        <v>22</v>
      </c>
      <c r="H78" s="1" t="s">
        <v>23</v>
      </c>
      <c r="I78" s="1" t="s">
        <v>24</v>
      </c>
      <c r="J78" s="1" t="s">
        <v>44</v>
      </c>
      <c r="K78" s="1" t="s">
        <v>26</v>
      </c>
      <c r="L78" s="1" t="s">
        <v>27</v>
      </c>
      <c r="N78" s="1" t="s">
        <v>174</v>
      </c>
      <c r="O78" s="1" t="s">
        <v>29</v>
      </c>
      <c r="P78" s="1" t="s">
        <v>232</v>
      </c>
      <c r="Q78" s="1" t="s">
        <v>233</v>
      </c>
      <c r="R78" s="1">
        <v>9.0</v>
      </c>
      <c r="S78" s="1"/>
    </row>
    <row r="79" ht="15.75" customHeight="1">
      <c r="A79" s="1" t="s">
        <v>251</v>
      </c>
      <c r="B79" s="1" t="s">
        <v>252</v>
      </c>
      <c r="C79" s="1" t="s">
        <v>174</v>
      </c>
      <c r="E79" s="1">
        <v>28.6634777</v>
      </c>
      <c r="F79" s="1">
        <v>77.291393</v>
      </c>
      <c r="G79" s="1" t="s">
        <v>22</v>
      </c>
      <c r="H79" s="1" t="s">
        <v>23</v>
      </c>
      <c r="I79" s="1" t="s">
        <v>24</v>
      </c>
      <c r="J79" s="1" t="s">
        <v>44</v>
      </c>
      <c r="K79" s="1" t="s">
        <v>26</v>
      </c>
      <c r="L79" s="1" t="s">
        <v>27</v>
      </c>
      <c r="N79" s="1" t="s">
        <v>174</v>
      </c>
      <c r="O79" s="1" t="s">
        <v>29</v>
      </c>
      <c r="P79" s="1" t="s">
        <v>232</v>
      </c>
      <c r="Q79" s="1" t="s">
        <v>233</v>
      </c>
      <c r="R79" s="1">
        <v>4.0</v>
      </c>
      <c r="S79" s="1"/>
    </row>
    <row r="80" ht="15.75" customHeight="1">
      <c r="A80" s="1" t="s">
        <v>253</v>
      </c>
      <c r="B80" s="1" t="s">
        <v>254</v>
      </c>
      <c r="C80" s="1" t="s">
        <v>174</v>
      </c>
      <c r="E80" s="1">
        <v>28.5993858</v>
      </c>
      <c r="F80" s="1">
        <v>77.08174939999999</v>
      </c>
      <c r="G80" s="1" t="s">
        <v>22</v>
      </c>
      <c r="H80" s="1" t="s">
        <v>23</v>
      </c>
      <c r="I80" s="1" t="s">
        <v>24</v>
      </c>
      <c r="J80" s="1" t="s">
        <v>56</v>
      </c>
      <c r="K80" s="1" t="s">
        <v>26</v>
      </c>
      <c r="L80" s="1" t="s">
        <v>27</v>
      </c>
      <c r="N80" s="1" t="s">
        <v>174</v>
      </c>
      <c r="O80" s="1" t="s">
        <v>57</v>
      </c>
      <c r="P80" s="1" t="s">
        <v>232</v>
      </c>
      <c r="Q80" s="1" t="s">
        <v>233</v>
      </c>
      <c r="R80" s="1">
        <v>7.0</v>
      </c>
      <c r="S80" s="1"/>
    </row>
    <row r="81" ht="15.75" customHeight="1">
      <c r="A81" s="1" t="s">
        <v>255</v>
      </c>
      <c r="B81" s="1" t="s">
        <v>256</v>
      </c>
      <c r="C81" s="1" t="s">
        <v>185</v>
      </c>
      <c r="E81" s="1">
        <v>17.4930988</v>
      </c>
      <c r="F81" s="1">
        <v>78.40920020000002</v>
      </c>
      <c r="G81" s="1" t="s">
        <v>22</v>
      </c>
      <c r="H81" s="1" t="s">
        <v>23</v>
      </c>
      <c r="I81" s="1" t="s">
        <v>24</v>
      </c>
      <c r="J81" s="1" t="s">
        <v>56</v>
      </c>
      <c r="K81" s="1" t="s">
        <v>26</v>
      </c>
      <c r="L81" s="1" t="s">
        <v>27</v>
      </c>
      <c r="N81" s="1" t="s">
        <v>186</v>
      </c>
      <c r="O81" s="1" t="s">
        <v>57</v>
      </c>
      <c r="P81" s="1" t="s">
        <v>187</v>
      </c>
      <c r="Q81" s="1" t="s">
        <v>188</v>
      </c>
      <c r="R81" s="1">
        <v>4.0</v>
      </c>
      <c r="S81" s="1"/>
    </row>
    <row r="82" ht="15.75" customHeight="1">
      <c r="A82" s="1" t="s">
        <v>257</v>
      </c>
      <c r="B82" s="1" t="s">
        <v>258</v>
      </c>
      <c r="C82" s="1" t="s">
        <v>259</v>
      </c>
      <c r="E82" s="1">
        <v>28.4585361</v>
      </c>
      <c r="F82" s="1">
        <v>77.0344315</v>
      </c>
      <c r="G82" s="1" t="s">
        <v>22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27</v>
      </c>
      <c r="N82" s="1" t="s">
        <v>163</v>
      </c>
      <c r="O82" s="1" t="s">
        <v>29</v>
      </c>
      <c r="P82" s="1" t="s">
        <v>260</v>
      </c>
      <c r="Q82" s="1" t="s">
        <v>261</v>
      </c>
      <c r="R82" s="1">
        <v>7.0</v>
      </c>
      <c r="S82" s="1"/>
    </row>
    <row r="83" ht="15.75" customHeight="1">
      <c r="A83" s="1" t="s">
        <v>262</v>
      </c>
      <c r="B83" s="1" t="s">
        <v>263</v>
      </c>
      <c r="C83" s="1" t="s">
        <v>142</v>
      </c>
      <c r="E83" s="1">
        <v>19.0188208</v>
      </c>
      <c r="F83" s="1">
        <v>73.038839</v>
      </c>
      <c r="G83" s="1" t="s">
        <v>22</v>
      </c>
      <c r="H83" s="1" t="s">
        <v>23</v>
      </c>
      <c r="I83" s="1" t="s">
        <v>24</v>
      </c>
      <c r="J83" s="1" t="s">
        <v>44</v>
      </c>
      <c r="K83" s="1" t="s">
        <v>26</v>
      </c>
      <c r="L83" s="1" t="s">
        <v>27</v>
      </c>
      <c r="N83" s="1" t="s">
        <v>143</v>
      </c>
      <c r="O83" s="1" t="s">
        <v>29</v>
      </c>
      <c r="P83" s="1" t="s">
        <v>144</v>
      </c>
      <c r="Q83" s="1" t="s">
        <v>145</v>
      </c>
      <c r="R83" s="1">
        <v>5.0</v>
      </c>
      <c r="S83" s="1"/>
    </row>
    <row r="84" ht="15.75" customHeight="1">
      <c r="A84" s="1" t="s">
        <v>264</v>
      </c>
      <c r="B84" s="1" t="s">
        <v>265</v>
      </c>
      <c r="C84" s="1" t="s">
        <v>174</v>
      </c>
      <c r="E84" s="1">
        <v>28.6746861</v>
      </c>
      <c r="F84" s="1">
        <v>77.08416609999999</v>
      </c>
      <c r="G84" s="1" t="s">
        <v>22</v>
      </c>
      <c r="H84" s="1" t="s">
        <v>23</v>
      </c>
      <c r="I84" s="1" t="s">
        <v>24</v>
      </c>
      <c r="J84" s="1" t="s">
        <v>44</v>
      </c>
      <c r="K84" s="1" t="s">
        <v>26</v>
      </c>
      <c r="L84" s="1" t="s">
        <v>27</v>
      </c>
      <c r="N84" s="1" t="s">
        <v>174</v>
      </c>
      <c r="O84" s="1" t="s">
        <v>29</v>
      </c>
      <c r="P84" s="1" t="s">
        <v>232</v>
      </c>
      <c r="Q84" s="1" t="s">
        <v>233</v>
      </c>
      <c r="R84" s="1">
        <v>8.0</v>
      </c>
      <c r="S84" s="1"/>
    </row>
    <row r="85" ht="15.75" customHeight="1">
      <c r="A85" s="1" t="s">
        <v>266</v>
      </c>
      <c r="B85" s="1" t="s">
        <v>267</v>
      </c>
      <c r="C85" s="1" t="s">
        <v>242</v>
      </c>
      <c r="E85" s="1">
        <v>21.2100759</v>
      </c>
      <c r="F85" s="1">
        <v>72.8496193</v>
      </c>
      <c r="G85" s="1" t="s">
        <v>22</v>
      </c>
      <c r="H85" s="1" t="s">
        <v>23</v>
      </c>
      <c r="I85" s="1" t="s">
        <v>24</v>
      </c>
      <c r="J85" s="1" t="s">
        <v>118</v>
      </c>
      <c r="K85" s="1" t="s">
        <v>26</v>
      </c>
      <c r="L85" s="1" t="s">
        <v>27</v>
      </c>
      <c r="N85" s="1" t="s">
        <v>216</v>
      </c>
      <c r="O85" s="1" t="s">
        <v>57</v>
      </c>
      <c r="P85" s="1" t="s">
        <v>243</v>
      </c>
      <c r="Q85" s="1" t="s">
        <v>244</v>
      </c>
      <c r="R85" s="1">
        <v>20.0</v>
      </c>
      <c r="S85" s="1"/>
    </row>
    <row r="86" ht="15.75" customHeight="1">
      <c r="A86" s="1" t="s">
        <v>268</v>
      </c>
      <c r="B86" s="1" t="s">
        <v>269</v>
      </c>
      <c r="C86" s="1" t="s">
        <v>148</v>
      </c>
      <c r="E86" s="1">
        <v>19.0594745</v>
      </c>
      <c r="F86" s="1">
        <v>72.90079469999999</v>
      </c>
      <c r="G86" s="1" t="s">
        <v>22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27</v>
      </c>
      <c r="N86" s="1" t="s">
        <v>143</v>
      </c>
      <c r="O86" s="1" t="s">
        <v>29</v>
      </c>
      <c r="P86" s="1" t="s">
        <v>144</v>
      </c>
      <c r="Q86" s="1" t="s">
        <v>145</v>
      </c>
      <c r="R86" s="1">
        <v>10.0</v>
      </c>
      <c r="S86" s="1"/>
    </row>
    <row r="87" ht="15.75" customHeight="1">
      <c r="A87" s="1" t="s">
        <v>270</v>
      </c>
      <c r="B87" s="1" t="s">
        <v>271</v>
      </c>
      <c r="C87" s="1" t="s">
        <v>259</v>
      </c>
      <c r="E87" s="1">
        <v>28.4983753</v>
      </c>
      <c r="F87" s="1">
        <v>77.0300213</v>
      </c>
      <c r="G87" s="1" t="s">
        <v>22</v>
      </c>
      <c r="H87" s="1" t="s">
        <v>23</v>
      </c>
      <c r="I87" s="1" t="s">
        <v>24</v>
      </c>
      <c r="J87" s="1" t="s">
        <v>56</v>
      </c>
      <c r="K87" s="1" t="s">
        <v>26</v>
      </c>
      <c r="L87" s="1" t="s">
        <v>27</v>
      </c>
      <c r="N87" s="1" t="s">
        <v>163</v>
      </c>
      <c r="O87" s="1" t="s">
        <v>57</v>
      </c>
      <c r="P87" s="1" t="s">
        <v>260</v>
      </c>
      <c r="Q87" s="1" t="s">
        <v>261</v>
      </c>
      <c r="R87" s="1">
        <v>7.0</v>
      </c>
      <c r="S87" s="1"/>
    </row>
    <row r="88" ht="15.75" customHeight="1">
      <c r="A88" s="1" t="s">
        <v>272</v>
      </c>
      <c r="B88" s="1" t="s">
        <v>273</v>
      </c>
      <c r="C88" s="1" t="s">
        <v>142</v>
      </c>
      <c r="E88" s="1">
        <v>19.1652814</v>
      </c>
      <c r="F88" s="1">
        <v>73.2335229</v>
      </c>
      <c r="G88" s="1" t="s">
        <v>22</v>
      </c>
      <c r="H88" s="1" t="s">
        <v>23</v>
      </c>
      <c r="I88" s="1" t="s">
        <v>24</v>
      </c>
      <c r="J88" s="1" t="s">
        <v>44</v>
      </c>
      <c r="K88" s="1" t="s">
        <v>26</v>
      </c>
      <c r="L88" s="1" t="s">
        <v>27</v>
      </c>
      <c r="N88" s="1" t="s">
        <v>143</v>
      </c>
      <c r="O88" s="1" t="s">
        <v>29</v>
      </c>
      <c r="P88" s="1" t="s">
        <v>144</v>
      </c>
      <c r="Q88" s="1" t="s">
        <v>145</v>
      </c>
      <c r="R88" s="1">
        <v>2.0</v>
      </c>
      <c r="S88" s="1"/>
    </row>
    <row r="89" ht="15.75" customHeight="1">
      <c r="A89" s="1" t="s">
        <v>274</v>
      </c>
      <c r="B89" s="1" t="s">
        <v>275</v>
      </c>
      <c r="C89" s="1" t="s">
        <v>174</v>
      </c>
      <c r="E89" s="1">
        <v>28.568148</v>
      </c>
      <c r="F89" s="1">
        <v>77.24743289999999</v>
      </c>
      <c r="G89" s="1" t="s">
        <v>22</v>
      </c>
      <c r="H89" s="1" t="s">
        <v>23</v>
      </c>
      <c r="I89" s="1" t="s">
        <v>24</v>
      </c>
      <c r="J89" s="1" t="s">
        <v>25</v>
      </c>
      <c r="K89" s="1" t="s">
        <v>26</v>
      </c>
      <c r="L89" s="1" t="s">
        <v>27</v>
      </c>
      <c r="N89" s="1" t="s">
        <v>174</v>
      </c>
      <c r="O89" s="1" t="s">
        <v>29</v>
      </c>
      <c r="P89" s="1" t="s">
        <v>276</v>
      </c>
      <c r="Q89" s="1" t="s">
        <v>277</v>
      </c>
      <c r="R89" s="1">
        <v>7.0</v>
      </c>
      <c r="S89" s="1"/>
    </row>
    <row r="90" ht="15.75" customHeight="1">
      <c r="A90" s="1" t="s">
        <v>278</v>
      </c>
      <c r="B90" s="1" t="s">
        <v>279</v>
      </c>
      <c r="C90" s="1" t="s">
        <v>174</v>
      </c>
      <c r="E90" s="1">
        <v>28.6891786</v>
      </c>
      <c r="F90" s="1">
        <v>77.288491</v>
      </c>
      <c r="G90" s="1" t="s">
        <v>22</v>
      </c>
      <c r="H90" s="1" t="s">
        <v>23</v>
      </c>
      <c r="I90" s="1" t="s">
        <v>24</v>
      </c>
      <c r="J90" s="1" t="s">
        <v>44</v>
      </c>
      <c r="K90" s="1" t="s">
        <v>26</v>
      </c>
      <c r="L90" s="1" t="s">
        <v>27</v>
      </c>
      <c r="N90" s="1" t="s">
        <v>174</v>
      </c>
      <c r="O90" s="1" t="s">
        <v>29</v>
      </c>
      <c r="P90" s="1" t="s">
        <v>222</v>
      </c>
      <c r="Q90" s="1" t="s">
        <v>223</v>
      </c>
      <c r="R90" s="1">
        <v>3.0</v>
      </c>
      <c r="S90" s="1"/>
    </row>
    <row r="91" ht="15.75" customHeight="1">
      <c r="A91" s="1" t="s">
        <v>280</v>
      </c>
      <c r="B91" s="1" t="s">
        <v>281</v>
      </c>
      <c r="C91" s="1" t="s">
        <v>185</v>
      </c>
      <c r="E91" s="1">
        <v>17.3999485</v>
      </c>
      <c r="F91" s="1">
        <v>78.40937219999999</v>
      </c>
      <c r="G91" s="1" t="s">
        <v>22</v>
      </c>
      <c r="H91" s="1" t="s">
        <v>23</v>
      </c>
      <c r="I91" s="1" t="s">
        <v>24</v>
      </c>
      <c r="J91" s="1" t="s">
        <v>44</v>
      </c>
      <c r="K91" s="1" t="s">
        <v>26</v>
      </c>
      <c r="L91" s="1" t="s">
        <v>27</v>
      </c>
      <c r="N91" s="1" t="s">
        <v>186</v>
      </c>
      <c r="O91" s="1" t="s">
        <v>29</v>
      </c>
      <c r="P91" s="1" t="s">
        <v>187</v>
      </c>
      <c r="Q91" s="1" t="s">
        <v>188</v>
      </c>
      <c r="R91" s="1">
        <v>5.0</v>
      </c>
      <c r="S91" s="1"/>
    </row>
    <row r="92" ht="15.75" customHeight="1">
      <c r="A92" s="1" t="s">
        <v>282</v>
      </c>
      <c r="B92" s="1" t="s">
        <v>283</v>
      </c>
      <c r="C92" s="1" t="s">
        <v>142</v>
      </c>
      <c r="E92" s="1">
        <v>19.3919275</v>
      </c>
      <c r="F92" s="1">
        <v>72.8397317</v>
      </c>
      <c r="G92" s="1" t="s">
        <v>22</v>
      </c>
      <c r="H92" s="1" t="s">
        <v>23</v>
      </c>
      <c r="I92" s="1" t="s">
        <v>24</v>
      </c>
      <c r="J92" s="1" t="s">
        <v>25</v>
      </c>
      <c r="K92" s="1" t="s">
        <v>26</v>
      </c>
      <c r="L92" s="1" t="s">
        <v>27</v>
      </c>
      <c r="N92" s="1" t="s">
        <v>143</v>
      </c>
      <c r="O92" s="1" t="s">
        <v>29</v>
      </c>
      <c r="P92" s="1" t="s">
        <v>144</v>
      </c>
      <c r="Q92" s="1" t="s">
        <v>145</v>
      </c>
      <c r="R92" s="1">
        <v>3.0</v>
      </c>
      <c r="S92" s="1"/>
    </row>
    <row r="93" ht="15.75" customHeight="1">
      <c r="A93" s="1" t="s">
        <v>284</v>
      </c>
      <c r="B93" s="1" t="s">
        <v>285</v>
      </c>
      <c r="C93" s="1" t="s">
        <v>242</v>
      </c>
      <c r="E93" s="1">
        <v>21.2322423</v>
      </c>
      <c r="F93" s="1">
        <v>72.87715759999999</v>
      </c>
      <c r="G93" s="1" t="s">
        <v>22</v>
      </c>
      <c r="H93" s="1" t="s">
        <v>23</v>
      </c>
      <c r="I93" s="1" t="s">
        <v>24</v>
      </c>
      <c r="J93" s="1" t="s">
        <v>56</v>
      </c>
      <c r="K93" s="1" t="s">
        <v>26</v>
      </c>
      <c r="L93" s="1" t="s">
        <v>27</v>
      </c>
      <c r="N93" s="1" t="s">
        <v>216</v>
      </c>
      <c r="O93" s="1" t="s">
        <v>57</v>
      </c>
      <c r="P93" s="1" t="s">
        <v>243</v>
      </c>
      <c r="Q93" s="1" t="s">
        <v>244</v>
      </c>
      <c r="R93" s="1">
        <v>17.0</v>
      </c>
      <c r="S93" s="1"/>
    </row>
    <row r="94" ht="15.75" customHeight="1">
      <c r="A94" s="1" t="s">
        <v>286</v>
      </c>
      <c r="B94" s="1" t="s">
        <v>287</v>
      </c>
      <c r="C94" s="1" t="s">
        <v>142</v>
      </c>
      <c r="E94" s="1">
        <v>19.6967136</v>
      </c>
      <c r="F94" s="1">
        <v>72.769885</v>
      </c>
      <c r="G94" s="1" t="s">
        <v>22</v>
      </c>
      <c r="H94" s="1" t="s">
        <v>23</v>
      </c>
      <c r="I94" s="1" t="s">
        <v>24</v>
      </c>
      <c r="J94" s="1" t="s">
        <v>56</v>
      </c>
      <c r="K94" s="1" t="s">
        <v>26</v>
      </c>
      <c r="L94" s="1" t="s">
        <v>27</v>
      </c>
      <c r="N94" s="1" t="s">
        <v>143</v>
      </c>
      <c r="O94" s="1" t="s">
        <v>57</v>
      </c>
      <c r="P94" s="1" t="s">
        <v>144</v>
      </c>
      <c r="Q94" s="1" t="s">
        <v>145</v>
      </c>
      <c r="R94" s="1">
        <v>1.0</v>
      </c>
      <c r="S94" s="1"/>
    </row>
    <row r="95" ht="15.75" customHeight="1">
      <c r="A95" s="1" t="s">
        <v>288</v>
      </c>
      <c r="B95" s="1" t="s">
        <v>289</v>
      </c>
      <c r="C95" s="1" t="s">
        <v>215</v>
      </c>
      <c r="E95" s="1">
        <v>23.0254803</v>
      </c>
      <c r="F95" s="1">
        <v>72.507722</v>
      </c>
      <c r="G95" s="1" t="s">
        <v>22</v>
      </c>
      <c r="H95" s="1" t="s">
        <v>23</v>
      </c>
      <c r="I95" s="1" t="s">
        <v>24</v>
      </c>
      <c r="J95" s="1" t="s">
        <v>25</v>
      </c>
      <c r="K95" s="1" t="s">
        <v>26</v>
      </c>
      <c r="L95" s="1" t="s">
        <v>27</v>
      </c>
      <c r="N95" s="1" t="s">
        <v>216</v>
      </c>
      <c r="O95" s="1" t="s">
        <v>29</v>
      </c>
      <c r="P95" s="1" t="s">
        <v>217</v>
      </c>
      <c r="Q95" s="1" t="s">
        <v>218</v>
      </c>
      <c r="R95" s="1">
        <v>9.0</v>
      </c>
      <c r="S95" s="1"/>
    </row>
    <row r="96" ht="15.75" customHeight="1">
      <c r="A96" s="1" t="s">
        <v>290</v>
      </c>
      <c r="B96" s="1" t="s">
        <v>291</v>
      </c>
      <c r="C96" s="1" t="s">
        <v>185</v>
      </c>
      <c r="E96" s="1">
        <v>17.3588615</v>
      </c>
      <c r="F96" s="1">
        <v>78.435203</v>
      </c>
      <c r="G96" s="1" t="s">
        <v>22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27</v>
      </c>
      <c r="N96" s="1" t="s">
        <v>186</v>
      </c>
      <c r="O96" s="1" t="s">
        <v>29</v>
      </c>
      <c r="P96" s="1" t="s">
        <v>187</v>
      </c>
      <c r="Q96" s="1" t="s">
        <v>188</v>
      </c>
      <c r="R96" s="1">
        <v>4.0</v>
      </c>
      <c r="S96" s="1"/>
    </row>
    <row r="97" ht="15.75" customHeight="1">
      <c r="A97" s="1" t="s">
        <v>292</v>
      </c>
      <c r="B97" s="1" t="s">
        <v>293</v>
      </c>
      <c r="C97" s="1" t="s">
        <v>148</v>
      </c>
      <c r="E97" s="1">
        <v>19.0746806</v>
      </c>
      <c r="F97" s="1">
        <v>72.8343241</v>
      </c>
      <c r="G97" s="1" t="s">
        <v>22</v>
      </c>
      <c r="H97" s="1" t="s">
        <v>23</v>
      </c>
      <c r="I97" s="1" t="s">
        <v>24</v>
      </c>
      <c r="J97" s="1" t="s">
        <v>44</v>
      </c>
      <c r="K97" s="1" t="s">
        <v>26</v>
      </c>
      <c r="L97" s="1" t="s">
        <v>27</v>
      </c>
      <c r="N97" s="1" t="s">
        <v>143</v>
      </c>
      <c r="O97" s="1" t="s">
        <v>29</v>
      </c>
      <c r="P97" s="1" t="s">
        <v>144</v>
      </c>
      <c r="Q97" s="1" t="s">
        <v>145</v>
      </c>
      <c r="R97" s="1">
        <v>3.0</v>
      </c>
      <c r="S97" s="1"/>
    </row>
    <row r="98" ht="15.75" customHeight="1">
      <c r="A98" s="1" t="s">
        <v>294</v>
      </c>
      <c r="B98" s="1" t="s">
        <v>295</v>
      </c>
      <c r="C98" s="1" t="s">
        <v>148</v>
      </c>
      <c r="E98" s="1">
        <v>19.1126518</v>
      </c>
      <c r="F98" s="1">
        <v>72.84868519999999</v>
      </c>
      <c r="G98" s="1" t="s">
        <v>22</v>
      </c>
      <c r="H98" s="1" t="s">
        <v>23</v>
      </c>
      <c r="I98" s="1" t="s">
        <v>24</v>
      </c>
      <c r="J98" s="1" t="s">
        <v>44</v>
      </c>
      <c r="K98" s="1" t="s">
        <v>26</v>
      </c>
      <c r="L98" s="1" t="s">
        <v>27</v>
      </c>
      <c r="N98" s="1" t="s">
        <v>143</v>
      </c>
      <c r="O98" s="1" t="s">
        <v>29</v>
      </c>
      <c r="P98" s="1" t="s">
        <v>144</v>
      </c>
      <c r="Q98" s="1" t="s">
        <v>145</v>
      </c>
      <c r="R98" s="1">
        <v>5.0</v>
      </c>
      <c r="S98" s="1"/>
    </row>
    <row r="99" ht="15.75" customHeight="1">
      <c r="A99" s="1" t="s">
        <v>296</v>
      </c>
      <c r="B99" s="1" t="s">
        <v>297</v>
      </c>
      <c r="C99" s="1" t="s">
        <v>174</v>
      </c>
      <c r="E99" s="1">
        <v>28.5926266</v>
      </c>
      <c r="F99" s="1">
        <v>77.0414886</v>
      </c>
      <c r="G99" s="1" t="s">
        <v>22</v>
      </c>
      <c r="H99" s="1" t="s">
        <v>23</v>
      </c>
      <c r="I99" s="1" t="s">
        <v>24</v>
      </c>
      <c r="J99" s="1" t="s">
        <v>25</v>
      </c>
      <c r="K99" s="1" t="s">
        <v>26</v>
      </c>
      <c r="L99" s="1" t="s">
        <v>27</v>
      </c>
      <c r="N99" s="1" t="s">
        <v>174</v>
      </c>
      <c r="O99" s="1" t="s">
        <v>29</v>
      </c>
      <c r="P99" s="1" t="s">
        <v>276</v>
      </c>
      <c r="Q99" s="1" t="s">
        <v>277</v>
      </c>
      <c r="R99" s="1">
        <v>9.0</v>
      </c>
      <c r="S99" s="1"/>
    </row>
    <row r="100" ht="15.75" customHeight="1">
      <c r="A100" s="1" t="s">
        <v>298</v>
      </c>
      <c r="B100" s="1" t="s">
        <v>299</v>
      </c>
      <c r="C100" s="1" t="s">
        <v>185</v>
      </c>
      <c r="E100" s="1">
        <v>17.3316773</v>
      </c>
      <c r="F100" s="1">
        <v>78.55270469999999</v>
      </c>
      <c r="G100" s="1" t="s">
        <v>22</v>
      </c>
      <c r="H100" s="1" t="s">
        <v>23</v>
      </c>
      <c r="I100" s="1" t="s">
        <v>24</v>
      </c>
      <c r="J100" s="1" t="s">
        <v>56</v>
      </c>
      <c r="K100" s="1" t="s">
        <v>26</v>
      </c>
      <c r="L100" s="1" t="s">
        <v>27</v>
      </c>
      <c r="N100" s="1" t="s">
        <v>186</v>
      </c>
      <c r="O100" s="1" t="s">
        <v>57</v>
      </c>
      <c r="P100" s="1" t="s">
        <v>187</v>
      </c>
      <c r="Q100" s="1" t="s">
        <v>188</v>
      </c>
      <c r="R100" s="1">
        <v>2.0</v>
      </c>
      <c r="S100" s="1"/>
    </row>
    <row r="101" ht="15.75" customHeight="1">
      <c r="A101" s="1" t="s">
        <v>300</v>
      </c>
      <c r="B101" s="1" t="s">
        <v>301</v>
      </c>
      <c r="C101" s="1" t="s">
        <v>142</v>
      </c>
      <c r="E101" s="1">
        <v>19.1907884</v>
      </c>
      <c r="F101" s="1">
        <v>72.9533376</v>
      </c>
      <c r="G101" s="1" t="s">
        <v>22</v>
      </c>
      <c r="H101" s="1" t="s">
        <v>23</v>
      </c>
      <c r="I101" s="1" t="s">
        <v>24</v>
      </c>
      <c r="J101" s="1" t="s">
        <v>25</v>
      </c>
      <c r="K101" s="1" t="s">
        <v>26</v>
      </c>
      <c r="L101" s="1" t="s">
        <v>27</v>
      </c>
      <c r="N101" s="1" t="s">
        <v>143</v>
      </c>
      <c r="O101" s="1" t="s">
        <v>29</v>
      </c>
      <c r="P101" s="1" t="s">
        <v>144</v>
      </c>
      <c r="Q101" s="1" t="s">
        <v>145</v>
      </c>
      <c r="R101" s="1">
        <v>12.0</v>
      </c>
      <c r="S101" s="1"/>
    </row>
    <row r="102" ht="15.75" customHeight="1">
      <c r="A102" s="1" t="s">
        <v>302</v>
      </c>
      <c r="B102" s="1" t="s">
        <v>303</v>
      </c>
      <c r="C102" s="1" t="s">
        <v>185</v>
      </c>
      <c r="E102" s="1">
        <v>17.5851644</v>
      </c>
      <c r="F102" s="1">
        <v>78.4985018</v>
      </c>
      <c r="G102" s="1" t="s">
        <v>22</v>
      </c>
      <c r="H102" s="1" t="s">
        <v>23</v>
      </c>
      <c r="I102" s="1" t="s">
        <v>24</v>
      </c>
      <c r="J102" s="1" t="s">
        <v>118</v>
      </c>
      <c r="K102" s="1" t="s">
        <v>26</v>
      </c>
      <c r="L102" s="1" t="s">
        <v>27</v>
      </c>
      <c r="N102" s="1" t="s">
        <v>186</v>
      </c>
      <c r="O102" s="1" t="s">
        <v>57</v>
      </c>
      <c r="P102" s="1" t="s">
        <v>187</v>
      </c>
      <c r="Q102" s="1" t="s">
        <v>188</v>
      </c>
      <c r="R102" s="1">
        <v>2.0</v>
      </c>
      <c r="S102" s="1"/>
    </row>
    <row r="103" ht="15.75" customHeight="1">
      <c r="A103" s="1" t="s">
        <v>304</v>
      </c>
      <c r="B103" s="1" t="s">
        <v>305</v>
      </c>
      <c r="C103" s="1" t="s">
        <v>185</v>
      </c>
      <c r="E103" s="1">
        <v>17.3488585</v>
      </c>
      <c r="F103" s="1">
        <v>78.47187799999999</v>
      </c>
      <c r="G103" s="1" t="s">
        <v>22</v>
      </c>
      <c r="H103" s="1" t="s">
        <v>23</v>
      </c>
      <c r="I103" s="1" t="s">
        <v>24</v>
      </c>
      <c r="J103" s="1" t="s">
        <v>118</v>
      </c>
      <c r="K103" s="1" t="s">
        <v>26</v>
      </c>
      <c r="L103" s="1" t="s">
        <v>27</v>
      </c>
      <c r="N103" s="1" t="s">
        <v>186</v>
      </c>
      <c r="O103" s="1" t="s">
        <v>29</v>
      </c>
      <c r="P103" s="1" t="s">
        <v>187</v>
      </c>
      <c r="Q103" s="1" t="s">
        <v>188</v>
      </c>
      <c r="R103" s="1">
        <v>3.0</v>
      </c>
      <c r="S103" s="1"/>
    </row>
    <row r="104" ht="15.75" customHeight="1">
      <c r="A104" s="1" t="s">
        <v>306</v>
      </c>
      <c r="B104" s="1" t="s">
        <v>307</v>
      </c>
      <c r="C104" s="1" t="s">
        <v>185</v>
      </c>
      <c r="E104" s="1">
        <v>17.5380164</v>
      </c>
      <c r="F104" s="1">
        <v>78.4897455</v>
      </c>
      <c r="G104" s="1" t="s">
        <v>22</v>
      </c>
      <c r="H104" s="1" t="s">
        <v>23</v>
      </c>
      <c r="I104" s="1" t="s">
        <v>24</v>
      </c>
      <c r="J104" s="1" t="s">
        <v>56</v>
      </c>
      <c r="K104" s="1" t="s">
        <v>26</v>
      </c>
      <c r="L104" s="1" t="s">
        <v>27</v>
      </c>
      <c r="N104" s="1" t="s">
        <v>186</v>
      </c>
      <c r="O104" s="1" t="s">
        <v>57</v>
      </c>
      <c r="P104" s="1" t="s">
        <v>187</v>
      </c>
      <c r="Q104" s="1" t="s">
        <v>188</v>
      </c>
      <c r="R104" s="1">
        <v>2.0</v>
      </c>
      <c r="S104" s="1"/>
    </row>
    <row r="105" ht="15.75" customHeight="1">
      <c r="A105" s="1" t="s">
        <v>308</v>
      </c>
      <c r="B105" s="1" t="s">
        <v>309</v>
      </c>
      <c r="C105" s="1" t="s">
        <v>259</v>
      </c>
      <c r="E105" s="1">
        <v>28.3933917</v>
      </c>
      <c r="F105" s="1">
        <v>76.9868777</v>
      </c>
      <c r="G105" s="1" t="s">
        <v>22</v>
      </c>
      <c r="H105" s="1" t="s">
        <v>23</v>
      </c>
      <c r="I105" s="1" t="s">
        <v>24</v>
      </c>
      <c r="J105" s="1" t="s">
        <v>25</v>
      </c>
      <c r="K105" s="1" t="s">
        <v>26</v>
      </c>
      <c r="L105" s="1" t="s">
        <v>27</v>
      </c>
      <c r="N105" s="1" t="s">
        <v>163</v>
      </c>
      <c r="O105" s="1" t="s">
        <v>29</v>
      </c>
      <c r="P105" s="1" t="s">
        <v>310</v>
      </c>
      <c r="Q105" s="1" t="s">
        <v>311</v>
      </c>
      <c r="R105" s="1">
        <v>11.0</v>
      </c>
      <c r="S105" s="1"/>
    </row>
    <row r="106" ht="15.75" customHeight="1">
      <c r="A106" s="1" t="s">
        <v>312</v>
      </c>
      <c r="B106" s="1" t="s">
        <v>313</v>
      </c>
      <c r="C106" s="1" t="s">
        <v>174</v>
      </c>
      <c r="E106" s="1">
        <v>28.7452094</v>
      </c>
      <c r="F106" s="1">
        <v>77.1981521</v>
      </c>
      <c r="G106" s="1" t="s">
        <v>22</v>
      </c>
      <c r="H106" s="1" t="s">
        <v>23</v>
      </c>
      <c r="I106" s="1" t="s">
        <v>24</v>
      </c>
      <c r="J106" s="1" t="s">
        <v>56</v>
      </c>
      <c r="K106" s="1" t="s">
        <v>26</v>
      </c>
      <c r="L106" s="1" t="s">
        <v>27</v>
      </c>
      <c r="N106" s="1" t="s">
        <v>174</v>
      </c>
      <c r="O106" s="1" t="s">
        <v>57</v>
      </c>
      <c r="P106" s="1" t="s">
        <v>222</v>
      </c>
      <c r="Q106" s="1" t="s">
        <v>223</v>
      </c>
      <c r="R106" s="1">
        <v>5.0</v>
      </c>
      <c r="S106" s="1"/>
    </row>
    <row r="107" ht="15.75" customHeight="1">
      <c r="A107" s="1" t="s">
        <v>314</v>
      </c>
      <c r="B107" s="1" t="s">
        <v>315</v>
      </c>
      <c r="C107" s="1" t="s">
        <v>242</v>
      </c>
      <c r="E107" s="1">
        <v>21.1969326</v>
      </c>
      <c r="F107" s="1">
        <v>72.8751458</v>
      </c>
      <c r="G107" s="1" t="s">
        <v>22</v>
      </c>
      <c r="H107" s="1" t="s">
        <v>23</v>
      </c>
      <c r="I107" s="1" t="s">
        <v>24</v>
      </c>
      <c r="J107" s="1" t="s">
        <v>118</v>
      </c>
      <c r="K107" s="1" t="s">
        <v>26</v>
      </c>
      <c r="L107" s="1" t="s">
        <v>27</v>
      </c>
      <c r="N107" s="1" t="s">
        <v>216</v>
      </c>
      <c r="O107" s="1" t="s">
        <v>57</v>
      </c>
      <c r="P107" s="1" t="s">
        <v>243</v>
      </c>
      <c r="Q107" s="1" t="s">
        <v>244</v>
      </c>
      <c r="R107" s="1">
        <v>20.0</v>
      </c>
      <c r="S107" s="1"/>
    </row>
    <row r="108" ht="15.75" customHeight="1">
      <c r="A108" s="1" t="s">
        <v>316</v>
      </c>
      <c r="B108" s="1" t="s">
        <v>317</v>
      </c>
      <c r="C108" s="1" t="s">
        <v>151</v>
      </c>
      <c r="E108" s="1">
        <v>18.4703386</v>
      </c>
      <c r="F108" s="1">
        <v>73.8567191</v>
      </c>
      <c r="G108" s="1" t="s">
        <v>22</v>
      </c>
      <c r="H108" s="1" t="s">
        <v>23</v>
      </c>
      <c r="I108" s="1" t="s">
        <v>24</v>
      </c>
      <c r="J108" s="1" t="s">
        <v>25</v>
      </c>
      <c r="K108" s="1" t="s">
        <v>26</v>
      </c>
      <c r="L108" s="1" t="s">
        <v>27</v>
      </c>
      <c r="N108" s="1" t="s">
        <v>143</v>
      </c>
      <c r="O108" s="1" t="s">
        <v>29</v>
      </c>
      <c r="P108" s="1" t="s">
        <v>152</v>
      </c>
      <c r="Q108" s="1" t="s">
        <v>153</v>
      </c>
      <c r="R108" s="1">
        <v>17.0</v>
      </c>
      <c r="S108" s="1"/>
    </row>
    <row r="109" ht="15.75" customHeight="1">
      <c r="A109" s="1" t="s">
        <v>318</v>
      </c>
      <c r="B109" s="1" t="s">
        <v>319</v>
      </c>
      <c r="C109" s="1" t="s">
        <v>148</v>
      </c>
      <c r="E109" s="1">
        <v>19.1142318</v>
      </c>
      <c r="F109" s="1">
        <v>72.8612493</v>
      </c>
      <c r="G109" s="1" t="s">
        <v>22</v>
      </c>
      <c r="H109" s="1" t="s">
        <v>23</v>
      </c>
      <c r="I109" s="1" t="s">
        <v>24</v>
      </c>
      <c r="J109" s="1" t="s">
        <v>25</v>
      </c>
      <c r="K109" s="1" t="s">
        <v>26</v>
      </c>
      <c r="L109" s="1" t="s">
        <v>27</v>
      </c>
      <c r="N109" s="1" t="s">
        <v>143</v>
      </c>
      <c r="O109" s="1" t="s">
        <v>29</v>
      </c>
      <c r="P109" s="1" t="s">
        <v>144</v>
      </c>
      <c r="Q109" s="1" t="s">
        <v>145</v>
      </c>
      <c r="R109" s="1">
        <v>9.0</v>
      </c>
      <c r="S109" s="1"/>
    </row>
    <row r="110" ht="15.75" customHeight="1">
      <c r="A110" s="1" t="s">
        <v>320</v>
      </c>
      <c r="B110" s="1" t="s">
        <v>321</v>
      </c>
      <c r="C110" s="1" t="s">
        <v>174</v>
      </c>
      <c r="E110" s="1">
        <v>28.6438956</v>
      </c>
      <c r="F110" s="1">
        <v>77.173891</v>
      </c>
      <c r="G110" s="1" t="s">
        <v>22</v>
      </c>
      <c r="H110" s="1" t="s">
        <v>23</v>
      </c>
      <c r="I110" s="1" t="s">
        <v>24</v>
      </c>
      <c r="J110" s="1" t="s">
        <v>44</v>
      </c>
      <c r="K110" s="1" t="s">
        <v>26</v>
      </c>
      <c r="L110" s="1" t="s">
        <v>27</v>
      </c>
      <c r="N110" s="1" t="s">
        <v>174</v>
      </c>
      <c r="O110" s="1" t="s">
        <v>29</v>
      </c>
      <c r="P110" s="1" t="s">
        <v>276</v>
      </c>
      <c r="Q110" s="1" t="s">
        <v>277</v>
      </c>
      <c r="R110" s="1">
        <v>8.0</v>
      </c>
      <c r="S110" s="1"/>
    </row>
    <row r="111" ht="15.75" customHeight="1">
      <c r="A111" s="1" t="s">
        <v>322</v>
      </c>
      <c r="B111" s="1" t="s">
        <v>323</v>
      </c>
      <c r="C111" s="1" t="s">
        <v>215</v>
      </c>
      <c r="E111" s="1">
        <v>23.022505</v>
      </c>
      <c r="F111" s="1">
        <v>72.571362</v>
      </c>
      <c r="G111" s="1" t="s">
        <v>22</v>
      </c>
      <c r="H111" s="1" t="s">
        <v>23</v>
      </c>
      <c r="I111" s="1" t="s">
        <v>24</v>
      </c>
      <c r="J111" s="1" t="s">
        <v>25</v>
      </c>
      <c r="K111" s="1" t="s">
        <v>26</v>
      </c>
      <c r="L111" s="1" t="s">
        <v>27</v>
      </c>
      <c r="N111" s="1" t="s">
        <v>216</v>
      </c>
      <c r="O111" s="1" t="s">
        <v>29</v>
      </c>
      <c r="P111" s="1" t="s">
        <v>217</v>
      </c>
      <c r="Q111" s="1" t="s">
        <v>218</v>
      </c>
      <c r="R111" s="1">
        <v>8.0</v>
      </c>
      <c r="S111" s="1"/>
    </row>
    <row r="112" ht="15.75" customHeight="1">
      <c r="A112" s="1" t="s">
        <v>324</v>
      </c>
      <c r="B112" s="1" t="s">
        <v>325</v>
      </c>
      <c r="C112" s="1" t="s">
        <v>148</v>
      </c>
      <c r="E112" s="1">
        <v>19.1623701</v>
      </c>
      <c r="F112" s="1">
        <v>72.9376316</v>
      </c>
      <c r="G112" s="1" t="s">
        <v>22</v>
      </c>
      <c r="H112" s="1" t="s">
        <v>23</v>
      </c>
      <c r="I112" s="1" t="s">
        <v>24</v>
      </c>
      <c r="J112" s="1" t="s">
        <v>25</v>
      </c>
      <c r="K112" s="1" t="s">
        <v>26</v>
      </c>
      <c r="L112" s="1" t="s">
        <v>27</v>
      </c>
      <c r="N112" s="1" t="s">
        <v>143</v>
      </c>
      <c r="O112" s="1" t="s">
        <v>29</v>
      </c>
      <c r="P112" s="1" t="s">
        <v>144</v>
      </c>
      <c r="Q112" s="1" t="s">
        <v>145</v>
      </c>
      <c r="R112" s="1">
        <v>6.0</v>
      </c>
      <c r="S112" s="1"/>
    </row>
    <row r="113" ht="15.75" customHeight="1">
      <c r="A113" s="1" t="s">
        <v>326</v>
      </c>
      <c r="B113" s="1" t="s">
        <v>327</v>
      </c>
      <c r="C113" s="1" t="s">
        <v>148</v>
      </c>
      <c r="E113" s="1">
        <v>19.0465102</v>
      </c>
      <c r="F113" s="1">
        <v>72.8632615</v>
      </c>
      <c r="G113" s="1" t="s">
        <v>22</v>
      </c>
      <c r="H113" s="1" t="s">
        <v>23</v>
      </c>
      <c r="I113" s="1" t="s">
        <v>24</v>
      </c>
      <c r="J113" s="1" t="s">
        <v>44</v>
      </c>
      <c r="K113" s="1" t="s">
        <v>26</v>
      </c>
      <c r="L113" s="1" t="s">
        <v>27</v>
      </c>
      <c r="N113" s="1" t="s">
        <v>143</v>
      </c>
      <c r="O113" s="1" t="s">
        <v>29</v>
      </c>
      <c r="P113" s="1" t="s">
        <v>144</v>
      </c>
      <c r="Q113" s="1" t="s">
        <v>145</v>
      </c>
      <c r="R113" s="1">
        <v>5.0</v>
      </c>
      <c r="S113" s="1"/>
    </row>
    <row r="114" ht="15.75" customHeight="1">
      <c r="A114" s="1" t="s">
        <v>328</v>
      </c>
      <c r="B114" s="1" t="s">
        <v>329</v>
      </c>
      <c r="C114" s="1" t="s">
        <v>242</v>
      </c>
      <c r="E114" s="1">
        <v>21.1621307</v>
      </c>
      <c r="F114" s="1">
        <v>72.8121717</v>
      </c>
      <c r="G114" s="1" t="s">
        <v>22</v>
      </c>
      <c r="H114" s="1" t="s">
        <v>23</v>
      </c>
      <c r="I114" s="1" t="s">
        <v>24</v>
      </c>
      <c r="J114" s="1" t="s">
        <v>25</v>
      </c>
      <c r="K114" s="1" t="s">
        <v>26</v>
      </c>
      <c r="L114" s="1" t="s">
        <v>27</v>
      </c>
      <c r="N114" s="1" t="s">
        <v>216</v>
      </c>
      <c r="O114" s="1" t="s">
        <v>29</v>
      </c>
      <c r="P114" s="1" t="s">
        <v>243</v>
      </c>
      <c r="Q114" s="1" t="s">
        <v>244</v>
      </c>
      <c r="R114" s="1">
        <v>37.0</v>
      </c>
      <c r="S114" s="1"/>
    </row>
    <row r="115" ht="15.75" customHeight="1">
      <c r="A115" s="1" t="s">
        <v>330</v>
      </c>
      <c r="B115" s="1" t="s">
        <v>331</v>
      </c>
      <c r="C115" s="1" t="s">
        <v>242</v>
      </c>
      <c r="E115" s="1">
        <v>21.1893349</v>
      </c>
      <c r="F115" s="1">
        <v>72.8945122</v>
      </c>
      <c r="G115" s="1" t="s">
        <v>22</v>
      </c>
      <c r="H115" s="1" t="s">
        <v>23</v>
      </c>
      <c r="I115" s="1" t="s">
        <v>24</v>
      </c>
      <c r="J115" s="1" t="s">
        <v>56</v>
      </c>
      <c r="K115" s="1" t="s">
        <v>26</v>
      </c>
      <c r="L115" s="1" t="s">
        <v>27</v>
      </c>
      <c r="N115" s="1" t="s">
        <v>216</v>
      </c>
      <c r="O115" s="1" t="s">
        <v>57</v>
      </c>
      <c r="P115" s="1" t="s">
        <v>243</v>
      </c>
      <c r="Q115" s="1" t="s">
        <v>244</v>
      </c>
      <c r="R115" s="1">
        <v>19.0</v>
      </c>
      <c r="S115" s="1"/>
    </row>
    <row r="116" ht="15.75" customHeight="1">
      <c r="A116" s="1" t="s">
        <v>332</v>
      </c>
      <c r="B116" s="1" t="s">
        <v>333</v>
      </c>
      <c r="C116" s="1" t="s">
        <v>148</v>
      </c>
      <c r="E116" s="1">
        <v>19.0942098</v>
      </c>
      <c r="F116" s="1">
        <v>72.9128182</v>
      </c>
      <c r="G116" s="1" t="s">
        <v>22</v>
      </c>
      <c r="H116" s="1" t="s">
        <v>23</v>
      </c>
      <c r="I116" s="1" t="s">
        <v>24</v>
      </c>
      <c r="J116" s="1" t="s">
        <v>25</v>
      </c>
      <c r="K116" s="1" t="s">
        <v>26</v>
      </c>
      <c r="L116" s="1" t="s">
        <v>27</v>
      </c>
      <c r="N116" s="1" t="s">
        <v>143</v>
      </c>
      <c r="O116" s="1" t="s">
        <v>29</v>
      </c>
      <c r="P116" s="1" t="s">
        <v>144</v>
      </c>
      <c r="Q116" s="1" t="s">
        <v>145</v>
      </c>
      <c r="R116" s="1">
        <v>13.0</v>
      </c>
      <c r="S116" s="1"/>
    </row>
    <row r="117" ht="15.75" customHeight="1">
      <c r="A117" s="1" t="s">
        <v>334</v>
      </c>
      <c r="B117" s="1" t="s">
        <v>335</v>
      </c>
      <c r="C117" s="1" t="s">
        <v>148</v>
      </c>
      <c r="E117" s="1">
        <v>19.1598541</v>
      </c>
      <c r="F117" s="1">
        <v>72.85139099999999</v>
      </c>
      <c r="G117" s="1" t="s">
        <v>22</v>
      </c>
      <c r="H117" s="1" t="s">
        <v>23</v>
      </c>
      <c r="I117" s="1" t="s">
        <v>24</v>
      </c>
      <c r="J117" s="1" t="s">
        <v>44</v>
      </c>
      <c r="K117" s="1" t="s">
        <v>26</v>
      </c>
      <c r="L117" s="1" t="s">
        <v>27</v>
      </c>
      <c r="N117" s="1" t="s">
        <v>143</v>
      </c>
      <c r="O117" s="1" t="s">
        <v>29</v>
      </c>
      <c r="P117" s="1" t="s">
        <v>144</v>
      </c>
      <c r="Q117" s="1" t="s">
        <v>145</v>
      </c>
      <c r="R117" s="1">
        <v>13.0</v>
      </c>
      <c r="S117" s="1"/>
    </row>
    <row r="118" ht="15.75" customHeight="1">
      <c r="A118" s="1" t="s">
        <v>336</v>
      </c>
      <c r="B118" s="1" t="s">
        <v>337</v>
      </c>
      <c r="C118" s="1" t="s">
        <v>242</v>
      </c>
      <c r="E118" s="1">
        <v>21.193202</v>
      </c>
      <c r="F118" s="1">
        <v>72.8503709</v>
      </c>
      <c r="G118" s="1" t="s">
        <v>22</v>
      </c>
      <c r="H118" s="1" t="s">
        <v>23</v>
      </c>
      <c r="I118" s="1" t="s">
        <v>24</v>
      </c>
      <c r="J118" s="1" t="s">
        <v>44</v>
      </c>
      <c r="K118" s="1" t="s">
        <v>26</v>
      </c>
      <c r="L118" s="1" t="s">
        <v>27</v>
      </c>
      <c r="N118" s="1" t="s">
        <v>216</v>
      </c>
      <c r="O118" s="1" t="s">
        <v>29</v>
      </c>
      <c r="P118" s="1" t="s">
        <v>243</v>
      </c>
      <c r="Q118" s="1" t="s">
        <v>244</v>
      </c>
      <c r="R118" s="1">
        <v>31.0</v>
      </c>
      <c r="S118" s="1"/>
    </row>
    <row r="119" ht="15.75" customHeight="1">
      <c r="A119" s="1" t="s">
        <v>338</v>
      </c>
      <c r="B119" s="1" t="s">
        <v>339</v>
      </c>
      <c r="C119" s="1" t="s">
        <v>151</v>
      </c>
      <c r="E119" s="1">
        <v>18.595921</v>
      </c>
      <c r="F119" s="1">
        <v>73.7230627</v>
      </c>
      <c r="G119" s="1" t="s">
        <v>22</v>
      </c>
      <c r="H119" s="1" t="s">
        <v>23</v>
      </c>
      <c r="I119" s="1" t="s">
        <v>24</v>
      </c>
      <c r="J119" s="1" t="s">
        <v>44</v>
      </c>
      <c r="K119" s="1" t="s">
        <v>26</v>
      </c>
      <c r="L119" s="1" t="s">
        <v>27</v>
      </c>
      <c r="N119" s="1" t="s">
        <v>143</v>
      </c>
      <c r="O119" s="1" t="s">
        <v>29</v>
      </c>
      <c r="P119" s="1" t="s">
        <v>152</v>
      </c>
      <c r="Q119" s="1" t="s">
        <v>153</v>
      </c>
      <c r="R119" s="1">
        <v>10.0</v>
      </c>
      <c r="S119" s="1"/>
    </row>
    <row r="120" ht="15.75" customHeight="1">
      <c r="A120" s="1" t="s">
        <v>340</v>
      </c>
      <c r="B120" s="1" t="s">
        <v>341</v>
      </c>
      <c r="C120" s="1" t="s">
        <v>215</v>
      </c>
      <c r="E120" s="1">
        <v>23.1198332</v>
      </c>
      <c r="F120" s="1">
        <v>72.5671802</v>
      </c>
      <c r="G120" s="1" t="s">
        <v>22</v>
      </c>
      <c r="H120" s="1" t="s">
        <v>23</v>
      </c>
      <c r="I120" s="1" t="s">
        <v>24</v>
      </c>
      <c r="J120" s="1" t="s">
        <v>44</v>
      </c>
      <c r="K120" s="1" t="s">
        <v>26</v>
      </c>
      <c r="L120" s="1" t="s">
        <v>27</v>
      </c>
      <c r="N120" s="1" t="s">
        <v>216</v>
      </c>
      <c r="O120" s="1" t="s">
        <v>29</v>
      </c>
      <c r="P120" s="1" t="s">
        <v>217</v>
      </c>
      <c r="Q120" s="1" t="s">
        <v>218</v>
      </c>
      <c r="R120" s="1">
        <v>5.0</v>
      </c>
      <c r="S120" s="1"/>
    </row>
    <row r="121" ht="15.75" customHeight="1">
      <c r="A121" s="1" t="s">
        <v>342</v>
      </c>
      <c r="B121" s="1" t="s">
        <v>343</v>
      </c>
      <c r="C121" s="1" t="s">
        <v>174</v>
      </c>
      <c r="E121" s="1">
        <v>28.62026</v>
      </c>
      <c r="F121" s="1">
        <v>77.04507</v>
      </c>
      <c r="G121" s="1" t="s">
        <v>22</v>
      </c>
      <c r="H121" s="1" t="s">
        <v>23</v>
      </c>
      <c r="I121" s="1" t="s">
        <v>24</v>
      </c>
      <c r="J121" s="1" t="s">
        <v>44</v>
      </c>
      <c r="K121" s="1" t="s">
        <v>26</v>
      </c>
      <c r="L121" s="1" t="s">
        <v>27</v>
      </c>
      <c r="N121" s="1" t="s">
        <v>174</v>
      </c>
      <c r="O121" s="1" t="s">
        <v>29</v>
      </c>
      <c r="P121" s="1" t="s">
        <v>276</v>
      </c>
      <c r="Q121" s="1" t="s">
        <v>277</v>
      </c>
      <c r="R121" s="1">
        <v>10.0</v>
      </c>
      <c r="S121" s="1"/>
    </row>
    <row r="122" ht="15.75" customHeight="1">
      <c r="A122" s="1" t="s">
        <v>344</v>
      </c>
      <c r="B122" s="1" t="s">
        <v>345</v>
      </c>
      <c r="C122" s="1" t="s">
        <v>142</v>
      </c>
      <c r="E122" s="1">
        <v>19.1984667</v>
      </c>
      <c r="F122" s="1">
        <v>72.967822</v>
      </c>
      <c r="G122" s="1" t="s">
        <v>22</v>
      </c>
      <c r="H122" s="1" t="s">
        <v>23</v>
      </c>
      <c r="I122" s="1" t="s">
        <v>24</v>
      </c>
      <c r="J122" s="1" t="s">
        <v>44</v>
      </c>
      <c r="K122" s="1" t="s">
        <v>26</v>
      </c>
      <c r="L122" s="1" t="s">
        <v>27</v>
      </c>
      <c r="N122" s="1" t="s">
        <v>143</v>
      </c>
      <c r="O122" s="1" t="s">
        <v>29</v>
      </c>
      <c r="P122" s="1" t="s">
        <v>144</v>
      </c>
      <c r="Q122" s="1" t="s">
        <v>145</v>
      </c>
      <c r="R122" s="1">
        <v>2.0</v>
      </c>
      <c r="S122" s="1"/>
    </row>
    <row r="123" ht="15.75" customHeight="1">
      <c r="A123" s="1" t="s">
        <v>346</v>
      </c>
      <c r="B123" s="1" t="s">
        <v>347</v>
      </c>
      <c r="C123" s="1" t="s">
        <v>185</v>
      </c>
      <c r="E123" s="1">
        <v>17.4479974</v>
      </c>
      <c r="F123" s="1">
        <v>78.5711043</v>
      </c>
      <c r="G123" s="1" t="s">
        <v>22</v>
      </c>
      <c r="H123" s="1" t="s">
        <v>23</v>
      </c>
      <c r="I123" s="1" t="s">
        <v>24</v>
      </c>
      <c r="J123" s="1" t="s">
        <v>44</v>
      </c>
      <c r="K123" s="1" t="s">
        <v>26</v>
      </c>
      <c r="L123" s="1" t="s">
        <v>27</v>
      </c>
      <c r="N123" s="1" t="s">
        <v>186</v>
      </c>
      <c r="O123" s="1" t="s">
        <v>29</v>
      </c>
      <c r="P123" s="1" t="s">
        <v>187</v>
      </c>
      <c r="Q123" s="1" t="s">
        <v>188</v>
      </c>
      <c r="R123" s="1">
        <v>3.0</v>
      </c>
      <c r="S123" s="1"/>
    </row>
    <row r="124" ht="15.75" customHeight="1">
      <c r="A124" s="1" t="s">
        <v>348</v>
      </c>
      <c r="B124" s="1" t="s">
        <v>349</v>
      </c>
      <c r="C124" s="1" t="s">
        <v>148</v>
      </c>
      <c r="E124" s="1">
        <v>19.1412127</v>
      </c>
      <c r="F124" s="1">
        <v>72.8309064</v>
      </c>
      <c r="G124" s="1" t="s">
        <v>22</v>
      </c>
      <c r="H124" s="1" t="s">
        <v>23</v>
      </c>
      <c r="I124" s="1" t="s">
        <v>24</v>
      </c>
      <c r="J124" s="1" t="s">
        <v>44</v>
      </c>
      <c r="K124" s="1" t="s">
        <v>26</v>
      </c>
      <c r="L124" s="1" t="s">
        <v>27</v>
      </c>
      <c r="N124" s="1" t="s">
        <v>143</v>
      </c>
      <c r="O124" s="1" t="s">
        <v>29</v>
      </c>
      <c r="P124" s="1" t="s">
        <v>144</v>
      </c>
      <c r="Q124" s="1" t="s">
        <v>145</v>
      </c>
      <c r="R124" s="1">
        <v>6.0</v>
      </c>
      <c r="S124" s="1"/>
    </row>
    <row r="125" ht="15.75" customHeight="1">
      <c r="A125" s="1" t="s">
        <v>350</v>
      </c>
      <c r="B125" s="1" t="s">
        <v>351</v>
      </c>
      <c r="C125" s="1" t="s">
        <v>185</v>
      </c>
      <c r="E125" s="1">
        <v>17.3636474</v>
      </c>
      <c r="F125" s="1">
        <v>78.60011949999999</v>
      </c>
      <c r="G125" s="1" t="s">
        <v>22</v>
      </c>
      <c r="H125" s="1" t="s">
        <v>23</v>
      </c>
      <c r="I125" s="1" t="s">
        <v>24</v>
      </c>
      <c r="J125" s="1" t="s">
        <v>25</v>
      </c>
      <c r="K125" s="1" t="s">
        <v>26</v>
      </c>
      <c r="L125" s="1" t="s">
        <v>27</v>
      </c>
      <c r="N125" s="1" t="s">
        <v>186</v>
      </c>
      <c r="O125" s="1" t="s">
        <v>29</v>
      </c>
      <c r="P125" s="1" t="s">
        <v>187</v>
      </c>
      <c r="Q125" s="1" t="s">
        <v>188</v>
      </c>
      <c r="R125" s="1">
        <v>5.0</v>
      </c>
      <c r="S125" s="1"/>
    </row>
    <row r="126" ht="15.75" customHeight="1">
      <c r="A126" s="1" t="s">
        <v>352</v>
      </c>
      <c r="B126" s="1" t="s">
        <v>353</v>
      </c>
      <c r="C126" s="1" t="s">
        <v>174</v>
      </c>
      <c r="E126" s="1">
        <v>28.6231907</v>
      </c>
      <c r="F126" s="1">
        <v>77.0617383</v>
      </c>
      <c r="G126" s="1" t="s">
        <v>22</v>
      </c>
      <c r="H126" s="1" t="s">
        <v>23</v>
      </c>
      <c r="I126" s="1" t="s">
        <v>24</v>
      </c>
      <c r="J126" s="1" t="s">
        <v>44</v>
      </c>
      <c r="K126" s="1" t="s">
        <v>26</v>
      </c>
      <c r="L126" s="1" t="s">
        <v>27</v>
      </c>
      <c r="N126" s="1" t="s">
        <v>174</v>
      </c>
      <c r="O126" s="1" t="s">
        <v>29</v>
      </c>
      <c r="P126" s="1" t="s">
        <v>276</v>
      </c>
      <c r="Q126" s="1" t="s">
        <v>277</v>
      </c>
      <c r="R126" s="1">
        <v>12.0</v>
      </c>
      <c r="S126" s="1"/>
    </row>
    <row r="127" ht="15.75" customHeight="1">
      <c r="A127" s="1" t="s">
        <v>354</v>
      </c>
      <c r="B127" s="1" t="s">
        <v>355</v>
      </c>
      <c r="C127" s="1" t="s">
        <v>174</v>
      </c>
      <c r="E127" s="1">
        <v>28.7078739</v>
      </c>
      <c r="F127" s="1">
        <v>77.1363111</v>
      </c>
      <c r="G127" s="1" t="s">
        <v>22</v>
      </c>
      <c r="H127" s="1" t="s">
        <v>23</v>
      </c>
      <c r="I127" s="1" t="s">
        <v>24</v>
      </c>
      <c r="J127" s="1" t="s">
        <v>44</v>
      </c>
      <c r="K127" s="1" t="s">
        <v>26</v>
      </c>
      <c r="L127" s="1" t="s">
        <v>27</v>
      </c>
      <c r="N127" s="1" t="s">
        <v>174</v>
      </c>
      <c r="O127" s="1" t="s">
        <v>29</v>
      </c>
      <c r="P127" s="1" t="s">
        <v>222</v>
      </c>
      <c r="Q127" s="1" t="s">
        <v>223</v>
      </c>
      <c r="R127" s="1">
        <v>7.0</v>
      </c>
      <c r="S127" s="1"/>
    </row>
    <row r="128" ht="15.75" customHeight="1">
      <c r="A128" s="1" t="s">
        <v>356</v>
      </c>
      <c r="B128" s="1" t="s">
        <v>357</v>
      </c>
      <c r="C128" s="1" t="s">
        <v>242</v>
      </c>
      <c r="E128" s="1">
        <v>21.168878</v>
      </c>
      <c r="F128" s="1">
        <v>72.8206991</v>
      </c>
      <c r="G128" s="1" t="s">
        <v>22</v>
      </c>
      <c r="H128" s="1" t="s">
        <v>23</v>
      </c>
      <c r="I128" s="1" t="s">
        <v>24</v>
      </c>
      <c r="J128" s="1" t="s">
        <v>118</v>
      </c>
      <c r="K128" s="1" t="s">
        <v>26</v>
      </c>
      <c r="L128" s="1" t="s">
        <v>27</v>
      </c>
      <c r="N128" s="1" t="s">
        <v>216</v>
      </c>
      <c r="O128" s="1" t="s">
        <v>57</v>
      </c>
      <c r="P128" s="1" t="s">
        <v>243</v>
      </c>
      <c r="Q128" s="1" t="s">
        <v>244</v>
      </c>
      <c r="R128" s="1">
        <v>23.0</v>
      </c>
      <c r="S128" s="1"/>
    </row>
    <row r="129" ht="15.75" customHeight="1">
      <c r="A129" s="1" t="s">
        <v>358</v>
      </c>
      <c r="B129" s="1" t="s">
        <v>359</v>
      </c>
      <c r="C129" s="1" t="s">
        <v>174</v>
      </c>
      <c r="E129" s="1">
        <v>28.676395</v>
      </c>
      <c r="F129" s="1">
        <v>77.0626488</v>
      </c>
      <c r="G129" s="1" t="s">
        <v>22</v>
      </c>
      <c r="H129" s="1" t="s">
        <v>23</v>
      </c>
      <c r="I129" s="1" t="s">
        <v>24</v>
      </c>
      <c r="J129" s="1" t="s">
        <v>44</v>
      </c>
      <c r="K129" s="1" t="s">
        <v>26</v>
      </c>
      <c r="L129" s="1" t="s">
        <v>27</v>
      </c>
      <c r="N129" s="1" t="s">
        <v>174</v>
      </c>
      <c r="O129" s="1" t="s">
        <v>29</v>
      </c>
      <c r="P129" s="1" t="s">
        <v>360</v>
      </c>
      <c r="Q129" s="1" t="s">
        <v>361</v>
      </c>
      <c r="R129" s="1">
        <v>6.0</v>
      </c>
      <c r="S129" s="1"/>
    </row>
    <row r="130" ht="15.75" customHeight="1">
      <c r="A130" s="1" t="s">
        <v>362</v>
      </c>
      <c r="B130" s="1" t="s">
        <v>363</v>
      </c>
      <c r="C130" s="1" t="s">
        <v>174</v>
      </c>
      <c r="E130" s="1">
        <v>28.7349965</v>
      </c>
      <c r="F130" s="1">
        <v>77.0521014</v>
      </c>
      <c r="G130" s="1" t="s">
        <v>22</v>
      </c>
      <c r="H130" s="1" t="s">
        <v>23</v>
      </c>
      <c r="I130" s="1" t="s">
        <v>24</v>
      </c>
      <c r="J130" s="1" t="s">
        <v>25</v>
      </c>
      <c r="K130" s="1" t="s">
        <v>26</v>
      </c>
      <c r="L130" s="1" t="s">
        <v>27</v>
      </c>
      <c r="N130" s="1" t="s">
        <v>174</v>
      </c>
      <c r="O130" s="1" t="s">
        <v>29</v>
      </c>
      <c r="P130" s="1" t="s">
        <v>364</v>
      </c>
      <c r="Q130" s="1" t="s">
        <v>365</v>
      </c>
      <c r="R130" s="1">
        <v>8.0</v>
      </c>
      <c r="S130" s="1"/>
    </row>
    <row r="131" ht="15.75" customHeight="1">
      <c r="A131" s="1" t="s">
        <v>366</v>
      </c>
      <c r="B131" s="1" t="s">
        <v>367</v>
      </c>
      <c r="C131" s="1" t="s">
        <v>185</v>
      </c>
      <c r="E131" s="1">
        <v>17.5012091</v>
      </c>
      <c r="F131" s="1">
        <v>78.2985997</v>
      </c>
      <c r="G131" s="1" t="s">
        <v>22</v>
      </c>
      <c r="H131" s="1" t="s">
        <v>23</v>
      </c>
      <c r="I131" s="1" t="s">
        <v>24</v>
      </c>
      <c r="J131" s="1" t="s">
        <v>56</v>
      </c>
      <c r="K131" s="1" t="s">
        <v>26</v>
      </c>
      <c r="L131" s="1" t="s">
        <v>27</v>
      </c>
      <c r="N131" s="1" t="s">
        <v>186</v>
      </c>
      <c r="O131" s="1" t="s">
        <v>57</v>
      </c>
      <c r="P131" s="1" t="s">
        <v>187</v>
      </c>
      <c r="Q131" s="1" t="s">
        <v>188</v>
      </c>
      <c r="R131" s="1">
        <v>3.0</v>
      </c>
      <c r="S131" s="1"/>
    </row>
    <row r="132" ht="15.75" customHeight="1">
      <c r="A132" s="1" t="s">
        <v>368</v>
      </c>
      <c r="B132" s="1" t="s">
        <v>369</v>
      </c>
      <c r="C132" s="1" t="s">
        <v>215</v>
      </c>
      <c r="E132" s="1">
        <v>22.9928884</v>
      </c>
      <c r="F132" s="1">
        <v>72.5367235</v>
      </c>
      <c r="G132" s="1" t="s">
        <v>22</v>
      </c>
      <c r="H132" s="1" t="s">
        <v>23</v>
      </c>
      <c r="I132" s="1" t="s">
        <v>24</v>
      </c>
      <c r="J132" s="1" t="s">
        <v>118</v>
      </c>
      <c r="K132" s="1" t="s">
        <v>26</v>
      </c>
      <c r="L132" s="1" t="s">
        <v>27</v>
      </c>
      <c r="N132" s="1" t="s">
        <v>216</v>
      </c>
      <c r="O132" s="1" t="s">
        <v>57</v>
      </c>
      <c r="P132" s="1" t="s">
        <v>217</v>
      </c>
      <c r="Q132" s="1" t="s">
        <v>218</v>
      </c>
      <c r="R132" s="1">
        <v>6.0</v>
      </c>
      <c r="S132" s="1"/>
    </row>
    <row r="133" ht="15.75" customHeight="1">
      <c r="A133" s="1" t="s">
        <v>370</v>
      </c>
      <c r="B133" s="1" t="s">
        <v>371</v>
      </c>
      <c r="C133" s="1" t="s">
        <v>185</v>
      </c>
      <c r="E133" s="1">
        <v>17.3678999</v>
      </c>
      <c r="F133" s="1">
        <v>78.56978819999999</v>
      </c>
      <c r="G133" s="1" t="s">
        <v>22</v>
      </c>
      <c r="H133" s="1" t="s">
        <v>23</v>
      </c>
      <c r="I133" s="1" t="s">
        <v>24</v>
      </c>
      <c r="J133" s="1" t="s">
        <v>44</v>
      </c>
      <c r="K133" s="1" t="s">
        <v>26</v>
      </c>
      <c r="L133" s="1" t="s">
        <v>27</v>
      </c>
      <c r="N133" s="1" t="s">
        <v>186</v>
      </c>
      <c r="O133" s="1" t="s">
        <v>29</v>
      </c>
      <c r="P133" s="1" t="s">
        <v>187</v>
      </c>
      <c r="Q133" s="1" t="s">
        <v>188</v>
      </c>
      <c r="R133" s="1">
        <v>2.0</v>
      </c>
      <c r="S133" s="1"/>
    </row>
    <row r="134" ht="15.75" customHeight="1">
      <c r="A134" s="1" t="s">
        <v>372</v>
      </c>
      <c r="B134" s="1" t="s">
        <v>373</v>
      </c>
      <c r="C134" s="1" t="s">
        <v>174</v>
      </c>
      <c r="E134" s="1">
        <v>28.8563401</v>
      </c>
      <c r="F134" s="1">
        <v>77.0885148</v>
      </c>
      <c r="G134" s="1" t="s">
        <v>22</v>
      </c>
      <c r="H134" s="1" t="s">
        <v>23</v>
      </c>
      <c r="I134" s="1" t="s">
        <v>24</v>
      </c>
      <c r="J134" s="1" t="s">
        <v>56</v>
      </c>
      <c r="K134" s="1" t="s">
        <v>26</v>
      </c>
      <c r="L134" s="1" t="s">
        <v>27</v>
      </c>
      <c r="N134" s="1" t="s">
        <v>174</v>
      </c>
      <c r="O134" s="1" t="s">
        <v>57</v>
      </c>
      <c r="P134" s="1" t="s">
        <v>222</v>
      </c>
      <c r="Q134" s="1" t="s">
        <v>223</v>
      </c>
      <c r="R134" s="1">
        <v>4.0</v>
      </c>
      <c r="S134" s="1"/>
    </row>
    <row r="135" ht="15.75" customHeight="1">
      <c r="A135" s="1" t="s">
        <v>374</v>
      </c>
      <c r="B135" s="1" t="s">
        <v>375</v>
      </c>
      <c r="C135" s="1" t="s">
        <v>151</v>
      </c>
      <c r="E135" s="1">
        <v>18.5034</v>
      </c>
      <c r="F135" s="1">
        <v>73.9279</v>
      </c>
      <c r="G135" s="1" t="s">
        <v>22</v>
      </c>
      <c r="H135" s="1" t="s">
        <v>23</v>
      </c>
      <c r="I135" s="1" t="s">
        <v>24</v>
      </c>
      <c r="J135" s="1" t="s">
        <v>118</v>
      </c>
      <c r="K135" s="1" t="s">
        <v>26</v>
      </c>
      <c r="L135" s="1" t="s">
        <v>27</v>
      </c>
      <c r="N135" s="1" t="s">
        <v>143</v>
      </c>
      <c r="O135" s="1" t="s">
        <v>29</v>
      </c>
      <c r="P135" s="1" t="s">
        <v>152</v>
      </c>
      <c r="Q135" s="1" t="s">
        <v>153</v>
      </c>
      <c r="R135" s="1">
        <v>17.0</v>
      </c>
      <c r="S135" s="1"/>
    </row>
    <row r="136" ht="15.75" customHeight="1">
      <c r="A136" s="1" t="s">
        <v>376</v>
      </c>
      <c r="B136" s="1" t="s">
        <v>377</v>
      </c>
      <c r="C136" s="1" t="s">
        <v>148</v>
      </c>
      <c r="E136" s="1">
        <v>19.0926888</v>
      </c>
      <c r="F136" s="1">
        <v>72.8397664</v>
      </c>
      <c r="G136" s="1" t="s">
        <v>22</v>
      </c>
      <c r="H136" s="1" t="s">
        <v>23</v>
      </c>
      <c r="I136" s="1" t="s">
        <v>24</v>
      </c>
      <c r="J136" s="1" t="s">
        <v>25</v>
      </c>
      <c r="K136" s="1" t="s">
        <v>26</v>
      </c>
      <c r="L136" s="1" t="s">
        <v>27</v>
      </c>
      <c r="N136" s="1" t="s">
        <v>143</v>
      </c>
      <c r="O136" s="1" t="s">
        <v>29</v>
      </c>
      <c r="P136" s="1" t="s">
        <v>144</v>
      </c>
      <c r="Q136" s="1" t="s">
        <v>145</v>
      </c>
      <c r="R136" s="1">
        <v>4.0</v>
      </c>
      <c r="S136" s="1"/>
    </row>
    <row r="137" ht="15.75" customHeight="1">
      <c r="A137" s="1" t="s">
        <v>378</v>
      </c>
      <c r="B137" s="1" t="s">
        <v>379</v>
      </c>
      <c r="C137" s="1" t="s">
        <v>259</v>
      </c>
      <c r="E137" s="1">
        <v>28.4043161</v>
      </c>
      <c r="F137" s="1">
        <v>77.068992</v>
      </c>
      <c r="G137" s="1" t="s">
        <v>22</v>
      </c>
      <c r="H137" s="1" t="s">
        <v>23</v>
      </c>
      <c r="I137" s="1" t="s">
        <v>24</v>
      </c>
      <c r="J137" s="1" t="s">
        <v>56</v>
      </c>
      <c r="K137" s="1" t="s">
        <v>26</v>
      </c>
      <c r="L137" s="1" t="s">
        <v>27</v>
      </c>
      <c r="N137" s="1" t="s">
        <v>163</v>
      </c>
      <c r="O137" s="1" t="s">
        <v>57</v>
      </c>
      <c r="P137" s="1" t="s">
        <v>310</v>
      </c>
      <c r="Q137" s="1" t="s">
        <v>311</v>
      </c>
      <c r="R137" s="1">
        <v>5.0</v>
      </c>
      <c r="S137" s="1"/>
    </row>
    <row r="138" ht="15.75" customHeight="1">
      <c r="A138" s="1" t="s">
        <v>380</v>
      </c>
      <c r="B138" s="1" t="s">
        <v>381</v>
      </c>
      <c r="C138" s="1" t="s">
        <v>215</v>
      </c>
      <c r="E138" s="1">
        <v>23.0468575</v>
      </c>
      <c r="F138" s="1">
        <v>72.58934599999999</v>
      </c>
      <c r="G138" s="1" t="s">
        <v>22</v>
      </c>
      <c r="H138" s="1" t="s">
        <v>23</v>
      </c>
      <c r="I138" s="1" t="s">
        <v>24</v>
      </c>
      <c r="J138" s="1" t="s">
        <v>44</v>
      </c>
      <c r="K138" s="1" t="s">
        <v>26</v>
      </c>
      <c r="L138" s="1" t="s">
        <v>27</v>
      </c>
      <c r="N138" s="1" t="s">
        <v>216</v>
      </c>
      <c r="O138" s="1" t="s">
        <v>29</v>
      </c>
      <c r="P138" s="1" t="s">
        <v>217</v>
      </c>
      <c r="Q138" s="1" t="s">
        <v>218</v>
      </c>
      <c r="R138" s="1">
        <v>8.0</v>
      </c>
      <c r="S138" s="1"/>
    </row>
    <row r="139" ht="15.75" customHeight="1">
      <c r="A139" s="1" t="s">
        <v>382</v>
      </c>
      <c r="B139" s="1" t="s">
        <v>383</v>
      </c>
      <c r="C139" s="1" t="s">
        <v>174</v>
      </c>
      <c r="E139" s="1">
        <v>28.6842581</v>
      </c>
      <c r="F139" s="1">
        <v>77.19969739999999</v>
      </c>
      <c r="G139" s="1" t="s">
        <v>22</v>
      </c>
      <c r="H139" s="1" t="s">
        <v>23</v>
      </c>
      <c r="I139" s="1" t="s">
        <v>24</v>
      </c>
      <c r="J139" s="1" t="s">
        <v>56</v>
      </c>
      <c r="K139" s="1" t="s">
        <v>26</v>
      </c>
      <c r="L139" s="1" t="s">
        <v>27</v>
      </c>
      <c r="N139" s="1" t="s">
        <v>174</v>
      </c>
      <c r="O139" s="1" t="s">
        <v>57</v>
      </c>
      <c r="P139" s="1" t="s">
        <v>222</v>
      </c>
      <c r="Q139" s="1" t="s">
        <v>223</v>
      </c>
      <c r="R139" s="1">
        <v>7.0</v>
      </c>
      <c r="S139" s="1"/>
    </row>
    <row r="140" ht="15.75" customHeight="1">
      <c r="A140" s="1" t="s">
        <v>384</v>
      </c>
      <c r="B140" s="1" t="s">
        <v>385</v>
      </c>
      <c r="C140" s="1" t="s">
        <v>185</v>
      </c>
      <c r="E140" s="1">
        <v>17.4603876</v>
      </c>
      <c r="F140" s="1">
        <v>78.3533885</v>
      </c>
      <c r="G140" s="1" t="s">
        <v>22</v>
      </c>
      <c r="H140" s="1" t="s">
        <v>23</v>
      </c>
      <c r="I140" s="1" t="s">
        <v>24</v>
      </c>
      <c r="J140" s="1" t="s">
        <v>44</v>
      </c>
      <c r="K140" s="1" t="s">
        <v>26</v>
      </c>
      <c r="L140" s="1" t="s">
        <v>27</v>
      </c>
      <c r="N140" s="1" t="s">
        <v>186</v>
      </c>
      <c r="O140" s="1" t="s">
        <v>29</v>
      </c>
      <c r="P140" s="1" t="s">
        <v>187</v>
      </c>
      <c r="Q140" s="1" t="s">
        <v>188</v>
      </c>
      <c r="R140" s="1">
        <v>5.0</v>
      </c>
      <c r="S140" s="1"/>
    </row>
    <row r="141" ht="15.75" customHeight="1">
      <c r="A141" s="1" t="s">
        <v>386</v>
      </c>
      <c r="B141" s="1" t="s">
        <v>387</v>
      </c>
      <c r="C141" s="1" t="s">
        <v>174</v>
      </c>
      <c r="E141" s="1">
        <v>28.6026105</v>
      </c>
      <c r="F141" s="1">
        <v>76.97519199999999</v>
      </c>
      <c r="G141" s="1" t="s">
        <v>22</v>
      </c>
      <c r="H141" s="1" t="s">
        <v>23</v>
      </c>
      <c r="I141" s="1" t="s">
        <v>24</v>
      </c>
      <c r="J141" s="1" t="s">
        <v>118</v>
      </c>
      <c r="K141" s="1" t="s">
        <v>26</v>
      </c>
      <c r="L141" s="1" t="s">
        <v>27</v>
      </c>
      <c r="N141" s="1" t="s">
        <v>174</v>
      </c>
      <c r="O141" s="1" t="s">
        <v>57</v>
      </c>
      <c r="P141" s="1" t="s">
        <v>276</v>
      </c>
      <c r="Q141" s="1" t="s">
        <v>277</v>
      </c>
      <c r="R141" s="1">
        <v>7.0</v>
      </c>
      <c r="S141" s="1"/>
    </row>
    <row r="142" ht="15.75" customHeight="1">
      <c r="A142" s="1" t="s">
        <v>388</v>
      </c>
      <c r="B142" s="1" t="s">
        <v>389</v>
      </c>
      <c r="C142" s="1" t="s">
        <v>142</v>
      </c>
      <c r="E142" s="1">
        <v>19.2512048</v>
      </c>
      <c r="F142" s="1">
        <v>73.1403138</v>
      </c>
      <c r="G142" s="1" t="s">
        <v>22</v>
      </c>
      <c r="H142" s="1" t="s">
        <v>23</v>
      </c>
      <c r="I142" s="1" t="s">
        <v>24</v>
      </c>
      <c r="J142" s="1" t="s">
        <v>118</v>
      </c>
      <c r="K142" s="1" t="s">
        <v>26</v>
      </c>
      <c r="L142" s="1" t="s">
        <v>27</v>
      </c>
      <c r="N142" s="1" t="s">
        <v>143</v>
      </c>
      <c r="O142" s="1" t="s">
        <v>29</v>
      </c>
      <c r="P142" s="1" t="s">
        <v>144</v>
      </c>
      <c r="Q142" s="1" t="s">
        <v>145</v>
      </c>
      <c r="R142" s="1">
        <v>1.0</v>
      </c>
      <c r="S142" s="1"/>
    </row>
    <row r="143" ht="15.75" customHeight="1">
      <c r="A143" s="1" t="s">
        <v>390</v>
      </c>
      <c r="B143" s="1" t="s">
        <v>391</v>
      </c>
      <c r="C143" s="1" t="s">
        <v>215</v>
      </c>
      <c r="E143" s="1">
        <v>23.0336769</v>
      </c>
      <c r="F143" s="1">
        <v>72.4634117</v>
      </c>
      <c r="G143" s="1" t="s">
        <v>22</v>
      </c>
      <c r="H143" s="1" t="s">
        <v>23</v>
      </c>
      <c r="I143" s="1" t="s">
        <v>24</v>
      </c>
      <c r="J143" s="1" t="s">
        <v>118</v>
      </c>
      <c r="K143" s="1" t="s">
        <v>26</v>
      </c>
      <c r="L143" s="1" t="s">
        <v>27</v>
      </c>
      <c r="N143" s="1" t="s">
        <v>216</v>
      </c>
      <c r="O143" s="1" t="s">
        <v>57</v>
      </c>
      <c r="P143" s="1" t="s">
        <v>217</v>
      </c>
      <c r="Q143" s="1" t="s">
        <v>218</v>
      </c>
      <c r="R143" s="1">
        <v>9.0</v>
      </c>
      <c r="S143" s="1"/>
    </row>
    <row r="144" ht="15.75" customHeight="1">
      <c r="A144" s="1" t="s">
        <v>392</v>
      </c>
      <c r="B144" s="1" t="s">
        <v>393</v>
      </c>
      <c r="C144" s="1" t="s">
        <v>142</v>
      </c>
      <c r="E144" s="1">
        <v>19.161523</v>
      </c>
      <c r="F144" s="1">
        <v>73.02955159999999</v>
      </c>
      <c r="G144" s="1" t="s">
        <v>22</v>
      </c>
      <c r="H144" s="1" t="s">
        <v>23</v>
      </c>
      <c r="I144" s="1" t="s">
        <v>24</v>
      </c>
      <c r="J144" s="1" t="s">
        <v>44</v>
      </c>
      <c r="K144" s="1" t="s">
        <v>26</v>
      </c>
      <c r="L144" s="1" t="s">
        <v>27</v>
      </c>
      <c r="N144" s="1" t="s">
        <v>143</v>
      </c>
      <c r="O144" s="1" t="s">
        <v>29</v>
      </c>
      <c r="P144" s="1" t="s">
        <v>144</v>
      </c>
      <c r="Q144" s="1" t="s">
        <v>145</v>
      </c>
      <c r="R144" s="1">
        <v>2.0</v>
      </c>
      <c r="S144" s="1"/>
    </row>
    <row r="145" ht="15.75" customHeight="1">
      <c r="A145" s="1" t="s">
        <v>394</v>
      </c>
      <c r="B145" s="1" t="s">
        <v>395</v>
      </c>
      <c r="C145" s="1" t="s">
        <v>185</v>
      </c>
      <c r="E145" s="1">
        <v>17.3363241</v>
      </c>
      <c r="F145" s="1">
        <v>78.555792</v>
      </c>
      <c r="G145" s="1" t="s">
        <v>22</v>
      </c>
      <c r="H145" s="1" t="s">
        <v>23</v>
      </c>
      <c r="I145" s="1" t="s">
        <v>24</v>
      </c>
      <c r="J145" s="1" t="s">
        <v>44</v>
      </c>
      <c r="K145" s="1" t="s">
        <v>26</v>
      </c>
      <c r="L145" s="1" t="s">
        <v>27</v>
      </c>
      <c r="N145" s="1" t="s">
        <v>186</v>
      </c>
      <c r="O145" s="1" t="s">
        <v>29</v>
      </c>
      <c r="P145" s="1" t="s">
        <v>187</v>
      </c>
      <c r="Q145" s="1" t="s">
        <v>188</v>
      </c>
      <c r="R145" s="1">
        <v>3.0</v>
      </c>
      <c r="S145" s="1"/>
    </row>
    <row r="146" ht="15.75" customHeight="1">
      <c r="A146" s="1" t="s">
        <v>396</v>
      </c>
      <c r="B146" s="1" t="s">
        <v>397</v>
      </c>
      <c r="C146" s="1" t="s">
        <v>142</v>
      </c>
      <c r="E146" s="1">
        <v>19.0351038</v>
      </c>
      <c r="F146" s="1">
        <v>73.0647608</v>
      </c>
      <c r="G146" s="1" t="s">
        <v>22</v>
      </c>
      <c r="H146" s="1" t="s">
        <v>23</v>
      </c>
      <c r="I146" s="1" t="s">
        <v>24</v>
      </c>
      <c r="J146" s="1" t="s">
        <v>44</v>
      </c>
      <c r="K146" s="1" t="s">
        <v>26</v>
      </c>
      <c r="L146" s="1" t="s">
        <v>27</v>
      </c>
      <c r="N146" s="1" t="s">
        <v>143</v>
      </c>
      <c r="O146" s="1" t="s">
        <v>29</v>
      </c>
      <c r="P146" s="1" t="s">
        <v>144</v>
      </c>
      <c r="Q146" s="1" t="s">
        <v>145</v>
      </c>
      <c r="R146" s="1">
        <v>3.0</v>
      </c>
      <c r="S146" s="1"/>
    </row>
    <row r="147" ht="15.75" customHeight="1">
      <c r="A147" s="1" t="s">
        <v>398</v>
      </c>
      <c r="B147" s="1" t="s">
        <v>399</v>
      </c>
      <c r="C147" s="1" t="s">
        <v>148</v>
      </c>
      <c r="E147" s="1">
        <v>19.0947509</v>
      </c>
      <c r="F147" s="1">
        <v>72.90467029999999</v>
      </c>
      <c r="G147" s="1" t="s">
        <v>22</v>
      </c>
      <c r="H147" s="1" t="s">
        <v>23</v>
      </c>
      <c r="I147" s="1" t="s">
        <v>24</v>
      </c>
      <c r="J147" s="1" t="s">
        <v>118</v>
      </c>
      <c r="K147" s="1" t="s">
        <v>26</v>
      </c>
      <c r="L147" s="1" t="s">
        <v>27</v>
      </c>
      <c r="N147" s="1" t="s">
        <v>143</v>
      </c>
      <c r="O147" s="1" t="s">
        <v>57</v>
      </c>
      <c r="P147" s="1" t="s">
        <v>144</v>
      </c>
      <c r="Q147" s="1" t="s">
        <v>145</v>
      </c>
      <c r="R147" s="1">
        <v>12.0</v>
      </c>
      <c r="S147" s="1"/>
    </row>
    <row r="148" ht="15.75" customHeight="1">
      <c r="A148" s="1" t="s">
        <v>400</v>
      </c>
      <c r="B148" s="1" t="s">
        <v>401</v>
      </c>
      <c r="C148" s="1" t="s">
        <v>215</v>
      </c>
      <c r="E148" s="1">
        <v>23.0598517</v>
      </c>
      <c r="F148" s="1">
        <v>72.6434577</v>
      </c>
      <c r="G148" s="1" t="s">
        <v>22</v>
      </c>
      <c r="H148" s="1" t="s">
        <v>23</v>
      </c>
      <c r="I148" s="1" t="s">
        <v>24</v>
      </c>
      <c r="J148" s="1" t="s">
        <v>25</v>
      </c>
      <c r="K148" s="1" t="s">
        <v>26</v>
      </c>
      <c r="L148" s="1" t="s">
        <v>27</v>
      </c>
      <c r="N148" s="1" t="s">
        <v>216</v>
      </c>
      <c r="O148" s="1" t="s">
        <v>29</v>
      </c>
      <c r="P148" s="1" t="s">
        <v>217</v>
      </c>
      <c r="Q148" s="1" t="s">
        <v>218</v>
      </c>
      <c r="R148" s="1">
        <v>10.0</v>
      </c>
      <c r="S148" s="1"/>
    </row>
    <row r="149" ht="15.75" customHeight="1">
      <c r="A149" s="1" t="s">
        <v>402</v>
      </c>
      <c r="B149" s="1" t="s">
        <v>403</v>
      </c>
      <c r="C149" s="1" t="s">
        <v>174</v>
      </c>
      <c r="E149" s="1">
        <v>28.5376496</v>
      </c>
      <c r="F149" s="1">
        <v>77.26107089999999</v>
      </c>
      <c r="G149" s="1" t="s">
        <v>22</v>
      </c>
      <c r="H149" s="1" t="s">
        <v>23</v>
      </c>
      <c r="I149" s="1" t="s">
        <v>24</v>
      </c>
      <c r="J149" s="1" t="s">
        <v>44</v>
      </c>
      <c r="K149" s="1" t="s">
        <v>26</v>
      </c>
      <c r="L149" s="1" t="s">
        <v>27</v>
      </c>
      <c r="N149" s="1" t="s">
        <v>174</v>
      </c>
      <c r="O149" s="1" t="s">
        <v>29</v>
      </c>
      <c r="P149" s="1" t="s">
        <v>276</v>
      </c>
      <c r="Q149" s="1" t="s">
        <v>277</v>
      </c>
      <c r="R149" s="1">
        <v>7.0</v>
      </c>
      <c r="S149" s="1"/>
    </row>
    <row r="150" ht="15.75" customHeight="1">
      <c r="A150" s="1" t="s">
        <v>404</v>
      </c>
      <c r="B150" s="1" t="s">
        <v>405</v>
      </c>
      <c r="C150" s="1" t="s">
        <v>185</v>
      </c>
      <c r="E150" s="1">
        <v>17.4770671</v>
      </c>
      <c r="F150" s="1">
        <v>78.5616569</v>
      </c>
      <c r="G150" s="1" t="s">
        <v>22</v>
      </c>
      <c r="H150" s="1" t="s">
        <v>23</v>
      </c>
      <c r="I150" s="1" t="s">
        <v>24</v>
      </c>
      <c r="J150" s="1" t="s">
        <v>118</v>
      </c>
      <c r="K150" s="1" t="s">
        <v>26</v>
      </c>
      <c r="L150" s="1" t="s">
        <v>27</v>
      </c>
      <c r="N150" s="1" t="s">
        <v>186</v>
      </c>
      <c r="O150" s="1" t="s">
        <v>29</v>
      </c>
      <c r="P150" s="1" t="s">
        <v>187</v>
      </c>
      <c r="Q150" s="1" t="s">
        <v>188</v>
      </c>
      <c r="R150" s="1">
        <v>4.0</v>
      </c>
      <c r="S150" s="1"/>
    </row>
    <row r="151" ht="15.75" customHeight="1">
      <c r="A151" s="1" t="s">
        <v>406</v>
      </c>
      <c r="B151" s="1" t="s">
        <v>407</v>
      </c>
      <c r="C151" s="1" t="s">
        <v>151</v>
      </c>
      <c r="E151" s="1">
        <v>18.5014367</v>
      </c>
      <c r="F151" s="1">
        <v>73.8579972</v>
      </c>
      <c r="G151" s="1" t="s">
        <v>22</v>
      </c>
      <c r="H151" s="1" t="s">
        <v>23</v>
      </c>
      <c r="I151" s="1" t="s">
        <v>24</v>
      </c>
      <c r="J151" s="1" t="s">
        <v>44</v>
      </c>
      <c r="K151" s="1" t="s">
        <v>26</v>
      </c>
      <c r="L151" s="1" t="s">
        <v>27</v>
      </c>
      <c r="N151" s="1" t="s">
        <v>143</v>
      </c>
      <c r="O151" s="1" t="s">
        <v>29</v>
      </c>
      <c r="P151" s="1" t="s">
        <v>152</v>
      </c>
      <c r="Q151" s="1" t="s">
        <v>153</v>
      </c>
      <c r="R151" s="1">
        <v>10.0</v>
      </c>
      <c r="S151" s="1"/>
    </row>
    <row r="152" ht="15.75" customHeight="1">
      <c r="A152" s="1" t="s">
        <v>408</v>
      </c>
      <c r="B152" s="1" t="s">
        <v>409</v>
      </c>
      <c r="C152" s="1" t="s">
        <v>174</v>
      </c>
      <c r="E152" s="1">
        <v>28.5961823</v>
      </c>
      <c r="F152" s="1">
        <v>77.09934989999999</v>
      </c>
      <c r="G152" s="1" t="s">
        <v>22</v>
      </c>
      <c r="H152" s="1" t="s">
        <v>23</v>
      </c>
      <c r="I152" s="1" t="s">
        <v>24</v>
      </c>
      <c r="J152" s="1" t="s">
        <v>56</v>
      </c>
      <c r="K152" s="1" t="s">
        <v>26</v>
      </c>
      <c r="L152" s="1" t="s">
        <v>27</v>
      </c>
      <c r="N152" s="1" t="s">
        <v>174</v>
      </c>
      <c r="O152" s="1" t="s">
        <v>57</v>
      </c>
      <c r="P152" s="1" t="s">
        <v>276</v>
      </c>
      <c r="Q152" s="1" t="s">
        <v>277</v>
      </c>
      <c r="R152" s="1">
        <v>8.0</v>
      </c>
      <c r="S152" s="1"/>
    </row>
    <row r="153" ht="15.75" customHeight="1">
      <c r="A153" s="1" t="s">
        <v>410</v>
      </c>
      <c r="B153" s="1" t="s">
        <v>411</v>
      </c>
      <c r="C153" s="1" t="s">
        <v>185</v>
      </c>
      <c r="E153" s="1">
        <v>17.485291</v>
      </c>
      <c r="F153" s="1">
        <v>78.6098847</v>
      </c>
      <c r="G153" s="1" t="s">
        <v>22</v>
      </c>
      <c r="H153" s="1" t="s">
        <v>23</v>
      </c>
      <c r="I153" s="1" t="s">
        <v>24</v>
      </c>
      <c r="J153" s="1" t="s">
        <v>56</v>
      </c>
      <c r="K153" s="1" t="s">
        <v>26</v>
      </c>
      <c r="L153" s="1" t="s">
        <v>27</v>
      </c>
      <c r="N153" s="1" t="s">
        <v>186</v>
      </c>
      <c r="O153" s="1" t="s">
        <v>57</v>
      </c>
      <c r="P153" s="1" t="s">
        <v>187</v>
      </c>
      <c r="Q153" s="1" t="s">
        <v>188</v>
      </c>
      <c r="R153" s="1">
        <v>3.0</v>
      </c>
      <c r="S153" s="1"/>
    </row>
    <row r="154" ht="15.75" customHeight="1">
      <c r="A154" s="1" t="s">
        <v>412</v>
      </c>
      <c r="B154" s="1" t="s">
        <v>413</v>
      </c>
      <c r="C154" s="1" t="s">
        <v>215</v>
      </c>
      <c r="E154" s="1">
        <v>23.0207022</v>
      </c>
      <c r="F154" s="1">
        <v>72.6535493</v>
      </c>
      <c r="G154" s="1" t="s">
        <v>22</v>
      </c>
      <c r="H154" s="1" t="s">
        <v>23</v>
      </c>
      <c r="I154" s="1" t="s">
        <v>24</v>
      </c>
      <c r="J154" s="1" t="s">
        <v>118</v>
      </c>
      <c r="K154" s="1" t="s">
        <v>26</v>
      </c>
      <c r="L154" s="1" t="s">
        <v>27</v>
      </c>
      <c r="N154" s="1" t="s">
        <v>216</v>
      </c>
      <c r="O154" s="1" t="s">
        <v>57</v>
      </c>
      <c r="P154" s="1" t="s">
        <v>217</v>
      </c>
      <c r="Q154" s="1" t="s">
        <v>218</v>
      </c>
      <c r="R154" s="1">
        <v>3.0</v>
      </c>
      <c r="S154" s="1"/>
    </row>
    <row r="155" ht="15.75" customHeight="1">
      <c r="A155" s="1" t="s">
        <v>414</v>
      </c>
      <c r="B155" s="1" t="s">
        <v>415</v>
      </c>
      <c r="C155" s="1" t="s">
        <v>185</v>
      </c>
      <c r="E155" s="1">
        <v>17.404166</v>
      </c>
      <c r="F155" s="1">
        <v>78.504145</v>
      </c>
      <c r="G155" s="1" t="s">
        <v>22</v>
      </c>
      <c r="H155" s="1" t="s">
        <v>23</v>
      </c>
      <c r="I155" s="1" t="s">
        <v>24</v>
      </c>
      <c r="J155" s="1" t="s">
        <v>56</v>
      </c>
      <c r="K155" s="1" t="s">
        <v>26</v>
      </c>
      <c r="L155" s="1" t="s">
        <v>27</v>
      </c>
      <c r="N155" s="1" t="s">
        <v>186</v>
      </c>
      <c r="O155" s="1" t="s">
        <v>57</v>
      </c>
      <c r="P155" s="1" t="s">
        <v>187</v>
      </c>
      <c r="Q155" s="1" t="s">
        <v>188</v>
      </c>
      <c r="R155" s="1">
        <v>3.0</v>
      </c>
      <c r="S155" s="1"/>
    </row>
    <row r="156" ht="15.75" customHeight="1">
      <c r="A156" s="1" t="s">
        <v>416</v>
      </c>
      <c r="B156" s="1" t="s">
        <v>417</v>
      </c>
      <c r="C156" s="1" t="s">
        <v>185</v>
      </c>
      <c r="E156" s="1">
        <v>17.3947753</v>
      </c>
      <c r="F156" s="1">
        <v>78.4364281</v>
      </c>
      <c r="G156" s="1" t="s">
        <v>22</v>
      </c>
      <c r="H156" s="1" t="s">
        <v>23</v>
      </c>
      <c r="I156" s="1" t="s">
        <v>24</v>
      </c>
      <c r="J156" s="1" t="s">
        <v>56</v>
      </c>
      <c r="K156" s="1" t="s">
        <v>26</v>
      </c>
      <c r="L156" s="1" t="s">
        <v>27</v>
      </c>
      <c r="N156" s="1" t="s">
        <v>186</v>
      </c>
      <c r="O156" s="1" t="s">
        <v>57</v>
      </c>
      <c r="P156" s="1" t="s">
        <v>187</v>
      </c>
      <c r="Q156" s="1" t="s">
        <v>188</v>
      </c>
      <c r="R156" s="1">
        <v>2.0</v>
      </c>
      <c r="S156" s="1"/>
    </row>
    <row r="157" ht="15.75" customHeight="1">
      <c r="A157" s="1" t="s">
        <v>418</v>
      </c>
      <c r="B157" s="1" t="s">
        <v>419</v>
      </c>
      <c r="C157" s="1" t="s">
        <v>185</v>
      </c>
      <c r="E157" s="1">
        <v>17.4964637</v>
      </c>
      <c r="F157" s="1">
        <v>78.35888369999999</v>
      </c>
      <c r="G157" s="1" t="s">
        <v>22</v>
      </c>
      <c r="H157" s="1" t="s">
        <v>23</v>
      </c>
      <c r="I157" s="1" t="s">
        <v>24</v>
      </c>
      <c r="J157" s="1" t="s">
        <v>56</v>
      </c>
      <c r="K157" s="1" t="s">
        <v>26</v>
      </c>
      <c r="L157" s="1" t="s">
        <v>27</v>
      </c>
      <c r="N157" s="1" t="s">
        <v>186</v>
      </c>
      <c r="O157" s="1" t="s">
        <v>57</v>
      </c>
      <c r="P157" s="1" t="s">
        <v>187</v>
      </c>
      <c r="Q157" s="1" t="s">
        <v>188</v>
      </c>
      <c r="R157" s="1">
        <v>4.0</v>
      </c>
      <c r="S157" s="1"/>
    </row>
    <row r="158" ht="15.75" customHeight="1">
      <c r="A158" s="1" t="s">
        <v>420</v>
      </c>
      <c r="B158" s="1" t="s">
        <v>421</v>
      </c>
      <c r="C158" s="1" t="s">
        <v>185</v>
      </c>
      <c r="E158" s="1">
        <v>17.3424125</v>
      </c>
      <c r="F158" s="1">
        <v>78.4222995</v>
      </c>
      <c r="G158" s="1" t="s">
        <v>22</v>
      </c>
      <c r="H158" s="1" t="s">
        <v>23</v>
      </c>
      <c r="I158" s="1" t="s">
        <v>24</v>
      </c>
      <c r="J158" s="1" t="s">
        <v>56</v>
      </c>
      <c r="K158" s="1" t="s">
        <v>26</v>
      </c>
      <c r="L158" s="1" t="s">
        <v>27</v>
      </c>
      <c r="N158" s="1" t="s">
        <v>186</v>
      </c>
      <c r="O158" s="1" t="s">
        <v>57</v>
      </c>
      <c r="P158" s="1" t="s">
        <v>187</v>
      </c>
      <c r="Q158" s="1" t="s">
        <v>188</v>
      </c>
      <c r="R158" s="1">
        <v>4.0</v>
      </c>
      <c r="S158" s="1"/>
    </row>
    <row r="159" ht="15.75" customHeight="1">
      <c r="A159" s="1" t="s">
        <v>422</v>
      </c>
      <c r="B159" s="1" t="s">
        <v>423</v>
      </c>
      <c r="C159" s="1" t="s">
        <v>259</v>
      </c>
      <c r="E159" s="1">
        <v>28.4805477</v>
      </c>
      <c r="F159" s="1">
        <v>77.0829313</v>
      </c>
      <c r="G159" s="1" t="s">
        <v>22</v>
      </c>
      <c r="H159" s="1" t="s">
        <v>23</v>
      </c>
      <c r="I159" s="1" t="s">
        <v>24</v>
      </c>
      <c r="J159" s="1" t="s">
        <v>56</v>
      </c>
      <c r="K159" s="1" t="s">
        <v>26</v>
      </c>
      <c r="L159" s="1" t="s">
        <v>27</v>
      </c>
      <c r="N159" s="1" t="s">
        <v>163</v>
      </c>
      <c r="O159" s="1" t="s">
        <v>57</v>
      </c>
      <c r="P159" s="1" t="s">
        <v>310</v>
      </c>
      <c r="Q159" s="1" t="s">
        <v>311</v>
      </c>
      <c r="R159" s="1">
        <v>5.0</v>
      </c>
      <c r="S159" s="1"/>
    </row>
    <row r="160" ht="15.75" customHeight="1">
      <c r="A160" s="1" t="s">
        <v>424</v>
      </c>
      <c r="B160" s="1" t="s">
        <v>425</v>
      </c>
      <c r="C160" s="1" t="s">
        <v>215</v>
      </c>
      <c r="E160" s="1">
        <v>23.0463064</v>
      </c>
      <c r="F160" s="1">
        <v>72.5403628</v>
      </c>
      <c r="G160" s="1" t="s">
        <v>22</v>
      </c>
      <c r="H160" s="1" t="s">
        <v>23</v>
      </c>
      <c r="I160" s="1" t="s">
        <v>24</v>
      </c>
      <c r="J160" s="1" t="s">
        <v>56</v>
      </c>
      <c r="K160" s="1" t="s">
        <v>26</v>
      </c>
      <c r="L160" s="1" t="s">
        <v>27</v>
      </c>
      <c r="N160" s="1" t="s">
        <v>216</v>
      </c>
      <c r="O160" s="1" t="s">
        <v>57</v>
      </c>
      <c r="P160" s="1" t="s">
        <v>217</v>
      </c>
      <c r="Q160" s="1" t="s">
        <v>218</v>
      </c>
      <c r="R160" s="1">
        <v>9.0</v>
      </c>
      <c r="S160" s="1"/>
    </row>
    <row r="161" ht="15.75" customHeight="1">
      <c r="A161" s="1" t="s">
        <v>426</v>
      </c>
      <c r="B161" s="1" t="s">
        <v>427</v>
      </c>
      <c r="C161" s="1" t="s">
        <v>185</v>
      </c>
      <c r="E161" s="1">
        <v>17.4773527</v>
      </c>
      <c r="F161" s="1">
        <v>78.42649899999999</v>
      </c>
      <c r="G161" s="1" t="s">
        <v>22</v>
      </c>
      <c r="H161" s="1" t="s">
        <v>23</v>
      </c>
      <c r="I161" s="1" t="s">
        <v>24</v>
      </c>
      <c r="J161" s="1" t="s">
        <v>56</v>
      </c>
      <c r="K161" s="1" t="s">
        <v>26</v>
      </c>
      <c r="L161" s="1" t="s">
        <v>27</v>
      </c>
      <c r="N161" s="1" t="s">
        <v>186</v>
      </c>
      <c r="O161" s="1" t="s">
        <v>57</v>
      </c>
      <c r="P161" s="1" t="s">
        <v>187</v>
      </c>
      <c r="Q161" s="1" t="s">
        <v>188</v>
      </c>
      <c r="R161" s="1">
        <v>2.0</v>
      </c>
      <c r="S161" s="1"/>
    </row>
    <row r="162" ht="15.75" customHeight="1">
      <c r="A162" s="1" t="s">
        <v>428</v>
      </c>
      <c r="B162" s="1" t="s">
        <v>429</v>
      </c>
      <c r="C162" s="1" t="s">
        <v>185</v>
      </c>
      <c r="E162" s="1">
        <v>17.3613792</v>
      </c>
      <c r="F162" s="1">
        <v>78.3970588</v>
      </c>
      <c r="G162" s="1" t="s">
        <v>22</v>
      </c>
      <c r="H162" s="1" t="s">
        <v>23</v>
      </c>
      <c r="I162" s="1" t="s">
        <v>24</v>
      </c>
      <c r="J162" s="1" t="s">
        <v>56</v>
      </c>
      <c r="K162" s="1" t="s">
        <v>26</v>
      </c>
      <c r="L162" s="1" t="s">
        <v>27</v>
      </c>
      <c r="N162" s="1" t="s">
        <v>186</v>
      </c>
      <c r="O162" s="1" t="s">
        <v>57</v>
      </c>
      <c r="P162" s="1" t="s">
        <v>187</v>
      </c>
      <c r="Q162" s="1" t="s">
        <v>188</v>
      </c>
      <c r="R162" s="1">
        <v>4.0</v>
      </c>
      <c r="S162" s="1"/>
    </row>
    <row r="163" ht="15.75" customHeight="1">
      <c r="A163" s="1" t="s">
        <v>430</v>
      </c>
      <c r="B163" s="1" t="s">
        <v>431</v>
      </c>
      <c r="C163" s="1" t="s">
        <v>259</v>
      </c>
      <c r="E163" s="1">
        <v>28.5134376</v>
      </c>
      <c r="F163" s="1">
        <v>77.0801899</v>
      </c>
      <c r="G163" s="1" t="s">
        <v>22</v>
      </c>
      <c r="H163" s="1" t="s">
        <v>23</v>
      </c>
      <c r="I163" s="1" t="s">
        <v>24</v>
      </c>
      <c r="J163" s="1" t="s">
        <v>56</v>
      </c>
      <c r="K163" s="1" t="s">
        <v>26</v>
      </c>
      <c r="L163" s="1" t="s">
        <v>27</v>
      </c>
      <c r="N163" s="1" t="s">
        <v>163</v>
      </c>
      <c r="O163" s="1" t="s">
        <v>57</v>
      </c>
      <c r="P163" s="1" t="s">
        <v>310</v>
      </c>
      <c r="Q163" s="1" t="s">
        <v>311</v>
      </c>
      <c r="R163" s="1">
        <v>6.0</v>
      </c>
      <c r="S163" s="1"/>
    </row>
    <row r="164" ht="15.75" customHeight="1">
      <c r="A164" s="1" t="s">
        <v>432</v>
      </c>
      <c r="B164" s="1" t="s">
        <v>433</v>
      </c>
      <c r="C164" s="1" t="s">
        <v>142</v>
      </c>
      <c r="E164" s="1">
        <v>19.2215115</v>
      </c>
      <c r="F164" s="1">
        <v>73.1644628</v>
      </c>
      <c r="G164" s="1" t="s">
        <v>22</v>
      </c>
      <c r="H164" s="1" t="s">
        <v>23</v>
      </c>
      <c r="I164" s="1" t="s">
        <v>24</v>
      </c>
      <c r="J164" s="1" t="s">
        <v>56</v>
      </c>
      <c r="K164" s="1" t="s">
        <v>26</v>
      </c>
      <c r="L164" s="1" t="s">
        <v>27</v>
      </c>
      <c r="N164" s="1" t="s">
        <v>143</v>
      </c>
      <c r="O164" s="1" t="s">
        <v>57</v>
      </c>
      <c r="P164" s="1" t="s">
        <v>144</v>
      </c>
      <c r="Q164" s="1" t="s">
        <v>145</v>
      </c>
      <c r="R164" s="1">
        <v>4.0</v>
      </c>
      <c r="S164" s="1"/>
    </row>
    <row r="165" ht="15.75" customHeight="1">
      <c r="A165" s="1" t="s">
        <v>434</v>
      </c>
      <c r="B165" s="1" t="s">
        <v>435</v>
      </c>
      <c r="C165" s="1" t="s">
        <v>185</v>
      </c>
      <c r="E165" s="1">
        <v>17.5231218</v>
      </c>
      <c r="F165" s="1">
        <v>78.27420029999999</v>
      </c>
      <c r="G165" s="1" t="s">
        <v>22</v>
      </c>
      <c r="H165" s="1" t="s">
        <v>23</v>
      </c>
      <c r="I165" s="1" t="s">
        <v>24</v>
      </c>
      <c r="J165" s="1" t="s">
        <v>56</v>
      </c>
      <c r="K165" s="1" t="s">
        <v>26</v>
      </c>
      <c r="L165" s="1" t="s">
        <v>27</v>
      </c>
      <c r="N165" s="1" t="s">
        <v>186</v>
      </c>
      <c r="O165" s="1" t="s">
        <v>57</v>
      </c>
      <c r="P165" s="1" t="s">
        <v>187</v>
      </c>
      <c r="Q165" s="1" t="s">
        <v>188</v>
      </c>
      <c r="R165" s="1">
        <v>4.0</v>
      </c>
      <c r="S165" s="1"/>
    </row>
    <row r="166" ht="15.75" customHeight="1">
      <c r="A166" s="1" t="s">
        <v>436</v>
      </c>
      <c r="B166" s="1" t="s">
        <v>437</v>
      </c>
      <c r="C166" s="1" t="s">
        <v>185</v>
      </c>
      <c r="E166" s="1">
        <v>17.428605</v>
      </c>
      <c r="F166" s="1">
        <v>78.451161</v>
      </c>
      <c r="G166" s="1" t="s">
        <v>22</v>
      </c>
      <c r="H166" s="1" t="s">
        <v>23</v>
      </c>
      <c r="I166" s="1" t="s">
        <v>24</v>
      </c>
      <c r="J166" s="1" t="s">
        <v>118</v>
      </c>
      <c r="K166" s="1" t="s">
        <v>26</v>
      </c>
      <c r="L166" s="1" t="s">
        <v>27</v>
      </c>
      <c r="N166" s="1" t="s">
        <v>186</v>
      </c>
      <c r="O166" s="1" t="s">
        <v>29</v>
      </c>
      <c r="P166" s="1" t="s">
        <v>187</v>
      </c>
      <c r="Q166" s="1" t="s">
        <v>188</v>
      </c>
      <c r="R166" s="1">
        <v>7.0</v>
      </c>
      <c r="S166" s="1"/>
    </row>
    <row r="167" ht="15.75" customHeight="1">
      <c r="A167" s="1" t="s">
        <v>438</v>
      </c>
      <c r="B167" s="1" t="s">
        <v>439</v>
      </c>
      <c r="C167" s="1" t="s">
        <v>215</v>
      </c>
      <c r="E167" s="1">
        <v>23.014818</v>
      </c>
      <c r="F167" s="1">
        <v>72.644674</v>
      </c>
      <c r="G167" s="1" t="s">
        <v>22</v>
      </c>
      <c r="H167" s="1" t="s">
        <v>23</v>
      </c>
      <c r="I167" s="1" t="s">
        <v>24</v>
      </c>
      <c r="J167" s="1" t="s">
        <v>56</v>
      </c>
      <c r="K167" s="1" t="s">
        <v>26</v>
      </c>
      <c r="L167" s="1" t="s">
        <v>27</v>
      </c>
      <c r="N167" s="1" t="s">
        <v>216</v>
      </c>
      <c r="O167" s="1" t="s">
        <v>57</v>
      </c>
      <c r="P167" s="1" t="s">
        <v>217</v>
      </c>
      <c r="Q167" s="1" t="s">
        <v>218</v>
      </c>
      <c r="R167" s="1">
        <v>7.0</v>
      </c>
      <c r="S167" s="1"/>
    </row>
    <row r="168" ht="15.75" customHeight="1">
      <c r="A168" s="1" t="s">
        <v>440</v>
      </c>
      <c r="B168" s="1" t="s">
        <v>441</v>
      </c>
      <c r="C168" s="1" t="s">
        <v>185</v>
      </c>
      <c r="E168" s="1">
        <v>17.3199127</v>
      </c>
      <c r="F168" s="1">
        <v>78.46793290000001</v>
      </c>
      <c r="G168" s="1" t="s">
        <v>22</v>
      </c>
      <c r="H168" s="1" t="s">
        <v>23</v>
      </c>
      <c r="I168" s="1" t="s">
        <v>24</v>
      </c>
      <c r="J168" s="1" t="s">
        <v>56</v>
      </c>
      <c r="K168" s="1" t="s">
        <v>26</v>
      </c>
      <c r="L168" s="1" t="s">
        <v>27</v>
      </c>
      <c r="N168" s="1" t="s">
        <v>186</v>
      </c>
      <c r="O168" s="1" t="s">
        <v>57</v>
      </c>
      <c r="P168" s="1" t="s">
        <v>187</v>
      </c>
      <c r="Q168" s="1" t="s">
        <v>188</v>
      </c>
      <c r="R168" s="1">
        <v>0.0</v>
      </c>
      <c r="S168" s="1"/>
    </row>
    <row r="169" ht="15.75" customHeight="1">
      <c r="A169" s="1" t="s">
        <v>442</v>
      </c>
      <c r="B169" s="1" t="s">
        <v>443</v>
      </c>
      <c r="C169" s="1" t="s">
        <v>142</v>
      </c>
      <c r="E169" s="1">
        <v>19.440977</v>
      </c>
      <c r="F169" s="1">
        <v>72.878665</v>
      </c>
      <c r="G169" s="1" t="s">
        <v>22</v>
      </c>
      <c r="H169" s="1" t="s">
        <v>23</v>
      </c>
      <c r="I169" s="1" t="s">
        <v>24</v>
      </c>
      <c r="J169" s="1" t="s">
        <v>25</v>
      </c>
      <c r="K169" s="1" t="s">
        <v>26</v>
      </c>
      <c r="L169" s="1" t="s">
        <v>27</v>
      </c>
      <c r="N169" s="1" t="s">
        <v>143</v>
      </c>
      <c r="O169" s="1" t="s">
        <v>29</v>
      </c>
      <c r="P169" s="1" t="s">
        <v>144</v>
      </c>
      <c r="Q169" s="1" t="s">
        <v>145</v>
      </c>
      <c r="R169" s="1">
        <v>2.0</v>
      </c>
      <c r="S169" s="1"/>
    </row>
    <row r="170" ht="15.75" customHeight="1">
      <c r="A170" s="1" t="s">
        <v>444</v>
      </c>
      <c r="B170" s="1" t="s">
        <v>445</v>
      </c>
      <c r="C170" s="1" t="s">
        <v>446</v>
      </c>
      <c r="E170" s="1">
        <v>22.3260515</v>
      </c>
      <c r="F170" s="1">
        <v>73.1992892</v>
      </c>
      <c r="G170" s="1" t="s">
        <v>22</v>
      </c>
      <c r="H170" s="1" t="s">
        <v>23</v>
      </c>
      <c r="I170" s="1" t="s">
        <v>24</v>
      </c>
      <c r="J170" s="1" t="s">
        <v>44</v>
      </c>
      <c r="K170" s="1" t="s">
        <v>26</v>
      </c>
      <c r="L170" s="1" t="s">
        <v>27</v>
      </c>
      <c r="N170" s="1" t="s">
        <v>216</v>
      </c>
      <c r="O170" s="1" t="s">
        <v>29</v>
      </c>
      <c r="P170" s="1" t="s">
        <v>243</v>
      </c>
      <c r="Q170" s="1" t="s">
        <v>244</v>
      </c>
      <c r="R170" s="1">
        <v>1.0</v>
      </c>
      <c r="S170" s="1"/>
    </row>
    <row r="171" ht="15.75" customHeight="1">
      <c r="A171" s="1" t="s">
        <v>447</v>
      </c>
      <c r="B171" s="1" t="s">
        <v>448</v>
      </c>
      <c r="C171" s="1" t="s">
        <v>174</v>
      </c>
      <c r="E171" s="1">
        <v>28.7141447</v>
      </c>
      <c r="F171" s="1">
        <v>77.0871004</v>
      </c>
      <c r="G171" s="1" t="s">
        <v>22</v>
      </c>
      <c r="H171" s="1" t="s">
        <v>23</v>
      </c>
      <c r="I171" s="1" t="s">
        <v>24</v>
      </c>
      <c r="J171" s="1" t="s">
        <v>56</v>
      </c>
      <c r="K171" s="1" t="s">
        <v>26</v>
      </c>
      <c r="L171" s="1" t="s">
        <v>27</v>
      </c>
      <c r="N171" s="1" t="s">
        <v>174</v>
      </c>
      <c r="O171" s="1" t="s">
        <v>57</v>
      </c>
      <c r="P171" s="1" t="s">
        <v>222</v>
      </c>
      <c r="Q171" s="1" t="s">
        <v>223</v>
      </c>
      <c r="R171" s="1">
        <v>4.0</v>
      </c>
      <c r="S171" s="1"/>
    </row>
    <row r="172" ht="15.75" customHeight="1">
      <c r="A172" s="1" t="s">
        <v>449</v>
      </c>
      <c r="B172" s="1" t="s">
        <v>450</v>
      </c>
      <c r="C172" s="1" t="s">
        <v>174</v>
      </c>
      <c r="E172" s="1">
        <v>28.5280842</v>
      </c>
      <c r="F172" s="1">
        <v>77.2182409</v>
      </c>
      <c r="G172" s="1" t="s">
        <v>22</v>
      </c>
      <c r="H172" s="1" t="s">
        <v>23</v>
      </c>
      <c r="I172" s="1" t="s">
        <v>24</v>
      </c>
      <c r="J172" s="1" t="s">
        <v>25</v>
      </c>
      <c r="K172" s="1" t="s">
        <v>26</v>
      </c>
      <c r="L172" s="1" t="s">
        <v>27</v>
      </c>
      <c r="N172" s="1" t="s">
        <v>174</v>
      </c>
      <c r="O172" s="1" t="s">
        <v>29</v>
      </c>
      <c r="P172" s="1" t="s">
        <v>451</v>
      </c>
      <c r="Q172" s="1" t="s">
        <v>452</v>
      </c>
      <c r="R172" s="1">
        <v>11.0</v>
      </c>
      <c r="S172" s="1"/>
    </row>
    <row r="173" ht="15.75" customHeight="1">
      <c r="A173" s="1" t="s">
        <v>453</v>
      </c>
      <c r="B173" s="1" t="s">
        <v>454</v>
      </c>
      <c r="C173" s="1" t="s">
        <v>215</v>
      </c>
      <c r="E173" s="1">
        <v>23.1851696</v>
      </c>
      <c r="F173" s="1">
        <v>72.6164598</v>
      </c>
      <c r="G173" s="1" t="s">
        <v>22</v>
      </c>
      <c r="H173" s="1" t="s">
        <v>23</v>
      </c>
      <c r="I173" s="1" t="s">
        <v>24</v>
      </c>
      <c r="J173" s="1" t="s">
        <v>118</v>
      </c>
      <c r="K173" s="1" t="s">
        <v>26</v>
      </c>
      <c r="L173" s="1" t="s">
        <v>27</v>
      </c>
      <c r="N173" s="1" t="s">
        <v>216</v>
      </c>
      <c r="O173" s="1" t="s">
        <v>57</v>
      </c>
      <c r="P173" s="1" t="s">
        <v>217</v>
      </c>
      <c r="Q173" s="1" t="s">
        <v>218</v>
      </c>
      <c r="R173" s="1">
        <v>0.0</v>
      </c>
      <c r="S173" s="1"/>
    </row>
    <row r="174" ht="15.75" customHeight="1">
      <c r="A174" s="1" t="s">
        <v>455</v>
      </c>
      <c r="B174" s="1" t="s">
        <v>456</v>
      </c>
      <c r="C174" s="1" t="s">
        <v>185</v>
      </c>
      <c r="E174" s="1">
        <v>17.3769373</v>
      </c>
      <c r="F174" s="1">
        <v>78.4905776</v>
      </c>
      <c r="G174" s="1" t="s">
        <v>22</v>
      </c>
      <c r="H174" s="1" t="s">
        <v>23</v>
      </c>
      <c r="I174" s="1" t="s">
        <v>24</v>
      </c>
      <c r="J174" s="1" t="s">
        <v>118</v>
      </c>
      <c r="K174" s="1" t="s">
        <v>26</v>
      </c>
      <c r="L174" s="1" t="s">
        <v>27</v>
      </c>
      <c r="N174" s="1" t="s">
        <v>186</v>
      </c>
      <c r="O174" s="1" t="s">
        <v>29</v>
      </c>
      <c r="P174" s="1" t="s">
        <v>187</v>
      </c>
      <c r="Q174" s="1" t="s">
        <v>188</v>
      </c>
      <c r="R174" s="1">
        <v>4.0</v>
      </c>
      <c r="S174" s="1"/>
    </row>
    <row r="175" ht="15.75" customHeight="1">
      <c r="A175" s="1" t="s">
        <v>457</v>
      </c>
      <c r="B175" s="1" t="s">
        <v>458</v>
      </c>
      <c r="C175" s="1" t="s">
        <v>185</v>
      </c>
      <c r="E175" s="1">
        <v>17.3237768</v>
      </c>
      <c r="F175" s="1">
        <v>78.6003441</v>
      </c>
      <c r="G175" s="1" t="s">
        <v>22</v>
      </c>
      <c r="H175" s="1" t="s">
        <v>23</v>
      </c>
      <c r="I175" s="1" t="s">
        <v>24</v>
      </c>
      <c r="J175" s="1" t="s">
        <v>56</v>
      </c>
      <c r="K175" s="1" t="s">
        <v>26</v>
      </c>
      <c r="L175" s="1" t="s">
        <v>27</v>
      </c>
      <c r="N175" s="1" t="s">
        <v>186</v>
      </c>
      <c r="O175" s="1" t="s">
        <v>57</v>
      </c>
      <c r="P175" s="1" t="s">
        <v>187</v>
      </c>
      <c r="Q175" s="1" t="s">
        <v>188</v>
      </c>
      <c r="R175" s="1">
        <v>2.0</v>
      </c>
      <c r="S175" s="1"/>
    </row>
    <row r="176" ht="15.75" customHeight="1">
      <c r="A176" s="1" t="s">
        <v>459</v>
      </c>
      <c r="B176" s="1" t="s">
        <v>460</v>
      </c>
      <c r="C176" s="1" t="s">
        <v>446</v>
      </c>
      <c r="E176" s="1">
        <v>22.3102107</v>
      </c>
      <c r="F176" s="1">
        <v>73.1748107</v>
      </c>
      <c r="G176" s="1" t="s">
        <v>22</v>
      </c>
      <c r="H176" s="1" t="s">
        <v>23</v>
      </c>
      <c r="I176" s="1" t="s">
        <v>24</v>
      </c>
      <c r="J176" s="1" t="s">
        <v>44</v>
      </c>
      <c r="K176" s="1" t="s">
        <v>26</v>
      </c>
      <c r="L176" s="1" t="s">
        <v>27</v>
      </c>
      <c r="N176" s="1" t="s">
        <v>216</v>
      </c>
      <c r="O176" s="1" t="s">
        <v>29</v>
      </c>
      <c r="P176" s="1" t="s">
        <v>243</v>
      </c>
      <c r="Q176" s="1" t="s">
        <v>244</v>
      </c>
      <c r="R176" s="1">
        <v>1.0</v>
      </c>
      <c r="S176" s="1"/>
    </row>
    <row r="177" ht="15.75" customHeight="1">
      <c r="A177" s="1" t="s">
        <v>461</v>
      </c>
      <c r="B177" s="1" t="s">
        <v>462</v>
      </c>
      <c r="C177" s="1" t="s">
        <v>463</v>
      </c>
      <c r="E177" s="1">
        <v>13.6159292</v>
      </c>
      <c r="F177" s="1">
        <v>79.4067338</v>
      </c>
      <c r="G177" s="1" t="s">
        <v>22</v>
      </c>
      <c r="H177" s="1" t="s">
        <v>23</v>
      </c>
      <c r="I177" s="1" t="s">
        <v>24</v>
      </c>
      <c r="J177" s="1" t="s">
        <v>221</v>
      </c>
      <c r="K177" s="1" t="s">
        <v>26</v>
      </c>
      <c r="L177" s="1" t="s">
        <v>27</v>
      </c>
      <c r="N177" s="1" t="s">
        <v>464</v>
      </c>
      <c r="O177" s="1" t="s">
        <v>57</v>
      </c>
      <c r="P177" s="1" t="s">
        <v>187</v>
      </c>
      <c r="Q177" s="1" t="s">
        <v>188</v>
      </c>
      <c r="R177" s="1">
        <v>0.0</v>
      </c>
      <c r="S177" s="1"/>
    </row>
    <row r="178" ht="15.75" customHeight="1">
      <c r="A178" s="1" t="s">
        <v>465</v>
      </c>
      <c r="B178" s="1" t="s">
        <v>466</v>
      </c>
      <c r="C178" s="1" t="s">
        <v>467</v>
      </c>
      <c r="E178" s="1">
        <v>16.5060411</v>
      </c>
      <c r="F178" s="1">
        <v>80.6570911</v>
      </c>
      <c r="G178" s="1" t="s">
        <v>22</v>
      </c>
      <c r="H178" s="1" t="s">
        <v>23</v>
      </c>
      <c r="I178" s="1" t="s">
        <v>24</v>
      </c>
      <c r="J178" s="1" t="s">
        <v>221</v>
      </c>
      <c r="K178" s="1" t="s">
        <v>26</v>
      </c>
      <c r="L178" s="1" t="s">
        <v>27</v>
      </c>
      <c r="N178" s="1" t="s">
        <v>464</v>
      </c>
      <c r="O178" s="1" t="s">
        <v>57</v>
      </c>
      <c r="P178" s="1" t="s">
        <v>187</v>
      </c>
      <c r="Q178" s="1" t="s">
        <v>188</v>
      </c>
      <c r="R178" s="1">
        <v>0.0</v>
      </c>
      <c r="S178" s="1"/>
    </row>
    <row r="179" ht="15.75" customHeight="1">
      <c r="A179" s="1" t="s">
        <v>468</v>
      </c>
      <c r="B179" s="1" t="s">
        <v>469</v>
      </c>
      <c r="C179" s="1" t="s">
        <v>446</v>
      </c>
      <c r="E179" s="1">
        <v>22.2782813</v>
      </c>
      <c r="F179" s="1">
        <v>73.1955329</v>
      </c>
      <c r="G179" s="1" t="s">
        <v>22</v>
      </c>
      <c r="H179" s="1" t="s">
        <v>23</v>
      </c>
      <c r="I179" s="1" t="s">
        <v>24</v>
      </c>
      <c r="J179" s="1" t="s">
        <v>118</v>
      </c>
      <c r="K179" s="1" t="s">
        <v>26</v>
      </c>
      <c r="L179" s="1" t="s">
        <v>27</v>
      </c>
      <c r="N179" s="1" t="s">
        <v>216</v>
      </c>
      <c r="O179" s="1" t="s">
        <v>57</v>
      </c>
      <c r="P179" s="1" t="s">
        <v>243</v>
      </c>
      <c r="Q179" s="1" t="s">
        <v>244</v>
      </c>
      <c r="R179" s="1">
        <v>3.0</v>
      </c>
      <c r="S179" s="1"/>
    </row>
    <row r="180" ht="15.75" customHeight="1">
      <c r="A180" s="1" t="s">
        <v>470</v>
      </c>
      <c r="B180" s="1" t="s">
        <v>471</v>
      </c>
      <c r="C180" s="1" t="s">
        <v>472</v>
      </c>
      <c r="E180" s="1">
        <v>17.0251834</v>
      </c>
      <c r="F180" s="1">
        <v>81.8038996</v>
      </c>
      <c r="G180" s="1" t="s">
        <v>22</v>
      </c>
      <c r="H180" s="1" t="s">
        <v>23</v>
      </c>
      <c r="I180" s="1" t="s">
        <v>24</v>
      </c>
      <c r="J180" s="1" t="s">
        <v>56</v>
      </c>
      <c r="K180" s="1" t="s">
        <v>26</v>
      </c>
      <c r="L180" s="1" t="s">
        <v>27</v>
      </c>
      <c r="N180" s="1" t="s">
        <v>464</v>
      </c>
      <c r="O180" s="1" t="s">
        <v>57</v>
      </c>
      <c r="P180" s="1" t="s">
        <v>187</v>
      </c>
      <c r="Q180" s="1" t="s">
        <v>188</v>
      </c>
      <c r="R180" s="1">
        <v>0.0</v>
      </c>
      <c r="S180" s="1"/>
    </row>
    <row r="181" ht="15.75" customHeight="1">
      <c r="A181" s="1" t="s">
        <v>473</v>
      </c>
      <c r="B181" s="1" t="s">
        <v>474</v>
      </c>
      <c r="C181" s="1" t="s">
        <v>467</v>
      </c>
      <c r="E181" s="1">
        <v>16.4965448</v>
      </c>
      <c r="F181" s="1">
        <v>80.65688209999999</v>
      </c>
      <c r="G181" s="1" t="s">
        <v>22</v>
      </c>
      <c r="H181" s="1" t="s">
        <v>23</v>
      </c>
      <c r="I181" s="1" t="s">
        <v>24</v>
      </c>
      <c r="J181" s="1" t="s">
        <v>56</v>
      </c>
      <c r="K181" s="1" t="s">
        <v>26</v>
      </c>
      <c r="L181" s="1" t="s">
        <v>27</v>
      </c>
      <c r="N181" s="1" t="s">
        <v>464</v>
      </c>
      <c r="O181" s="1" t="s">
        <v>57</v>
      </c>
      <c r="P181" s="1" t="s">
        <v>187</v>
      </c>
      <c r="Q181" s="1" t="s">
        <v>188</v>
      </c>
      <c r="R181" s="1">
        <v>1.0</v>
      </c>
      <c r="S181" s="1"/>
    </row>
    <row r="182" ht="15.75" customHeight="1">
      <c r="A182" s="1" t="s">
        <v>475</v>
      </c>
      <c r="B182" s="1" t="s">
        <v>476</v>
      </c>
      <c r="C182" s="1" t="s">
        <v>467</v>
      </c>
      <c r="E182" s="1">
        <v>16.5167928</v>
      </c>
      <c r="F182" s="1">
        <v>80.64214369999999</v>
      </c>
      <c r="G182" s="1" t="s">
        <v>22</v>
      </c>
      <c r="H182" s="1" t="s">
        <v>23</v>
      </c>
      <c r="I182" s="1" t="s">
        <v>24</v>
      </c>
      <c r="J182" s="1" t="s">
        <v>56</v>
      </c>
      <c r="K182" s="1" t="s">
        <v>26</v>
      </c>
      <c r="L182" s="1" t="s">
        <v>27</v>
      </c>
      <c r="N182" s="1" t="s">
        <v>464</v>
      </c>
      <c r="O182" s="1" t="s">
        <v>57</v>
      </c>
      <c r="P182" s="1" t="s">
        <v>187</v>
      </c>
      <c r="Q182" s="1" t="s">
        <v>188</v>
      </c>
      <c r="R182" s="1">
        <v>1.0</v>
      </c>
      <c r="S182" s="1"/>
    </row>
    <row r="183" ht="15.75" customHeight="1">
      <c r="A183" s="1" t="s">
        <v>477</v>
      </c>
      <c r="B183" s="1" t="s">
        <v>478</v>
      </c>
      <c r="C183" s="1" t="s">
        <v>142</v>
      </c>
      <c r="E183" s="1">
        <v>19.047399</v>
      </c>
      <c r="F183" s="1">
        <v>73.0697805</v>
      </c>
      <c r="G183" s="1" t="s">
        <v>22</v>
      </c>
      <c r="H183" s="1" t="s">
        <v>23</v>
      </c>
      <c r="I183" s="1" t="s">
        <v>24</v>
      </c>
      <c r="J183" s="1" t="s">
        <v>221</v>
      </c>
      <c r="K183" s="1" t="s">
        <v>26</v>
      </c>
      <c r="L183" s="1" t="s">
        <v>27</v>
      </c>
      <c r="N183" s="1" t="s">
        <v>143</v>
      </c>
      <c r="O183" s="1" t="s">
        <v>57</v>
      </c>
      <c r="P183" s="1" t="s">
        <v>144</v>
      </c>
      <c r="Q183" s="1" t="s">
        <v>145</v>
      </c>
      <c r="R183" s="1">
        <v>1.0</v>
      </c>
      <c r="S183" s="1"/>
    </row>
    <row r="184" ht="15.75" customHeight="1">
      <c r="A184" s="1" t="s">
        <v>479</v>
      </c>
      <c r="B184" s="1" t="s">
        <v>480</v>
      </c>
      <c r="C184" s="1" t="s">
        <v>148</v>
      </c>
      <c r="E184" s="1">
        <v>19.8003121</v>
      </c>
      <c r="F184" s="1">
        <v>72.758341</v>
      </c>
      <c r="G184" s="1" t="s">
        <v>22</v>
      </c>
      <c r="H184" s="1" t="s">
        <v>23</v>
      </c>
      <c r="I184" s="1" t="s">
        <v>24</v>
      </c>
      <c r="J184" s="1" t="s">
        <v>221</v>
      </c>
      <c r="K184" s="1" t="s">
        <v>26</v>
      </c>
      <c r="L184" s="1" t="s">
        <v>27</v>
      </c>
      <c r="N184" s="1" t="s">
        <v>143</v>
      </c>
      <c r="O184" s="1" t="s">
        <v>57</v>
      </c>
      <c r="P184" s="1" t="s">
        <v>144</v>
      </c>
      <c r="Q184" s="1" t="s">
        <v>145</v>
      </c>
      <c r="R184" s="1">
        <v>0.0</v>
      </c>
      <c r="S184" s="1"/>
    </row>
    <row r="185" ht="15.75" customHeight="1">
      <c r="A185" s="1" t="s">
        <v>481</v>
      </c>
      <c r="B185" s="1" t="s">
        <v>482</v>
      </c>
      <c r="C185" s="1" t="s">
        <v>483</v>
      </c>
      <c r="E185" s="1">
        <v>17.9899608</v>
      </c>
      <c r="F185" s="1">
        <v>79.5963302</v>
      </c>
      <c r="G185" s="1" t="s">
        <v>22</v>
      </c>
      <c r="H185" s="1" t="s">
        <v>23</v>
      </c>
      <c r="I185" s="1" t="s">
        <v>24</v>
      </c>
      <c r="J185" s="1" t="s">
        <v>56</v>
      </c>
      <c r="K185" s="1" t="s">
        <v>26</v>
      </c>
      <c r="L185" s="1" t="s">
        <v>27</v>
      </c>
      <c r="N185" s="1" t="s">
        <v>186</v>
      </c>
      <c r="O185" s="1" t="s">
        <v>57</v>
      </c>
      <c r="P185" s="1" t="s">
        <v>187</v>
      </c>
      <c r="Q185" s="1" t="s">
        <v>188</v>
      </c>
      <c r="R185" s="1">
        <v>0.0</v>
      </c>
      <c r="S185" s="1"/>
    </row>
    <row r="186" ht="15.75" customHeight="1">
      <c r="A186" s="1" t="s">
        <v>484</v>
      </c>
      <c r="B186" s="1" t="s">
        <v>485</v>
      </c>
      <c r="C186" s="1" t="s">
        <v>185</v>
      </c>
      <c r="E186" s="1">
        <v>17.9886478</v>
      </c>
      <c r="F186" s="1">
        <v>79.6007248</v>
      </c>
      <c r="G186" s="1" t="s">
        <v>22</v>
      </c>
      <c r="H186" s="1" t="s">
        <v>23</v>
      </c>
      <c r="I186" s="1" t="s">
        <v>24</v>
      </c>
      <c r="J186" s="1" t="s">
        <v>56</v>
      </c>
      <c r="K186" s="1" t="s">
        <v>26</v>
      </c>
      <c r="L186" s="1" t="s">
        <v>27</v>
      </c>
      <c r="N186" s="1" t="s">
        <v>186</v>
      </c>
      <c r="O186" s="1" t="s">
        <v>57</v>
      </c>
      <c r="P186" s="1" t="s">
        <v>187</v>
      </c>
      <c r="Q186" s="1" t="s">
        <v>188</v>
      </c>
      <c r="R186" s="1">
        <v>0.0</v>
      </c>
      <c r="S186" s="1"/>
    </row>
    <row r="187" ht="15.75" customHeight="1">
      <c r="A187" s="1" t="s">
        <v>486</v>
      </c>
      <c r="B187" s="1" t="s">
        <v>487</v>
      </c>
      <c r="C187" s="1" t="s">
        <v>488</v>
      </c>
      <c r="E187" s="1">
        <v>16.9478217</v>
      </c>
      <c r="F187" s="1">
        <v>82.2420317</v>
      </c>
      <c r="G187" s="1" t="s">
        <v>22</v>
      </c>
      <c r="H187" s="1" t="s">
        <v>23</v>
      </c>
      <c r="I187" s="1" t="s">
        <v>24</v>
      </c>
      <c r="J187" s="1" t="s">
        <v>56</v>
      </c>
      <c r="K187" s="1" t="s">
        <v>26</v>
      </c>
      <c r="L187" s="1" t="s">
        <v>27</v>
      </c>
      <c r="N187" s="1" t="s">
        <v>464</v>
      </c>
      <c r="O187" s="1" t="s">
        <v>57</v>
      </c>
      <c r="P187" s="1" t="s">
        <v>187</v>
      </c>
      <c r="Q187" s="1" t="s">
        <v>188</v>
      </c>
      <c r="R187" s="1">
        <v>0.0</v>
      </c>
      <c r="S187" s="1"/>
    </row>
    <row r="188" ht="15.75" customHeight="1">
      <c r="A188" s="1" t="s">
        <v>489</v>
      </c>
      <c r="B188" s="1" t="s">
        <v>490</v>
      </c>
      <c r="C188" s="1" t="s">
        <v>463</v>
      </c>
      <c r="E188" s="1">
        <v>13.6417853</v>
      </c>
      <c r="F188" s="1">
        <v>79.427655</v>
      </c>
      <c r="G188" s="1" t="s">
        <v>22</v>
      </c>
      <c r="H188" s="1" t="s">
        <v>23</v>
      </c>
      <c r="I188" s="1" t="s">
        <v>24</v>
      </c>
      <c r="J188" s="1" t="s">
        <v>221</v>
      </c>
      <c r="K188" s="1" t="s">
        <v>26</v>
      </c>
      <c r="L188" s="1" t="s">
        <v>27</v>
      </c>
      <c r="N188" s="1" t="s">
        <v>464</v>
      </c>
      <c r="O188" s="1" t="s">
        <v>57</v>
      </c>
      <c r="P188" s="1" t="s">
        <v>187</v>
      </c>
      <c r="Q188" s="1" t="s">
        <v>188</v>
      </c>
      <c r="R188" s="1">
        <v>0.0</v>
      </c>
      <c r="S188" s="1"/>
    </row>
    <row r="189" ht="15.75" customHeight="1">
      <c r="A189" s="1" t="s">
        <v>491</v>
      </c>
      <c r="B189" s="1" t="s">
        <v>492</v>
      </c>
      <c r="C189" s="1" t="s">
        <v>472</v>
      </c>
      <c r="E189" s="1">
        <v>17.0251834</v>
      </c>
      <c r="F189" s="1">
        <v>81.8038996</v>
      </c>
      <c r="G189" s="1" t="s">
        <v>22</v>
      </c>
      <c r="H189" s="1" t="s">
        <v>23</v>
      </c>
      <c r="I189" s="1" t="s">
        <v>24</v>
      </c>
      <c r="J189" s="1" t="s">
        <v>221</v>
      </c>
      <c r="K189" s="1" t="s">
        <v>26</v>
      </c>
      <c r="L189" s="1" t="s">
        <v>27</v>
      </c>
      <c r="N189" s="1" t="s">
        <v>464</v>
      </c>
      <c r="O189" s="1" t="s">
        <v>57</v>
      </c>
      <c r="P189" s="1" t="s">
        <v>187</v>
      </c>
      <c r="Q189" s="1" t="s">
        <v>188</v>
      </c>
      <c r="R189" s="1">
        <v>0.0</v>
      </c>
      <c r="S189" s="1"/>
    </row>
    <row r="190" ht="15.75" customHeight="1">
      <c r="A190" s="1" t="s">
        <v>493</v>
      </c>
      <c r="B190" s="1" t="s">
        <v>494</v>
      </c>
      <c r="C190" s="1" t="s">
        <v>446</v>
      </c>
      <c r="E190" s="1">
        <v>22.3038955</v>
      </c>
      <c r="F190" s="1">
        <v>73.1947314</v>
      </c>
      <c r="G190" s="1" t="s">
        <v>22</v>
      </c>
      <c r="H190" s="1" t="s">
        <v>23</v>
      </c>
      <c r="I190" s="1" t="s">
        <v>24</v>
      </c>
      <c r="J190" s="1" t="s">
        <v>221</v>
      </c>
      <c r="K190" s="1" t="s">
        <v>26</v>
      </c>
      <c r="L190" s="1" t="s">
        <v>27</v>
      </c>
      <c r="N190" s="1" t="s">
        <v>216</v>
      </c>
      <c r="O190" s="1" t="s">
        <v>57</v>
      </c>
      <c r="P190" s="1" t="s">
        <v>243</v>
      </c>
      <c r="Q190" s="1" t="s">
        <v>244</v>
      </c>
      <c r="R190" s="1">
        <v>1.0</v>
      </c>
      <c r="S190" s="1"/>
    </row>
    <row r="191" ht="15.75" customHeight="1">
      <c r="A191" s="1" t="s">
        <v>495</v>
      </c>
      <c r="B191" s="1" t="s">
        <v>496</v>
      </c>
      <c r="C191" s="1" t="s">
        <v>497</v>
      </c>
      <c r="E191" s="1">
        <v>25.6279936</v>
      </c>
      <c r="F191" s="1">
        <v>85.11037360000002</v>
      </c>
      <c r="G191" s="1" t="s">
        <v>54</v>
      </c>
      <c r="H191" s="1" t="s">
        <v>55</v>
      </c>
      <c r="J191" s="1" t="s">
        <v>56</v>
      </c>
      <c r="K191" s="1" t="s">
        <v>26</v>
      </c>
      <c r="L191" s="1" t="s">
        <v>27</v>
      </c>
      <c r="N191" s="1" t="s">
        <v>498</v>
      </c>
      <c r="O191" s="1" t="s">
        <v>57</v>
      </c>
      <c r="P191" s="1" t="s">
        <v>499</v>
      </c>
      <c r="Q191" s="1" t="s">
        <v>500</v>
      </c>
      <c r="R191" s="1">
        <v>4.0</v>
      </c>
      <c r="S191" s="1"/>
    </row>
    <row r="192" ht="15.75" customHeight="1">
      <c r="A192" s="1" t="s">
        <v>501</v>
      </c>
      <c r="B192" s="1" t="s">
        <v>502</v>
      </c>
      <c r="C192" s="1" t="s">
        <v>497</v>
      </c>
      <c r="E192" s="1">
        <v>25.6105779</v>
      </c>
      <c r="F192" s="1">
        <v>85.1396804</v>
      </c>
      <c r="G192" s="1" t="s">
        <v>54</v>
      </c>
      <c r="H192" s="1" t="s">
        <v>55</v>
      </c>
      <c r="J192" s="1" t="s">
        <v>56</v>
      </c>
      <c r="K192" s="1" t="s">
        <v>26</v>
      </c>
      <c r="L192" s="1" t="s">
        <v>27</v>
      </c>
      <c r="N192" s="1" t="s">
        <v>498</v>
      </c>
      <c r="O192" s="1" t="s">
        <v>57</v>
      </c>
      <c r="P192" s="1" t="s">
        <v>499</v>
      </c>
      <c r="Q192" s="1" t="s">
        <v>500</v>
      </c>
      <c r="R192" s="1">
        <v>4.0</v>
      </c>
      <c r="S192" s="1"/>
    </row>
    <row r="193" ht="15.75" customHeight="1">
      <c r="A193" s="1" t="s">
        <v>503</v>
      </c>
      <c r="B193" s="1" t="s">
        <v>504</v>
      </c>
      <c r="C193" s="1" t="s">
        <v>505</v>
      </c>
      <c r="E193" s="1">
        <v>23.8291425</v>
      </c>
      <c r="F193" s="1">
        <v>86.4334023</v>
      </c>
      <c r="G193" s="1" t="s">
        <v>54</v>
      </c>
      <c r="H193" s="1" t="s">
        <v>55</v>
      </c>
      <c r="J193" s="1" t="s">
        <v>56</v>
      </c>
      <c r="K193" s="1" t="s">
        <v>26</v>
      </c>
      <c r="L193" s="1" t="s">
        <v>27</v>
      </c>
      <c r="N193" s="1" t="s">
        <v>506</v>
      </c>
      <c r="O193" s="1" t="s">
        <v>57</v>
      </c>
      <c r="P193" s="1" t="s">
        <v>507</v>
      </c>
      <c r="Q193" s="1" t="s">
        <v>508</v>
      </c>
      <c r="R193" s="1">
        <v>0.0</v>
      </c>
      <c r="S193" s="1"/>
    </row>
    <row r="194" ht="15.75" customHeight="1">
      <c r="A194" s="1" t="s">
        <v>509</v>
      </c>
      <c r="B194" s="1" t="s">
        <v>510</v>
      </c>
      <c r="C194" s="1" t="s">
        <v>511</v>
      </c>
      <c r="E194" s="1">
        <v>22.7986055</v>
      </c>
      <c r="F194" s="1">
        <v>86.18359389999999</v>
      </c>
      <c r="G194" s="1" t="s">
        <v>54</v>
      </c>
      <c r="H194" s="1" t="s">
        <v>55</v>
      </c>
      <c r="J194" s="1" t="s">
        <v>25</v>
      </c>
      <c r="K194" s="1" t="s">
        <v>26</v>
      </c>
      <c r="L194" s="1" t="s">
        <v>27</v>
      </c>
      <c r="N194" s="1" t="s">
        <v>506</v>
      </c>
      <c r="O194" s="1" t="s">
        <v>29</v>
      </c>
      <c r="P194" s="1" t="s">
        <v>507</v>
      </c>
      <c r="Q194" s="1" t="s">
        <v>508</v>
      </c>
      <c r="R194" s="1">
        <v>0.0</v>
      </c>
      <c r="S194" s="1"/>
    </row>
    <row r="195" ht="15.75" customHeight="1">
      <c r="A195" s="1" t="s">
        <v>512</v>
      </c>
      <c r="B195" s="1" t="s">
        <v>513</v>
      </c>
      <c r="C195" s="1" t="s">
        <v>514</v>
      </c>
      <c r="E195" s="1">
        <v>25.5509972</v>
      </c>
      <c r="F195" s="1">
        <v>84.65326220000001</v>
      </c>
      <c r="G195" s="1" t="s">
        <v>54</v>
      </c>
      <c r="H195" s="1" t="s">
        <v>55</v>
      </c>
      <c r="J195" s="1" t="s">
        <v>221</v>
      </c>
      <c r="K195" s="1" t="s">
        <v>26</v>
      </c>
      <c r="L195" s="1" t="s">
        <v>27</v>
      </c>
      <c r="N195" s="1" t="s">
        <v>498</v>
      </c>
      <c r="O195" s="1" t="s">
        <v>57</v>
      </c>
      <c r="P195" s="1" t="s">
        <v>507</v>
      </c>
      <c r="Q195" s="1" t="s">
        <v>508</v>
      </c>
      <c r="R195" s="1">
        <v>2.0</v>
      </c>
      <c r="S195" s="1"/>
    </row>
    <row r="196" ht="15.75" customHeight="1">
      <c r="A196" s="1" t="s">
        <v>515</v>
      </c>
      <c r="B196" s="1" t="s">
        <v>516</v>
      </c>
      <c r="C196" s="1" t="s">
        <v>517</v>
      </c>
      <c r="E196" s="1">
        <v>26.1548743</v>
      </c>
      <c r="F196" s="1">
        <v>85.8988868</v>
      </c>
      <c r="G196" s="1" t="s">
        <v>54</v>
      </c>
      <c r="H196" s="1" t="s">
        <v>55</v>
      </c>
      <c r="J196" s="1" t="s">
        <v>56</v>
      </c>
      <c r="K196" s="1" t="s">
        <v>26</v>
      </c>
      <c r="L196" s="1" t="s">
        <v>27</v>
      </c>
      <c r="N196" s="1" t="s">
        <v>498</v>
      </c>
      <c r="O196" s="1" t="s">
        <v>57</v>
      </c>
      <c r="P196" s="1" t="s">
        <v>507</v>
      </c>
      <c r="Q196" s="1" t="s">
        <v>508</v>
      </c>
      <c r="R196" s="1">
        <v>0.0</v>
      </c>
      <c r="S196" s="1"/>
    </row>
    <row r="197" ht="15.75" customHeight="1">
      <c r="A197" s="1" t="s">
        <v>518</v>
      </c>
      <c r="B197" s="1" t="s">
        <v>519</v>
      </c>
      <c r="C197" s="1" t="s">
        <v>520</v>
      </c>
      <c r="E197" s="1">
        <v>26.1168957</v>
      </c>
      <c r="F197" s="1">
        <v>85.36002649999999</v>
      </c>
      <c r="G197" s="1" t="s">
        <v>54</v>
      </c>
      <c r="H197" s="1" t="s">
        <v>55</v>
      </c>
      <c r="J197" s="1" t="s">
        <v>56</v>
      </c>
      <c r="K197" s="1" t="s">
        <v>26</v>
      </c>
      <c r="L197" s="1" t="s">
        <v>27</v>
      </c>
      <c r="N197" s="1" t="s">
        <v>498</v>
      </c>
      <c r="O197" s="1" t="s">
        <v>57</v>
      </c>
      <c r="P197" s="1" t="s">
        <v>507</v>
      </c>
      <c r="Q197" s="1" t="s">
        <v>508</v>
      </c>
      <c r="R197" s="1">
        <v>1.0</v>
      </c>
      <c r="S197" s="1"/>
    </row>
    <row r="198" ht="15.75" customHeight="1">
      <c r="A198" s="1" t="s">
        <v>521</v>
      </c>
      <c r="B198" s="1" t="s">
        <v>522</v>
      </c>
      <c r="C198" s="1" t="s">
        <v>523</v>
      </c>
      <c r="E198" s="1">
        <v>24.7833741</v>
      </c>
      <c r="F198" s="1">
        <v>84.9895955</v>
      </c>
      <c r="G198" s="1" t="s">
        <v>54</v>
      </c>
      <c r="H198" s="1" t="s">
        <v>55</v>
      </c>
      <c r="J198" s="1" t="s">
        <v>56</v>
      </c>
      <c r="K198" s="1" t="s">
        <v>26</v>
      </c>
      <c r="L198" s="1" t="s">
        <v>27</v>
      </c>
      <c r="N198" s="1" t="s">
        <v>498</v>
      </c>
      <c r="O198" s="1" t="s">
        <v>57</v>
      </c>
      <c r="P198" s="1" t="s">
        <v>507</v>
      </c>
      <c r="Q198" s="1" t="s">
        <v>508</v>
      </c>
      <c r="R198" s="1">
        <v>1.0</v>
      </c>
      <c r="S198" s="1"/>
    </row>
    <row r="199" ht="15.75" customHeight="1">
      <c r="A199" s="1" t="s">
        <v>524</v>
      </c>
      <c r="B199" s="1" t="s">
        <v>525</v>
      </c>
      <c r="C199" s="1" t="s">
        <v>526</v>
      </c>
      <c r="E199" s="1">
        <v>24.7598345</v>
      </c>
      <c r="F199" s="1">
        <v>84.363917</v>
      </c>
      <c r="G199" s="1" t="s">
        <v>54</v>
      </c>
      <c r="H199" s="1" t="s">
        <v>55</v>
      </c>
      <c r="J199" s="1" t="s">
        <v>221</v>
      </c>
      <c r="K199" s="1" t="s">
        <v>26</v>
      </c>
      <c r="L199" s="1" t="s">
        <v>27</v>
      </c>
      <c r="N199" s="1" t="s">
        <v>498</v>
      </c>
      <c r="O199" s="1" t="s">
        <v>57</v>
      </c>
      <c r="P199" s="1" t="s">
        <v>507</v>
      </c>
      <c r="Q199" s="1" t="s">
        <v>508</v>
      </c>
      <c r="R199" s="1">
        <v>0.0</v>
      </c>
      <c r="S199" s="1"/>
    </row>
    <row r="200" ht="15.75" customHeight="1">
      <c r="A200" s="1" t="s">
        <v>527</v>
      </c>
      <c r="B200" s="1" t="s">
        <v>528</v>
      </c>
      <c r="C200" s="1" t="s">
        <v>497</v>
      </c>
      <c r="E200" s="1">
        <v>25.606171</v>
      </c>
      <c r="F200" s="1">
        <v>85.0420812</v>
      </c>
      <c r="G200" s="1" t="s">
        <v>54</v>
      </c>
      <c r="H200" s="1" t="s">
        <v>55</v>
      </c>
      <c r="J200" s="1" t="s">
        <v>56</v>
      </c>
      <c r="K200" s="1" t="s">
        <v>26</v>
      </c>
      <c r="L200" s="1" t="s">
        <v>27</v>
      </c>
      <c r="N200" s="1" t="s">
        <v>498</v>
      </c>
      <c r="O200" s="1" t="s">
        <v>57</v>
      </c>
      <c r="P200" s="1" t="s">
        <v>499</v>
      </c>
      <c r="Q200" s="1" t="s">
        <v>500</v>
      </c>
      <c r="R200" s="1">
        <v>4.0</v>
      </c>
      <c r="S200" s="1"/>
    </row>
    <row r="201" ht="15.75" customHeight="1">
      <c r="A201" s="1" t="s">
        <v>529</v>
      </c>
      <c r="B201" s="1" t="s">
        <v>530</v>
      </c>
      <c r="C201" s="1" t="s">
        <v>531</v>
      </c>
      <c r="E201" s="1">
        <v>22.5789941</v>
      </c>
      <c r="F201" s="1">
        <v>88.46844019999999</v>
      </c>
      <c r="G201" s="1" t="s">
        <v>54</v>
      </c>
      <c r="H201" s="1" t="s">
        <v>55</v>
      </c>
      <c r="J201" s="1" t="s">
        <v>44</v>
      </c>
      <c r="K201" s="1" t="s">
        <v>26</v>
      </c>
      <c r="L201" s="1" t="s">
        <v>27</v>
      </c>
      <c r="N201" s="1" t="s">
        <v>532</v>
      </c>
      <c r="O201" s="1" t="s">
        <v>29</v>
      </c>
      <c r="P201" s="1" t="s">
        <v>533</v>
      </c>
      <c r="Q201" s="1" t="s">
        <v>534</v>
      </c>
      <c r="R201" s="1">
        <v>18.0</v>
      </c>
      <c r="S201" s="1"/>
    </row>
    <row r="202" ht="15.75" customHeight="1">
      <c r="A202" s="1" t="s">
        <v>535</v>
      </c>
      <c r="B202" s="1" t="s">
        <v>536</v>
      </c>
      <c r="C202" s="1" t="s">
        <v>531</v>
      </c>
      <c r="E202" s="1">
        <v>22.6109615</v>
      </c>
      <c r="F202" s="1">
        <v>88.4084666</v>
      </c>
      <c r="G202" s="1" t="s">
        <v>54</v>
      </c>
      <c r="H202" s="1" t="s">
        <v>55</v>
      </c>
      <c r="J202" s="1" t="s">
        <v>56</v>
      </c>
      <c r="K202" s="1" t="s">
        <v>26</v>
      </c>
      <c r="L202" s="1" t="s">
        <v>27</v>
      </c>
      <c r="N202" s="1" t="s">
        <v>532</v>
      </c>
      <c r="O202" s="1" t="s">
        <v>29</v>
      </c>
      <c r="P202" s="1" t="s">
        <v>533</v>
      </c>
      <c r="Q202" s="1" t="s">
        <v>534</v>
      </c>
      <c r="R202" s="1">
        <v>18.0</v>
      </c>
      <c r="S202" s="1"/>
    </row>
    <row r="203" ht="15.75" customHeight="1">
      <c r="A203" s="1" t="s">
        <v>537</v>
      </c>
      <c r="B203" s="1" t="s">
        <v>538</v>
      </c>
      <c r="C203" s="1" t="s">
        <v>531</v>
      </c>
      <c r="E203" s="1">
        <v>22.5626416</v>
      </c>
      <c r="F203" s="1">
        <v>88.3233363</v>
      </c>
      <c r="G203" s="1" t="s">
        <v>54</v>
      </c>
      <c r="H203" s="1" t="s">
        <v>55</v>
      </c>
      <c r="J203" s="1" t="s">
        <v>44</v>
      </c>
      <c r="K203" s="1" t="s">
        <v>26</v>
      </c>
      <c r="L203" s="1" t="s">
        <v>27</v>
      </c>
      <c r="N203" s="1" t="s">
        <v>532</v>
      </c>
      <c r="O203" s="1" t="s">
        <v>29</v>
      </c>
      <c r="P203" s="1" t="s">
        <v>533</v>
      </c>
      <c r="Q203" s="1" t="s">
        <v>534</v>
      </c>
      <c r="R203" s="1">
        <v>10.0</v>
      </c>
      <c r="S203" s="1"/>
    </row>
    <row r="204" ht="15.75" customHeight="1">
      <c r="A204" s="1" t="s">
        <v>539</v>
      </c>
      <c r="B204" s="1" t="s">
        <v>540</v>
      </c>
      <c r="C204" s="1" t="s">
        <v>531</v>
      </c>
      <c r="E204" s="1">
        <v>22.7114861</v>
      </c>
      <c r="F204" s="1">
        <v>88.4776931</v>
      </c>
      <c r="G204" s="1" t="s">
        <v>54</v>
      </c>
      <c r="H204" s="1" t="s">
        <v>55</v>
      </c>
      <c r="J204" s="1" t="s">
        <v>56</v>
      </c>
      <c r="K204" s="1" t="s">
        <v>26</v>
      </c>
      <c r="L204" s="1" t="s">
        <v>27</v>
      </c>
      <c r="N204" s="1" t="s">
        <v>532</v>
      </c>
      <c r="O204" s="1" t="s">
        <v>57</v>
      </c>
      <c r="P204" s="1" t="s">
        <v>533</v>
      </c>
      <c r="Q204" s="1" t="s">
        <v>534</v>
      </c>
      <c r="R204" s="1">
        <v>4.0</v>
      </c>
      <c r="S204" s="1"/>
    </row>
    <row r="205" ht="15.75" customHeight="1">
      <c r="A205" s="1" t="s">
        <v>541</v>
      </c>
      <c r="B205" s="1" t="s">
        <v>542</v>
      </c>
      <c r="C205" s="1" t="s">
        <v>531</v>
      </c>
      <c r="E205" s="1">
        <v>22.5542584</v>
      </c>
      <c r="F205" s="1">
        <v>88.35085869999999</v>
      </c>
      <c r="G205" s="1" t="s">
        <v>54</v>
      </c>
      <c r="H205" s="1" t="s">
        <v>55</v>
      </c>
      <c r="J205" s="1" t="s">
        <v>118</v>
      </c>
      <c r="K205" s="1" t="s">
        <v>26</v>
      </c>
      <c r="L205" s="1" t="s">
        <v>27</v>
      </c>
      <c r="N205" s="1" t="s">
        <v>532</v>
      </c>
      <c r="O205" s="1" t="s">
        <v>29</v>
      </c>
      <c r="P205" s="1" t="s">
        <v>533</v>
      </c>
      <c r="Q205" s="1" t="s">
        <v>534</v>
      </c>
      <c r="R205" s="1">
        <v>24.0</v>
      </c>
      <c r="S205" s="1"/>
    </row>
    <row r="206" ht="15.75" customHeight="1">
      <c r="A206" s="1" t="s">
        <v>543</v>
      </c>
      <c r="B206" s="1" t="s">
        <v>544</v>
      </c>
      <c r="C206" s="1" t="s">
        <v>531</v>
      </c>
      <c r="E206" s="1">
        <v>22.6224693</v>
      </c>
      <c r="F206" s="1">
        <v>88.44753089999999</v>
      </c>
      <c r="G206" s="1" t="s">
        <v>54</v>
      </c>
      <c r="H206" s="1" t="s">
        <v>55</v>
      </c>
      <c r="J206" s="1" t="s">
        <v>118</v>
      </c>
      <c r="K206" s="1" t="s">
        <v>26</v>
      </c>
      <c r="L206" s="1" t="s">
        <v>27</v>
      </c>
      <c r="N206" s="1" t="s">
        <v>532</v>
      </c>
      <c r="O206" s="1" t="s">
        <v>29</v>
      </c>
      <c r="P206" s="1" t="s">
        <v>533</v>
      </c>
      <c r="Q206" s="1" t="s">
        <v>534</v>
      </c>
      <c r="R206" s="1">
        <v>14.0</v>
      </c>
      <c r="S206" s="1"/>
    </row>
    <row r="207" ht="15.75" customHeight="1">
      <c r="A207" s="1" t="s">
        <v>545</v>
      </c>
      <c r="B207" s="1" t="s">
        <v>546</v>
      </c>
      <c r="C207" s="1" t="s">
        <v>531</v>
      </c>
      <c r="E207" s="1">
        <v>22.5883008</v>
      </c>
      <c r="F207" s="1">
        <v>88.40159729999999</v>
      </c>
      <c r="G207" s="1" t="s">
        <v>54</v>
      </c>
      <c r="H207" s="1" t="s">
        <v>55</v>
      </c>
      <c r="J207" s="1" t="s">
        <v>56</v>
      </c>
      <c r="K207" s="1" t="s">
        <v>26</v>
      </c>
      <c r="L207" s="1" t="s">
        <v>27</v>
      </c>
      <c r="N207" s="1" t="s">
        <v>532</v>
      </c>
      <c r="O207" s="1" t="s">
        <v>29</v>
      </c>
      <c r="P207" s="1" t="s">
        <v>533</v>
      </c>
      <c r="Q207" s="1" t="s">
        <v>534</v>
      </c>
      <c r="R207" s="1">
        <v>19.0</v>
      </c>
      <c r="S207" s="1"/>
    </row>
    <row r="208" ht="15.75" customHeight="1">
      <c r="A208" s="1" t="s">
        <v>547</v>
      </c>
      <c r="B208" s="1" t="s">
        <v>548</v>
      </c>
      <c r="C208" s="1" t="s">
        <v>549</v>
      </c>
      <c r="E208" s="1">
        <v>30.7320826</v>
      </c>
      <c r="F208" s="1">
        <v>76.7769168</v>
      </c>
      <c r="G208" s="1" t="s">
        <v>54</v>
      </c>
      <c r="H208" s="1" t="s">
        <v>55</v>
      </c>
      <c r="J208" s="1" t="s">
        <v>118</v>
      </c>
      <c r="K208" s="1" t="s">
        <v>26</v>
      </c>
      <c r="L208" s="1" t="s">
        <v>27</v>
      </c>
      <c r="N208" s="1" t="s">
        <v>549</v>
      </c>
      <c r="O208" s="1" t="s">
        <v>29</v>
      </c>
      <c r="P208" s="1" t="s">
        <v>550</v>
      </c>
      <c r="Q208" s="1" t="s">
        <v>551</v>
      </c>
      <c r="R208" s="1">
        <v>2.0</v>
      </c>
      <c r="S208" s="1"/>
    </row>
    <row r="209" ht="15.75" customHeight="1">
      <c r="A209" s="1" t="s">
        <v>552</v>
      </c>
      <c r="B209" s="1" t="s">
        <v>553</v>
      </c>
      <c r="C209" s="1" t="s">
        <v>549</v>
      </c>
      <c r="E209" s="1">
        <v>30.7229978</v>
      </c>
      <c r="F209" s="1">
        <v>76.6830838</v>
      </c>
      <c r="G209" s="1" t="s">
        <v>54</v>
      </c>
      <c r="H209" s="1" t="s">
        <v>55</v>
      </c>
      <c r="J209" s="1" t="s">
        <v>56</v>
      </c>
      <c r="K209" s="1" t="s">
        <v>26</v>
      </c>
      <c r="L209" s="1" t="s">
        <v>27</v>
      </c>
      <c r="N209" s="1" t="s">
        <v>549</v>
      </c>
      <c r="O209" s="1" t="s">
        <v>57</v>
      </c>
      <c r="P209" s="1" t="s">
        <v>550</v>
      </c>
      <c r="Q209" s="1" t="s">
        <v>551</v>
      </c>
      <c r="R209" s="1">
        <v>2.0</v>
      </c>
      <c r="S209" s="1"/>
    </row>
    <row r="210" ht="15.75" customHeight="1">
      <c r="A210" s="1" t="s">
        <v>554</v>
      </c>
      <c r="B210" s="1" t="s">
        <v>555</v>
      </c>
      <c r="C210" s="1" t="s">
        <v>549</v>
      </c>
      <c r="E210" s="1">
        <v>30.677157</v>
      </c>
      <c r="F210" s="1">
        <v>76.72388579999999</v>
      </c>
      <c r="G210" s="1" t="s">
        <v>54</v>
      </c>
      <c r="H210" s="1" t="s">
        <v>55</v>
      </c>
      <c r="J210" s="1" t="s">
        <v>118</v>
      </c>
      <c r="K210" s="1" t="s">
        <v>26</v>
      </c>
      <c r="L210" s="1" t="s">
        <v>27</v>
      </c>
      <c r="N210" s="1" t="s">
        <v>549</v>
      </c>
      <c r="O210" s="1" t="s">
        <v>29</v>
      </c>
      <c r="P210" s="1" t="s">
        <v>550</v>
      </c>
      <c r="Q210" s="1" t="s">
        <v>551</v>
      </c>
      <c r="R210" s="1">
        <v>2.0</v>
      </c>
      <c r="S210" s="1"/>
    </row>
    <row r="211" ht="15.75" customHeight="1">
      <c r="A211" s="1" t="s">
        <v>556</v>
      </c>
      <c r="B211" s="1" t="s">
        <v>557</v>
      </c>
      <c r="C211" s="1" t="s">
        <v>549</v>
      </c>
      <c r="E211" s="1">
        <v>30.7370577</v>
      </c>
      <c r="F211" s="1">
        <v>76.6791822</v>
      </c>
      <c r="G211" s="1" t="s">
        <v>54</v>
      </c>
      <c r="H211" s="1" t="s">
        <v>55</v>
      </c>
      <c r="J211" s="1" t="s">
        <v>56</v>
      </c>
      <c r="K211" s="1" t="s">
        <v>26</v>
      </c>
      <c r="L211" s="1" t="s">
        <v>27</v>
      </c>
      <c r="N211" s="1" t="s">
        <v>549</v>
      </c>
      <c r="O211" s="1" t="s">
        <v>57</v>
      </c>
      <c r="P211" s="1" t="s">
        <v>550</v>
      </c>
      <c r="Q211" s="1" t="s">
        <v>551</v>
      </c>
      <c r="R211" s="1">
        <v>2.0</v>
      </c>
      <c r="S211" s="1"/>
    </row>
    <row r="212" ht="15.75" customHeight="1">
      <c r="A212" s="1" t="s">
        <v>558</v>
      </c>
      <c r="B212" s="1" t="s">
        <v>559</v>
      </c>
      <c r="C212" s="1" t="s">
        <v>549</v>
      </c>
      <c r="E212" s="1">
        <v>30.7243685</v>
      </c>
      <c r="F212" s="1">
        <v>76.7644636</v>
      </c>
      <c r="G212" s="1" t="s">
        <v>54</v>
      </c>
      <c r="H212" s="1" t="s">
        <v>55</v>
      </c>
      <c r="J212" s="1" t="s">
        <v>56</v>
      </c>
      <c r="K212" s="1" t="s">
        <v>26</v>
      </c>
      <c r="L212" s="1" t="s">
        <v>27</v>
      </c>
      <c r="N212" s="1" t="s">
        <v>549</v>
      </c>
      <c r="O212" s="1" t="s">
        <v>57</v>
      </c>
      <c r="P212" s="1" t="s">
        <v>550</v>
      </c>
      <c r="Q212" s="1" t="s">
        <v>551</v>
      </c>
      <c r="R212" s="1">
        <v>2.0</v>
      </c>
      <c r="S212" s="1"/>
    </row>
    <row r="213" ht="15.75" customHeight="1">
      <c r="A213" s="1" t="s">
        <v>560</v>
      </c>
      <c r="B213" s="1" t="s">
        <v>561</v>
      </c>
      <c r="C213" s="1" t="s">
        <v>549</v>
      </c>
      <c r="E213" s="1">
        <v>30.7050652</v>
      </c>
      <c r="F213" s="1">
        <v>76.8022955</v>
      </c>
      <c r="G213" s="1" t="s">
        <v>54</v>
      </c>
      <c r="H213" s="1" t="s">
        <v>55</v>
      </c>
      <c r="J213" s="1" t="s">
        <v>118</v>
      </c>
      <c r="K213" s="1" t="s">
        <v>26</v>
      </c>
      <c r="L213" s="1" t="s">
        <v>27</v>
      </c>
      <c r="N213" s="1" t="s">
        <v>549</v>
      </c>
      <c r="O213" s="1" t="s">
        <v>29</v>
      </c>
      <c r="P213" s="1" t="s">
        <v>550</v>
      </c>
      <c r="Q213" s="1" t="s">
        <v>551</v>
      </c>
      <c r="R213" s="1">
        <v>2.0</v>
      </c>
      <c r="S213" s="1"/>
    </row>
    <row r="214" ht="15.75" customHeight="1">
      <c r="A214" s="1" t="s">
        <v>562</v>
      </c>
      <c r="B214" s="1" t="s">
        <v>563</v>
      </c>
      <c r="C214" s="1" t="s">
        <v>564</v>
      </c>
      <c r="E214" s="1">
        <v>30.6874281</v>
      </c>
      <c r="F214" s="1">
        <v>76.8505746</v>
      </c>
      <c r="G214" s="1" t="s">
        <v>54</v>
      </c>
      <c r="H214" s="1" t="s">
        <v>55</v>
      </c>
      <c r="J214" s="1" t="s">
        <v>118</v>
      </c>
      <c r="K214" s="1" t="s">
        <v>26</v>
      </c>
      <c r="L214" s="1" t="s">
        <v>27</v>
      </c>
      <c r="N214" s="1" t="s">
        <v>163</v>
      </c>
      <c r="O214" s="1" t="s">
        <v>29</v>
      </c>
      <c r="P214" s="1" t="s">
        <v>550</v>
      </c>
      <c r="Q214" s="1" t="s">
        <v>551</v>
      </c>
      <c r="R214" s="1">
        <v>2.0</v>
      </c>
      <c r="S214" s="1"/>
    </row>
    <row r="215" ht="15.75" customHeight="1">
      <c r="A215" s="1" t="s">
        <v>565</v>
      </c>
      <c r="B215" s="1" t="s">
        <v>566</v>
      </c>
      <c r="C215" s="1" t="s">
        <v>549</v>
      </c>
      <c r="E215" s="1">
        <v>30.7332989</v>
      </c>
      <c r="F215" s="1">
        <v>76.7978371</v>
      </c>
      <c r="G215" s="1" t="s">
        <v>54</v>
      </c>
      <c r="H215" s="1" t="s">
        <v>55</v>
      </c>
      <c r="J215" s="1" t="s">
        <v>221</v>
      </c>
      <c r="K215" s="1" t="s">
        <v>26</v>
      </c>
      <c r="L215" s="1" t="s">
        <v>27</v>
      </c>
      <c r="N215" s="1" t="s">
        <v>549</v>
      </c>
      <c r="O215" s="1" t="s">
        <v>57</v>
      </c>
      <c r="P215" s="1" t="s">
        <v>550</v>
      </c>
      <c r="Q215" s="1" t="s">
        <v>551</v>
      </c>
      <c r="R215" s="1">
        <v>2.0</v>
      </c>
      <c r="S215" s="1"/>
    </row>
    <row r="216" ht="15.75" customHeight="1">
      <c r="A216" s="1" t="s">
        <v>567</v>
      </c>
      <c r="B216" s="1" t="s">
        <v>568</v>
      </c>
      <c r="C216" s="1" t="s">
        <v>151</v>
      </c>
      <c r="E216" s="1">
        <v>18.5193788</v>
      </c>
      <c r="F216" s="1">
        <v>73.93088949999999</v>
      </c>
      <c r="G216" s="1" t="s">
        <v>54</v>
      </c>
      <c r="H216" s="1" t="s">
        <v>55</v>
      </c>
      <c r="J216" s="1" t="s">
        <v>25</v>
      </c>
      <c r="K216" s="1" t="s">
        <v>26</v>
      </c>
      <c r="L216" s="1" t="s">
        <v>27</v>
      </c>
      <c r="N216" s="1" t="s">
        <v>143</v>
      </c>
      <c r="O216" s="1" t="s">
        <v>29</v>
      </c>
      <c r="P216" s="1" t="s">
        <v>569</v>
      </c>
      <c r="Q216" s="1" t="s">
        <v>570</v>
      </c>
      <c r="R216" s="1">
        <v>13.0</v>
      </c>
      <c r="S216" s="1"/>
    </row>
    <row r="217" ht="15.75" customHeight="1">
      <c r="A217" s="1" t="s">
        <v>571</v>
      </c>
      <c r="B217" s="1" t="s">
        <v>572</v>
      </c>
      <c r="C217" s="1" t="s">
        <v>151</v>
      </c>
      <c r="E217" s="1">
        <v>18.5659272</v>
      </c>
      <c r="F217" s="1">
        <v>73.7713165</v>
      </c>
      <c r="G217" s="1" t="s">
        <v>54</v>
      </c>
      <c r="H217" s="1" t="s">
        <v>55</v>
      </c>
      <c r="J217" s="1" t="s">
        <v>25</v>
      </c>
      <c r="K217" s="1" t="s">
        <v>26</v>
      </c>
      <c r="L217" s="1" t="s">
        <v>27</v>
      </c>
      <c r="N217" s="1" t="s">
        <v>143</v>
      </c>
      <c r="O217" s="1" t="s">
        <v>29</v>
      </c>
      <c r="P217" s="1" t="s">
        <v>569</v>
      </c>
      <c r="Q217" s="1" t="s">
        <v>570</v>
      </c>
      <c r="R217" s="1">
        <v>14.0</v>
      </c>
      <c r="S217" s="1"/>
    </row>
    <row r="218" ht="15.75" customHeight="1">
      <c r="A218" s="1" t="s">
        <v>573</v>
      </c>
      <c r="B218" s="1" t="s">
        <v>574</v>
      </c>
      <c r="C218" s="1" t="s">
        <v>151</v>
      </c>
      <c r="E218" s="1">
        <v>18.5624281</v>
      </c>
      <c r="F218" s="1">
        <v>73.916523</v>
      </c>
      <c r="G218" s="1" t="s">
        <v>54</v>
      </c>
      <c r="H218" s="1" t="s">
        <v>55</v>
      </c>
      <c r="J218" s="1" t="s">
        <v>44</v>
      </c>
      <c r="K218" s="1" t="s">
        <v>26</v>
      </c>
      <c r="L218" s="1" t="s">
        <v>27</v>
      </c>
      <c r="N218" s="1" t="s">
        <v>143</v>
      </c>
      <c r="O218" s="1" t="s">
        <v>29</v>
      </c>
      <c r="P218" s="1" t="s">
        <v>569</v>
      </c>
      <c r="Q218" s="1" t="s">
        <v>570</v>
      </c>
      <c r="R218" s="1">
        <v>7.0</v>
      </c>
      <c r="S218" s="1"/>
    </row>
    <row r="219" ht="15.75" customHeight="1">
      <c r="A219" s="1" t="s">
        <v>575</v>
      </c>
      <c r="B219" s="1" t="s">
        <v>576</v>
      </c>
      <c r="C219" s="1" t="s">
        <v>151</v>
      </c>
      <c r="E219" s="1">
        <v>18.6254304</v>
      </c>
      <c r="F219" s="1">
        <v>73.8017532</v>
      </c>
      <c r="G219" s="1" t="s">
        <v>54</v>
      </c>
      <c r="H219" s="1" t="s">
        <v>55</v>
      </c>
      <c r="J219" s="1" t="s">
        <v>25</v>
      </c>
      <c r="K219" s="1" t="s">
        <v>26</v>
      </c>
      <c r="L219" s="1" t="s">
        <v>27</v>
      </c>
      <c r="N219" s="1" t="s">
        <v>143</v>
      </c>
      <c r="O219" s="1" t="s">
        <v>29</v>
      </c>
      <c r="P219" s="1" t="s">
        <v>569</v>
      </c>
      <c r="Q219" s="1" t="s">
        <v>570</v>
      </c>
      <c r="R219" s="1">
        <v>11.0</v>
      </c>
      <c r="S219" s="1"/>
    </row>
    <row r="220" ht="15.75" customHeight="1">
      <c r="A220" s="1" t="s">
        <v>577</v>
      </c>
      <c r="B220" s="1" t="s">
        <v>578</v>
      </c>
      <c r="C220" s="1" t="s">
        <v>151</v>
      </c>
      <c r="E220" s="1">
        <v>18.4494405</v>
      </c>
      <c r="F220" s="1">
        <v>73.8562362</v>
      </c>
      <c r="G220" s="1" t="s">
        <v>54</v>
      </c>
      <c r="H220" s="1" t="s">
        <v>55</v>
      </c>
      <c r="J220" s="1" t="s">
        <v>25</v>
      </c>
      <c r="K220" s="1" t="s">
        <v>26</v>
      </c>
      <c r="L220" s="1" t="s">
        <v>27</v>
      </c>
      <c r="N220" s="1" t="s">
        <v>143</v>
      </c>
      <c r="O220" s="1" t="s">
        <v>29</v>
      </c>
      <c r="P220" s="1" t="s">
        <v>569</v>
      </c>
      <c r="Q220" s="1" t="s">
        <v>570</v>
      </c>
      <c r="R220" s="1">
        <v>15.0</v>
      </c>
      <c r="S220" s="1"/>
    </row>
    <row r="221" ht="15.75" customHeight="1">
      <c r="A221" s="1" t="s">
        <v>579</v>
      </c>
      <c r="B221" s="1" t="s">
        <v>580</v>
      </c>
      <c r="C221" s="1" t="s">
        <v>151</v>
      </c>
      <c r="E221" s="1">
        <v>18.6796284</v>
      </c>
      <c r="F221" s="1">
        <v>73.8351236</v>
      </c>
      <c r="G221" s="1" t="s">
        <v>54</v>
      </c>
      <c r="H221" s="1" t="s">
        <v>55</v>
      </c>
      <c r="J221" s="1" t="s">
        <v>118</v>
      </c>
      <c r="K221" s="1" t="s">
        <v>26</v>
      </c>
      <c r="L221" s="1" t="s">
        <v>27</v>
      </c>
      <c r="N221" s="1" t="s">
        <v>143</v>
      </c>
      <c r="O221" s="1" t="s">
        <v>29</v>
      </c>
      <c r="P221" s="1" t="s">
        <v>569</v>
      </c>
      <c r="Q221" s="1" t="s">
        <v>570</v>
      </c>
      <c r="R221" s="1">
        <v>6.0</v>
      </c>
      <c r="S221" s="1"/>
    </row>
    <row r="222" ht="15.75" customHeight="1">
      <c r="A222" s="1" t="s">
        <v>581</v>
      </c>
      <c r="B222" s="1" t="s">
        <v>582</v>
      </c>
      <c r="C222" s="1" t="s">
        <v>151</v>
      </c>
      <c r="E222" s="1">
        <v>18.5860014</v>
      </c>
      <c r="F222" s="1">
        <v>73.99455189999999</v>
      </c>
      <c r="G222" s="1" t="s">
        <v>54</v>
      </c>
      <c r="H222" s="1" t="s">
        <v>55</v>
      </c>
      <c r="J222" s="1" t="s">
        <v>44</v>
      </c>
      <c r="K222" s="1" t="s">
        <v>26</v>
      </c>
      <c r="L222" s="1" t="s">
        <v>27</v>
      </c>
      <c r="N222" s="1" t="s">
        <v>143</v>
      </c>
      <c r="O222" s="1" t="s">
        <v>29</v>
      </c>
      <c r="P222" s="1" t="s">
        <v>569</v>
      </c>
      <c r="Q222" s="1" t="s">
        <v>570</v>
      </c>
      <c r="R222" s="1">
        <v>9.0</v>
      </c>
      <c r="S222" s="1"/>
    </row>
    <row r="223" ht="15.75" customHeight="1">
      <c r="A223" s="1" t="s">
        <v>583</v>
      </c>
      <c r="B223" s="1" t="s">
        <v>584</v>
      </c>
      <c r="C223" s="1" t="s">
        <v>151</v>
      </c>
      <c r="E223" s="1">
        <v>18.5232488</v>
      </c>
      <c r="F223" s="1">
        <v>73.77985579999999</v>
      </c>
      <c r="G223" s="1" t="s">
        <v>54</v>
      </c>
      <c r="H223" s="1" t="s">
        <v>55</v>
      </c>
      <c r="J223" s="1" t="s">
        <v>56</v>
      </c>
      <c r="K223" s="1" t="s">
        <v>26</v>
      </c>
      <c r="L223" s="1" t="s">
        <v>27</v>
      </c>
      <c r="N223" s="1" t="s">
        <v>143</v>
      </c>
      <c r="O223" s="1" t="s">
        <v>57</v>
      </c>
      <c r="P223" s="1" t="s">
        <v>569</v>
      </c>
      <c r="Q223" s="1" t="s">
        <v>570</v>
      </c>
      <c r="R223" s="1">
        <v>9.0</v>
      </c>
      <c r="S223" s="1"/>
    </row>
    <row r="224" ht="15.75" customHeight="1">
      <c r="A224" s="1" t="s">
        <v>585</v>
      </c>
      <c r="B224" s="1" t="s">
        <v>586</v>
      </c>
      <c r="C224" s="1" t="s">
        <v>151</v>
      </c>
      <c r="E224" s="1">
        <v>18.5058951</v>
      </c>
      <c r="F224" s="1">
        <v>73.9066886</v>
      </c>
      <c r="G224" s="1" t="s">
        <v>54</v>
      </c>
      <c r="H224" s="1" t="s">
        <v>55</v>
      </c>
      <c r="J224" s="1" t="s">
        <v>56</v>
      </c>
      <c r="K224" s="1" t="s">
        <v>26</v>
      </c>
      <c r="L224" s="1" t="s">
        <v>27</v>
      </c>
      <c r="N224" s="1" t="s">
        <v>143</v>
      </c>
      <c r="O224" s="1" t="s">
        <v>57</v>
      </c>
      <c r="P224" s="1" t="s">
        <v>569</v>
      </c>
      <c r="Q224" s="1" t="s">
        <v>570</v>
      </c>
      <c r="R224" s="1">
        <v>7.0</v>
      </c>
      <c r="S224" s="1"/>
    </row>
    <row r="225" ht="15.75" customHeight="1">
      <c r="A225" s="1" t="s">
        <v>587</v>
      </c>
      <c r="B225" s="1" t="s">
        <v>588</v>
      </c>
      <c r="C225" s="1" t="s">
        <v>151</v>
      </c>
      <c r="E225" s="1">
        <v>18.5972876</v>
      </c>
      <c r="F225" s="1">
        <v>73.8993425</v>
      </c>
      <c r="G225" s="1" t="s">
        <v>54</v>
      </c>
      <c r="H225" s="1" t="s">
        <v>55</v>
      </c>
      <c r="J225" s="1" t="s">
        <v>118</v>
      </c>
      <c r="K225" s="1" t="s">
        <v>26</v>
      </c>
      <c r="L225" s="1" t="s">
        <v>27</v>
      </c>
      <c r="N225" s="1" t="s">
        <v>143</v>
      </c>
      <c r="O225" s="1" t="s">
        <v>29</v>
      </c>
      <c r="P225" s="1" t="s">
        <v>569</v>
      </c>
      <c r="Q225" s="1" t="s">
        <v>570</v>
      </c>
      <c r="R225" s="1">
        <v>5.0</v>
      </c>
      <c r="S225" s="1"/>
    </row>
    <row r="226" ht="15.75" customHeight="1">
      <c r="A226" s="1" t="s">
        <v>589</v>
      </c>
      <c r="B226" s="1" t="s">
        <v>590</v>
      </c>
      <c r="C226" s="1" t="s">
        <v>151</v>
      </c>
      <c r="E226" s="1">
        <v>18.5986612</v>
      </c>
      <c r="F226" s="1">
        <v>73.7635525</v>
      </c>
      <c r="G226" s="1" t="s">
        <v>54</v>
      </c>
      <c r="H226" s="1" t="s">
        <v>55</v>
      </c>
      <c r="J226" s="1" t="s">
        <v>118</v>
      </c>
      <c r="K226" s="1" t="s">
        <v>26</v>
      </c>
      <c r="L226" s="1" t="s">
        <v>27</v>
      </c>
      <c r="N226" s="1" t="s">
        <v>143</v>
      </c>
      <c r="O226" s="1" t="s">
        <v>29</v>
      </c>
      <c r="P226" s="1" t="s">
        <v>569</v>
      </c>
      <c r="Q226" s="1" t="s">
        <v>570</v>
      </c>
      <c r="R226" s="1">
        <v>9.0</v>
      </c>
      <c r="S226" s="1"/>
    </row>
    <row r="227" ht="15.75" customHeight="1">
      <c r="A227" s="1" t="s">
        <v>591</v>
      </c>
      <c r="B227" s="1" t="s">
        <v>592</v>
      </c>
      <c r="C227" s="1" t="s">
        <v>151</v>
      </c>
      <c r="E227" s="1">
        <v>18.5986612</v>
      </c>
      <c r="F227" s="1">
        <v>73.7635525</v>
      </c>
      <c r="G227" s="1" t="s">
        <v>54</v>
      </c>
      <c r="H227" s="1" t="s">
        <v>55</v>
      </c>
      <c r="J227" s="1" t="s">
        <v>118</v>
      </c>
      <c r="K227" s="1" t="s">
        <v>26</v>
      </c>
      <c r="L227" s="1" t="s">
        <v>27</v>
      </c>
      <c r="N227" s="1" t="s">
        <v>143</v>
      </c>
      <c r="O227" s="1" t="s">
        <v>29</v>
      </c>
      <c r="P227" s="1" t="s">
        <v>569</v>
      </c>
      <c r="Q227" s="1" t="s">
        <v>570</v>
      </c>
      <c r="R227" s="1">
        <v>8.0</v>
      </c>
      <c r="S227" s="1"/>
    </row>
    <row r="228" ht="15.75" customHeight="1">
      <c r="A228" s="1" t="s">
        <v>593</v>
      </c>
      <c r="B228" s="1" t="s">
        <v>594</v>
      </c>
      <c r="C228" s="1" t="s">
        <v>151</v>
      </c>
      <c r="E228" s="1">
        <v>18.498755</v>
      </c>
      <c r="F228" s="1">
        <v>73.821795</v>
      </c>
      <c r="G228" s="1" t="s">
        <v>54</v>
      </c>
      <c r="H228" s="1" t="s">
        <v>55</v>
      </c>
      <c r="J228" s="1" t="s">
        <v>44</v>
      </c>
      <c r="K228" s="1" t="s">
        <v>26</v>
      </c>
      <c r="L228" s="1" t="s">
        <v>27</v>
      </c>
      <c r="N228" s="1" t="s">
        <v>143</v>
      </c>
      <c r="O228" s="1" t="s">
        <v>29</v>
      </c>
      <c r="P228" s="1" t="s">
        <v>569</v>
      </c>
      <c r="Q228" s="1" t="s">
        <v>570</v>
      </c>
      <c r="R228" s="1">
        <v>30.0</v>
      </c>
      <c r="S228" s="1"/>
    </row>
    <row r="229" ht="15.75" customHeight="1">
      <c r="A229" s="1" t="s">
        <v>595</v>
      </c>
      <c r="B229" s="1" t="s">
        <v>596</v>
      </c>
      <c r="C229" s="1" t="s">
        <v>151</v>
      </c>
      <c r="E229" s="1">
        <v>18.6468723</v>
      </c>
      <c r="F229" s="1">
        <v>73.78868159999999</v>
      </c>
      <c r="G229" s="1" t="s">
        <v>54</v>
      </c>
      <c r="H229" s="1" t="s">
        <v>55</v>
      </c>
      <c r="J229" s="1" t="s">
        <v>56</v>
      </c>
      <c r="K229" s="1" t="s">
        <v>26</v>
      </c>
      <c r="L229" s="1" t="s">
        <v>27</v>
      </c>
      <c r="N229" s="1" t="s">
        <v>143</v>
      </c>
      <c r="O229" s="1" t="s">
        <v>57</v>
      </c>
      <c r="P229" s="1" t="s">
        <v>569</v>
      </c>
      <c r="Q229" s="1" t="s">
        <v>570</v>
      </c>
      <c r="R229" s="1">
        <v>6.0</v>
      </c>
      <c r="S229" s="1"/>
    </row>
    <row r="230" ht="15.75" customHeight="1">
      <c r="A230" s="1" t="s">
        <v>597</v>
      </c>
      <c r="B230" s="1" t="s">
        <v>598</v>
      </c>
      <c r="C230" s="1" t="s">
        <v>151</v>
      </c>
      <c r="E230" s="1">
        <v>18.5619955</v>
      </c>
      <c r="F230" s="1">
        <v>73.807225</v>
      </c>
      <c r="G230" s="1" t="s">
        <v>54</v>
      </c>
      <c r="H230" s="1" t="s">
        <v>55</v>
      </c>
      <c r="J230" s="1" t="s">
        <v>44</v>
      </c>
      <c r="K230" s="1" t="s">
        <v>26</v>
      </c>
      <c r="L230" s="1" t="s">
        <v>27</v>
      </c>
      <c r="N230" s="1" t="s">
        <v>143</v>
      </c>
      <c r="O230" s="1" t="s">
        <v>29</v>
      </c>
      <c r="P230" s="1" t="s">
        <v>569</v>
      </c>
      <c r="Q230" s="1" t="s">
        <v>570</v>
      </c>
      <c r="R230" s="1">
        <v>10.0</v>
      </c>
      <c r="S230" s="1"/>
    </row>
    <row r="231" ht="15.75" customHeight="1">
      <c r="A231" s="1" t="s">
        <v>599</v>
      </c>
      <c r="B231" s="1" t="s">
        <v>600</v>
      </c>
      <c r="C231" s="1" t="s">
        <v>151</v>
      </c>
      <c r="E231" s="1">
        <v>18.4851443</v>
      </c>
      <c r="F231" s="1">
        <v>73.8113818</v>
      </c>
      <c r="G231" s="1" t="s">
        <v>54</v>
      </c>
      <c r="H231" s="1" t="s">
        <v>55</v>
      </c>
      <c r="J231" s="1" t="s">
        <v>118</v>
      </c>
      <c r="K231" s="1" t="s">
        <v>26</v>
      </c>
      <c r="L231" s="1" t="s">
        <v>27</v>
      </c>
      <c r="N231" s="1" t="s">
        <v>143</v>
      </c>
      <c r="O231" s="1" t="s">
        <v>29</v>
      </c>
      <c r="P231" s="1" t="s">
        <v>569</v>
      </c>
      <c r="Q231" s="1" t="s">
        <v>570</v>
      </c>
      <c r="R231" s="1">
        <v>13.0</v>
      </c>
      <c r="S231" s="1"/>
    </row>
    <row r="232" ht="15.75" customHeight="1">
      <c r="A232" s="1" t="s">
        <v>601</v>
      </c>
      <c r="B232" s="1" t="s">
        <v>602</v>
      </c>
      <c r="C232" s="1" t="s">
        <v>151</v>
      </c>
      <c r="E232" s="1">
        <v>18.6006935</v>
      </c>
      <c r="F232" s="1">
        <v>73.75666799999999</v>
      </c>
      <c r="G232" s="1" t="s">
        <v>54</v>
      </c>
      <c r="H232" s="1" t="s">
        <v>55</v>
      </c>
      <c r="J232" s="1" t="s">
        <v>118</v>
      </c>
      <c r="K232" s="1" t="s">
        <v>26</v>
      </c>
      <c r="L232" s="1" t="s">
        <v>27</v>
      </c>
      <c r="N232" s="1" t="s">
        <v>143</v>
      </c>
      <c r="O232" s="1" t="s">
        <v>29</v>
      </c>
      <c r="P232" s="1" t="s">
        <v>569</v>
      </c>
      <c r="Q232" s="1" t="s">
        <v>570</v>
      </c>
      <c r="R232" s="1">
        <v>9.0</v>
      </c>
      <c r="S232" s="1"/>
    </row>
    <row r="233" ht="15.75" customHeight="1">
      <c r="A233" s="1" t="s">
        <v>603</v>
      </c>
      <c r="B233" s="1" t="s">
        <v>604</v>
      </c>
      <c r="C233" s="1" t="s">
        <v>151</v>
      </c>
      <c r="E233" s="1">
        <v>18.5947247</v>
      </c>
      <c r="F233" s="1">
        <v>73.7284652</v>
      </c>
      <c r="G233" s="1" t="s">
        <v>54</v>
      </c>
      <c r="H233" s="1" t="s">
        <v>55</v>
      </c>
      <c r="J233" s="1" t="s">
        <v>118</v>
      </c>
      <c r="K233" s="1" t="s">
        <v>26</v>
      </c>
      <c r="L233" s="1" t="s">
        <v>27</v>
      </c>
      <c r="N233" s="1" t="s">
        <v>143</v>
      </c>
      <c r="O233" s="1" t="s">
        <v>29</v>
      </c>
      <c r="P233" s="1" t="s">
        <v>569</v>
      </c>
      <c r="Q233" s="1" t="s">
        <v>570</v>
      </c>
      <c r="R233" s="1">
        <v>10.0</v>
      </c>
      <c r="S233" s="1"/>
    </row>
    <row r="234" ht="15.75" customHeight="1">
      <c r="A234" s="1" t="s">
        <v>605</v>
      </c>
      <c r="B234" s="1" t="s">
        <v>606</v>
      </c>
      <c r="C234" s="1" t="s">
        <v>151</v>
      </c>
      <c r="E234" s="1">
        <v>18.5778375</v>
      </c>
      <c r="F234" s="1">
        <v>73.90789509999999</v>
      </c>
      <c r="G234" s="1" t="s">
        <v>54</v>
      </c>
      <c r="H234" s="1" t="s">
        <v>55</v>
      </c>
      <c r="J234" s="1" t="s">
        <v>221</v>
      </c>
      <c r="K234" s="1" t="s">
        <v>26</v>
      </c>
      <c r="L234" s="1" t="s">
        <v>27</v>
      </c>
      <c r="N234" s="1" t="s">
        <v>143</v>
      </c>
      <c r="O234" s="1" t="s">
        <v>57</v>
      </c>
      <c r="P234" s="1" t="s">
        <v>569</v>
      </c>
      <c r="Q234" s="1" t="s">
        <v>570</v>
      </c>
      <c r="R234" s="1">
        <v>2.0</v>
      </c>
      <c r="S234" s="1"/>
    </row>
    <row r="235" ht="15.75" customHeight="1">
      <c r="A235" s="1" t="s">
        <v>607</v>
      </c>
      <c r="B235" s="1" t="s">
        <v>608</v>
      </c>
      <c r="C235" s="1" t="s">
        <v>151</v>
      </c>
      <c r="E235" s="1">
        <v>18.4754444</v>
      </c>
      <c r="F235" s="1">
        <v>73.9088316</v>
      </c>
      <c r="G235" s="1" t="s">
        <v>54</v>
      </c>
      <c r="H235" s="1" t="s">
        <v>55</v>
      </c>
      <c r="J235" s="1" t="s">
        <v>56</v>
      </c>
      <c r="K235" s="1" t="s">
        <v>26</v>
      </c>
      <c r="L235" s="1" t="s">
        <v>27</v>
      </c>
      <c r="N235" s="1" t="s">
        <v>143</v>
      </c>
      <c r="O235" s="1" t="s">
        <v>57</v>
      </c>
      <c r="P235" s="1" t="s">
        <v>569</v>
      </c>
      <c r="Q235" s="1" t="s">
        <v>570</v>
      </c>
      <c r="R235" s="1">
        <v>9.0</v>
      </c>
      <c r="S235" s="1"/>
    </row>
    <row r="236" ht="15.75" customHeight="1">
      <c r="A236" s="1" t="s">
        <v>609</v>
      </c>
      <c r="B236" s="1" t="s">
        <v>610</v>
      </c>
      <c r="C236" s="1" t="s">
        <v>151</v>
      </c>
      <c r="E236" s="1">
        <v>18.7599485</v>
      </c>
      <c r="F236" s="1">
        <v>73.8593052</v>
      </c>
      <c r="G236" s="1" t="s">
        <v>54</v>
      </c>
      <c r="H236" s="1" t="s">
        <v>55</v>
      </c>
      <c r="J236" s="1" t="s">
        <v>56</v>
      </c>
      <c r="K236" s="1" t="s">
        <v>26</v>
      </c>
      <c r="L236" s="1" t="s">
        <v>27</v>
      </c>
      <c r="N236" s="1" t="s">
        <v>143</v>
      </c>
      <c r="O236" s="1" t="s">
        <v>57</v>
      </c>
      <c r="P236" s="1" t="s">
        <v>569</v>
      </c>
      <c r="Q236" s="1" t="s">
        <v>570</v>
      </c>
      <c r="R236" s="1">
        <v>6.0</v>
      </c>
      <c r="S236" s="1"/>
    </row>
    <row r="237" ht="15.75" customHeight="1">
      <c r="A237" s="1" t="s">
        <v>611</v>
      </c>
      <c r="B237" s="1" t="s">
        <v>612</v>
      </c>
      <c r="C237" s="1" t="s">
        <v>151</v>
      </c>
      <c r="E237" s="1">
        <v>18.6208972</v>
      </c>
      <c r="F237" s="1">
        <v>73.873751</v>
      </c>
      <c r="G237" s="1" t="s">
        <v>54</v>
      </c>
      <c r="H237" s="1" t="s">
        <v>55</v>
      </c>
      <c r="J237" s="1" t="s">
        <v>56</v>
      </c>
      <c r="K237" s="1" t="s">
        <v>26</v>
      </c>
      <c r="L237" s="1" t="s">
        <v>27</v>
      </c>
      <c r="N237" s="1" t="s">
        <v>143</v>
      </c>
      <c r="O237" s="1" t="s">
        <v>57</v>
      </c>
      <c r="P237" s="1" t="s">
        <v>569</v>
      </c>
      <c r="Q237" s="1" t="s">
        <v>570</v>
      </c>
      <c r="R237" s="1">
        <v>2.0</v>
      </c>
      <c r="S237" s="1"/>
    </row>
    <row r="238" ht="15.75" customHeight="1">
      <c r="A238" s="1" t="s">
        <v>613</v>
      </c>
      <c r="B238" s="1" t="s">
        <v>614</v>
      </c>
      <c r="C238" s="1" t="s">
        <v>151</v>
      </c>
      <c r="E238" s="1">
        <v>18.4815557</v>
      </c>
      <c r="F238" s="1">
        <v>73.8257509</v>
      </c>
      <c r="G238" s="1" t="s">
        <v>54</v>
      </c>
      <c r="H238" s="1" t="s">
        <v>55</v>
      </c>
      <c r="J238" s="1" t="s">
        <v>118</v>
      </c>
      <c r="K238" s="1" t="s">
        <v>26</v>
      </c>
      <c r="L238" s="1" t="s">
        <v>27</v>
      </c>
      <c r="N238" s="1" t="s">
        <v>143</v>
      </c>
      <c r="O238" s="1" t="s">
        <v>29</v>
      </c>
      <c r="P238" s="1" t="s">
        <v>569</v>
      </c>
      <c r="Q238" s="1" t="s">
        <v>570</v>
      </c>
      <c r="R238" s="1">
        <v>16.0</v>
      </c>
      <c r="S238" s="1"/>
    </row>
    <row r="239" ht="15.75" customHeight="1">
      <c r="A239" s="1" t="s">
        <v>615</v>
      </c>
      <c r="B239" s="1" t="s">
        <v>616</v>
      </c>
      <c r="C239" s="1" t="s">
        <v>617</v>
      </c>
      <c r="E239" s="1">
        <v>26.8675982</v>
      </c>
      <c r="F239" s="1">
        <v>81.0127782</v>
      </c>
      <c r="G239" s="1" t="s">
        <v>54</v>
      </c>
      <c r="H239" s="1" t="s">
        <v>55</v>
      </c>
      <c r="J239" s="1" t="s">
        <v>44</v>
      </c>
      <c r="K239" s="1" t="s">
        <v>26</v>
      </c>
      <c r="L239" s="1" t="s">
        <v>27</v>
      </c>
      <c r="N239" s="1" t="s">
        <v>28</v>
      </c>
      <c r="O239" s="1" t="s">
        <v>29</v>
      </c>
      <c r="P239" s="1" t="s">
        <v>618</v>
      </c>
      <c r="Q239" s="1" t="s">
        <v>619</v>
      </c>
      <c r="R239" s="1">
        <v>33.0</v>
      </c>
      <c r="S239" s="1"/>
    </row>
    <row r="240" ht="15.75" customHeight="1">
      <c r="A240" s="1" t="s">
        <v>620</v>
      </c>
      <c r="B240" s="1" t="s">
        <v>621</v>
      </c>
      <c r="C240" s="1" t="s">
        <v>617</v>
      </c>
      <c r="E240" s="1">
        <v>26.799338</v>
      </c>
      <c r="F240" s="1">
        <v>80.89752709999999</v>
      </c>
      <c r="G240" s="1" t="s">
        <v>54</v>
      </c>
      <c r="H240" s="1" t="s">
        <v>55</v>
      </c>
      <c r="J240" s="1" t="s">
        <v>44</v>
      </c>
      <c r="K240" s="1" t="s">
        <v>26</v>
      </c>
      <c r="L240" s="1" t="s">
        <v>27</v>
      </c>
      <c r="N240" s="1" t="s">
        <v>28</v>
      </c>
      <c r="O240" s="1" t="s">
        <v>29</v>
      </c>
      <c r="P240" s="1" t="s">
        <v>618</v>
      </c>
      <c r="Q240" s="1" t="s">
        <v>619</v>
      </c>
      <c r="R240" s="1">
        <v>25.0</v>
      </c>
      <c r="S240" s="1"/>
    </row>
    <row r="241" ht="15.75" customHeight="1">
      <c r="A241" s="1" t="s">
        <v>622</v>
      </c>
      <c r="B241" s="1" t="s">
        <v>623</v>
      </c>
      <c r="C241" s="1" t="s">
        <v>617</v>
      </c>
      <c r="E241" s="1">
        <v>26.893095</v>
      </c>
      <c r="F241" s="1">
        <v>80.94373410000001</v>
      </c>
      <c r="G241" s="1" t="s">
        <v>54</v>
      </c>
      <c r="H241" s="1" t="s">
        <v>55</v>
      </c>
      <c r="J241" s="1" t="s">
        <v>44</v>
      </c>
      <c r="K241" s="1" t="s">
        <v>26</v>
      </c>
      <c r="L241" s="1" t="s">
        <v>27</v>
      </c>
      <c r="N241" s="1" t="s">
        <v>28</v>
      </c>
      <c r="O241" s="1" t="s">
        <v>29</v>
      </c>
      <c r="P241" s="1" t="s">
        <v>618</v>
      </c>
      <c r="Q241" s="1" t="s">
        <v>619</v>
      </c>
      <c r="R241" s="1">
        <v>36.0</v>
      </c>
      <c r="S241" s="1"/>
    </row>
    <row r="242" ht="15.75" customHeight="1">
      <c r="A242" s="1" t="s">
        <v>624</v>
      </c>
      <c r="B242" s="1" t="s">
        <v>625</v>
      </c>
      <c r="C242" s="1" t="s">
        <v>617</v>
      </c>
      <c r="E242" s="1">
        <v>26.7811356</v>
      </c>
      <c r="F242" s="1">
        <v>80.92457209999999</v>
      </c>
      <c r="G242" s="1" t="s">
        <v>54</v>
      </c>
      <c r="H242" s="1" t="s">
        <v>55</v>
      </c>
      <c r="J242" s="1" t="s">
        <v>56</v>
      </c>
      <c r="K242" s="1" t="s">
        <v>26</v>
      </c>
      <c r="L242" s="1" t="s">
        <v>27</v>
      </c>
      <c r="N242" s="1" t="s">
        <v>28</v>
      </c>
      <c r="O242" s="1" t="s">
        <v>57</v>
      </c>
      <c r="P242" s="1" t="s">
        <v>618</v>
      </c>
      <c r="Q242" s="1" t="s">
        <v>619</v>
      </c>
      <c r="R242" s="1">
        <v>14.0</v>
      </c>
      <c r="S242" s="1"/>
    </row>
    <row r="243" ht="15.75" customHeight="1">
      <c r="A243" s="1" t="s">
        <v>626</v>
      </c>
      <c r="B243" s="1" t="s">
        <v>627</v>
      </c>
      <c r="C243" s="1" t="s">
        <v>617</v>
      </c>
      <c r="E243" s="1">
        <v>26.8095732</v>
      </c>
      <c r="F243" s="1">
        <v>81.0133908</v>
      </c>
      <c r="G243" s="1" t="s">
        <v>54</v>
      </c>
      <c r="H243" s="1" t="s">
        <v>55</v>
      </c>
      <c r="J243" s="1" t="s">
        <v>56</v>
      </c>
      <c r="K243" s="1" t="s">
        <v>26</v>
      </c>
      <c r="L243" s="1" t="s">
        <v>27</v>
      </c>
      <c r="N243" s="1" t="s">
        <v>28</v>
      </c>
      <c r="O243" s="1" t="s">
        <v>57</v>
      </c>
      <c r="P243" s="1" t="s">
        <v>618</v>
      </c>
      <c r="Q243" s="1" t="s">
        <v>619</v>
      </c>
      <c r="R243" s="1">
        <v>22.0</v>
      </c>
      <c r="S243" s="1"/>
    </row>
    <row r="244" ht="15.75" customHeight="1">
      <c r="A244" s="1" t="s">
        <v>628</v>
      </c>
      <c r="B244" s="1" t="s">
        <v>629</v>
      </c>
      <c r="C244" s="1" t="s">
        <v>630</v>
      </c>
      <c r="E244" s="1">
        <v>26.478972</v>
      </c>
      <c r="F244" s="1">
        <v>80.318111</v>
      </c>
      <c r="G244" s="1" t="s">
        <v>54</v>
      </c>
      <c r="H244" s="1" t="s">
        <v>55</v>
      </c>
      <c r="J244" s="1" t="s">
        <v>56</v>
      </c>
      <c r="K244" s="1" t="s">
        <v>26</v>
      </c>
      <c r="L244" s="1" t="s">
        <v>27</v>
      </c>
      <c r="N244" s="1" t="s">
        <v>28</v>
      </c>
      <c r="O244" s="1" t="s">
        <v>57</v>
      </c>
      <c r="P244" s="1" t="s">
        <v>618</v>
      </c>
      <c r="Q244" s="1" t="s">
        <v>619</v>
      </c>
      <c r="R244" s="1">
        <v>7.0</v>
      </c>
      <c r="S244" s="1"/>
    </row>
    <row r="245" ht="15.75" customHeight="1">
      <c r="A245" s="1" t="s">
        <v>631</v>
      </c>
      <c r="B245" s="1" t="s">
        <v>632</v>
      </c>
      <c r="C245" s="1" t="s">
        <v>617</v>
      </c>
      <c r="E245" s="1">
        <v>26.7503624</v>
      </c>
      <c r="F245" s="1">
        <v>80.95434910000002</v>
      </c>
      <c r="G245" s="1" t="s">
        <v>54</v>
      </c>
      <c r="H245" s="1" t="s">
        <v>55</v>
      </c>
      <c r="J245" s="1" t="s">
        <v>56</v>
      </c>
      <c r="K245" s="1" t="s">
        <v>26</v>
      </c>
      <c r="L245" s="1" t="s">
        <v>27</v>
      </c>
      <c r="N245" s="1" t="s">
        <v>28</v>
      </c>
      <c r="O245" s="1" t="s">
        <v>57</v>
      </c>
      <c r="P245" s="1" t="s">
        <v>618</v>
      </c>
      <c r="Q245" s="1" t="s">
        <v>619</v>
      </c>
      <c r="R245" s="1">
        <v>18.0</v>
      </c>
      <c r="S245" s="1"/>
    </row>
    <row r="246" ht="15.75" customHeight="1">
      <c r="A246" s="1" t="s">
        <v>633</v>
      </c>
      <c r="B246" s="1" t="s">
        <v>634</v>
      </c>
      <c r="C246" s="1" t="s">
        <v>617</v>
      </c>
      <c r="E246" s="1">
        <v>26.8870857</v>
      </c>
      <c r="F246" s="1">
        <v>81.0539027</v>
      </c>
      <c r="G246" s="1" t="s">
        <v>54</v>
      </c>
      <c r="H246" s="1" t="s">
        <v>55</v>
      </c>
      <c r="J246" s="1" t="s">
        <v>56</v>
      </c>
      <c r="K246" s="1" t="s">
        <v>26</v>
      </c>
      <c r="L246" s="1" t="s">
        <v>27</v>
      </c>
      <c r="N246" s="1" t="s">
        <v>28</v>
      </c>
      <c r="O246" s="1" t="s">
        <v>57</v>
      </c>
      <c r="P246" s="1" t="s">
        <v>618</v>
      </c>
      <c r="Q246" s="1" t="s">
        <v>619</v>
      </c>
      <c r="R246" s="1">
        <v>28.0</v>
      </c>
      <c r="S246" s="1"/>
    </row>
    <row r="247" ht="15.75" customHeight="1">
      <c r="A247" s="1" t="s">
        <v>635</v>
      </c>
      <c r="B247" s="1" t="s">
        <v>636</v>
      </c>
      <c r="C247" s="1" t="s">
        <v>617</v>
      </c>
      <c r="E247" s="1">
        <v>26.8724034</v>
      </c>
      <c r="F247" s="1">
        <v>80.97750880000001</v>
      </c>
      <c r="G247" s="1" t="s">
        <v>54</v>
      </c>
      <c r="H247" s="1" t="s">
        <v>55</v>
      </c>
      <c r="J247" s="1" t="s">
        <v>56</v>
      </c>
      <c r="K247" s="1" t="s">
        <v>26</v>
      </c>
      <c r="L247" s="1" t="s">
        <v>27</v>
      </c>
      <c r="N247" s="1" t="s">
        <v>28</v>
      </c>
      <c r="O247" s="1" t="s">
        <v>57</v>
      </c>
      <c r="P247" s="1" t="s">
        <v>618</v>
      </c>
      <c r="Q247" s="1" t="s">
        <v>619</v>
      </c>
      <c r="R247" s="1">
        <v>28.0</v>
      </c>
      <c r="S247" s="1"/>
    </row>
    <row r="248" ht="15.75" customHeight="1">
      <c r="A248" s="1" t="s">
        <v>637</v>
      </c>
      <c r="B248" s="1" t="s">
        <v>638</v>
      </c>
      <c r="C248" s="1" t="s">
        <v>630</v>
      </c>
      <c r="E248" s="1">
        <v>26.4893308</v>
      </c>
      <c r="F248" s="1">
        <v>80.2541395</v>
      </c>
      <c r="G248" s="1" t="s">
        <v>54</v>
      </c>
      <c r="H248" s="1" t="s">
        <v>55</v>
      </c>
      <c r="J248" s="1" t="s">
        <v>118</v>
      </c>
      <c r="K248" s="1" t="s">
        <v>26</v>
      </c>
      <c r="L248" s="1" t="s">
        <v>27</v>
      </c>
      <c r="N248" s="1" t="s">
        <v>28</v>
      </c>
      <c r="O248" s="1" t="s">
        <v>57</v>
      </c>
      <c r="P248" s="1" t="s">
        <v>618</v>
      </c>
      <c r="Q248" s="1" t="s">
        <v>619</v>
      </c>
      <c r="R248" s="1">
        <v>7.0</v>
      </c>
      <c r="S248" s="1"/>
    </row>
    <row r="249" ht="15.75" customHeight="1">
      <c r="A249" s="1" t="s">
        <v>639</v>
      </c>
      <c r="B249" s="1" t="s">
        <v>640</v>
      </c>
      <c r="C249" s="1" t="s">
        <v>630</v>
      </c>
      <c r="E249" s="1">
        <v>26.4753008</v>
      </c>
      <c r="F249" s="1">
        <v>80.3425477</v>
      </c>
      <c r="G249" s="1" t="s">
        <v>54</v>
      </c>
      <c r="H249" s="1" t="s">
        <v>55</v>
      </c>
      <c r="J249" s="1" t="s">
        <v>56</v>
      </c>
      <c r="K249" s="1" t="s">
        <v>26</v>
      </c>
      <c r="L249" s="1" t="s">
        <v>27</v>
      </c>
      <c r="N249" s="1" t="s">
        <v>28</v>
      </c>
      <c r="O249" s="1" t="s">
        <v>57</v>
      </c>
      <c r="P249" s="1" t="s">
        <v>618</v>
      </c>
      <c r="Q249" s="1" t="s">
        <v>619</v>
      </c>
      <c r="R249" s="1">
        <v>7.0</v>
      </c>
      <c r="S249" s="1"/>
    </row>
    <row r="250" ht="15.75" customHeight="1">
      <c r="A250" s="1" t="s">
        <v>641</v>
      </c>
      <c r="B250" s="1" t="s">
        <v>642</v>
      </c>
      <c r="C250" s="1" t="s">
        <v>617</v>
      </c>
      <c r="E250" s="1">
        <v>26.893095</v>
      </c>
      <c r="F250" s="1">
        <v>80.94373410000001</v>
      </c>
      <c r="G250" s="1" t="s">
        <v>54</v>
      </c>
      <c r="H250" s="1" t="s">
        <v>55</v>
      </c>
      <c r="J250" s="1" t="s">
        <v>56</v>
      </c>
      <c r="K250" s="1" t="s">
        <v>26</v>
      </c>
      <c r="L250" s="1" t="s">
        <v>27</v>
      </c>
      <c r="N250" s="1" t="s">
        <v>28</v>
      </c>
      <c r="O250" s="1" t="s">
        <v>57</v>
      </c>
      <c r="P250" s="1" t="s">
        <v>618</v>
      </c>
      <c r="Q250" s="1" t="s">
        <v>619</v>
      </c>
      <c r="R250" s="1">
        <v>31.0</v>
      </c>
      <c r="S250" s="1"/>
    </row>
    <row r="251" ht="15.75" customHeight="1">
      <c r="A251" s="1" t="s">
        <v>643</v>
      </c>
      <c r="B251" s="1" t="s">
        <v>644</v>
      </c>
      <c r="C251" s="1" t="s">
        <v>531</v>
      </c>
      <c r="E251" s="1">
        <v>22.5149601</v>
      </c>
      <c r="F251" s="1">
        <v>88.3930985</v>
      </c>
      <c r="G251" s="1" t="s">
        <v>54</v>
      </c>
      <c r="H251" s="1" t="s">
        <v>55</v>
      </c>
      <c r="J251" s="1" t="s">
        <v>118</v>
      </c>
      <c r="K251" s="1" t="s">
        <v>26</v>
      </c>
      <c r="L251" s="1" t="s">
        <v>27</v>
      </c>
      <c r="N251" s="1" t="s">
        <v>532</v>
      </c>
      <c r="O251" s="1" t="s">
        <v>29</v>
      </c>
      <c r="P251" s="1" t="s">
        <v>533</v>
      </c>
      <c r="Q251" s="1" t="s">
        <v>534</v>
      </c>
      <c r="R251" s="1">
        <v>31.0</v>
      </c>
      <c r="S251" s="1"/>
    </row>
    <row r="252" ht="15.75" customHeight="1">
      <c r="A252" s="1" t="s">
        <v>645</v>
      </c>
      <c r="B252" s="1" t="s">
        <v>646</v>
      </c>
      <c r="C252" s="1" t="s">
        <v>531</v>
      </c>
      <c r="E252" s="1">
        <v>22.4777045</v>
      </c>
      <c r="F252" s="1">
        <v>88.3564239</v>
      </c>
      <c r="G252" s="1" t="s">
        <v>54</v>
      </c>
      <c r="H252" s="1" t="s">
        <v>55</v>
      </c>
      <c r="J252" s="1" t="s">
        <v>56</v>
      </c>
      <c r="K252" s="1" t="s">
        <v>26</v>
      </c>
      <c r="L252" s="1" t="s">
        <v>27</v>
      </c>
      <c r="N252" s="1" t="s">
        <v>532</v>
      </c>
      <c r="O252" s="1" t="s">
        <v>29</v>
      </c>
      <c r="P252" s="1" t="s">
        <v>533</v>
      </c>
      <c r="Q252" s="1" t="s">
        <v>534</v>
      </c>
      <c r="R252" s="1">
        <v>18.0</v>
      </c>
      <c r="S252" s="1"/>
    </row>
    <row r="253" ht="15.75" customHeight="1">
      <c r="A253" s="1" t="s">
        <v>647</v>
      </c>
      <c r="B253" s="1" t="s">
        <v>648</v>
      </c>
      <c r="C253" s="1" t="s">
        <v>531</v>
      </c>
      <c r="E253" s="1">
        <v>22.5204425</v>
      </c>
      <c r="F253" s="1">
        <v>88.3983592</v>
      </c>
      <c r="G253" s="1" t="s">
        <v>54</v>
      </c>
      <c r="H253" s="1" t="s">
        <v>55</v>
      </c>
      <c r="J253" s="1" t="s">
        <v>56</v>
      </c>
      <c r="K253" s="1" t="s">
        <v>26</v>
      </c>
      <c r="L253" s="1" t="s">
        <v>27</v>
      </c>
      <c r="N253" s="1" t="s">
        <v>532</v>
      </c>
      <c r="O253" s="1" t="s">
        <v>57</v>
      </c>
      <c r="P253" s="1" t="s">
        <v>533</v>
      </c>
      <c r="Q253" s="1" t="s">
        <v>534</v>
      </c>
      <c r="R253" s="1">
        <v>16.0</v>
      </c>
      <c r="S253" s="1"/>
    </row>
    <row r="254" ht="15.75" customHeight="1">
      <c r="A254" s="1" t="s">
        <v>649</v>
      </c>
      <c r="B254" s="1" t="s">
        <v>650</v>
      </c>
      <c r="C254" s="1" t="s">
        <v>531</v>
      </c>
      <c r="E254" s="1">
        <v>22.502844</v>
      </c>
      <c r="F254" s="1">
        <v>88.39504760000001</v>
      </c>
      <c r="G254" s="1" t="s">
        <v>54</v>
      </c>
      <c r="H254" s="1" t="s">
        <v>55</v>
      </c>
      <c r="J254" s="1" t="s">
        <v>44</v>
      </c>
      <c r="K254" s="1" t="s">
        <v>26</v>
      </c>
      <c r="L254" s="1" t="s">
        <v>27</v>
      </c>
      <c r="N254" s="1" t="s">
        <v>532</v>
      </c>
      <c r="O254" s="1" t="s">
        <v>29</v>
      </c>
      <c r="P254" s="1" t="s">
        <v>533</v>
      </c>
      <c r="Q254" s="1" t="s">
        <v>534</v>
      </c>
      <c r="R254" s="1">
        <v>20.0</v>
      </c>
      <c r="S254" s="1"/>
    </row>
    <row r="255" ht="15.75" customHeight="1">
      <c r="A255" s="1" t="s">
        <v>651</v>
      </c>
      <c r="B255" s="1" t="s">
        <v>652</v>
      </c>
      <c r="C255" s="1" t="s">
        <v>531</v>
      </c>
      <c r="E255" s="1">
        <v>22.5299519</v>
      </c>
      <c r="F255" s="1">
        <v>88.352734</v>
      </c>
      <c r="G255" s="1" t="s">
        <v>54</v>
      </c>
      <c r="H255" s="1" t="s">
        <v>55</v>
      </c>
      <c r="J255" s="1" t="s">
        <v>56</v>
      </c>
      <c r="K255" s="1" t="s">
        <v>26</v>
      </c>
      <c r="L255" s="1" t="s">
        <v>27</v>
      </c>
      <c r="N255" s="1" t="s">
        <v>532</v>
      </c>
      <c r="O255" s="1" t="s">
        <v>29</v>
      </c>
      <c r="P255" s="1" t="s">
        <v>533</v>
      </c>
      <c r="Q255" s="1" t="s">
        <v>534</v>
      </c>
      <c r="R255" s="1">
        <v>16.0</v>
      </c>
      <c r="S255" s="1"/>
    </row>
    <row r="256" ht="15.75" customHeight="1">
      <c r="A256" s="1" t="s">
        <v>653</v>
      </c>
      <c r="B256" s="1" t="s">
        <v>654</v>
      </c>
      <c r="C256" s="1" t="s">
        <v>531</v>
      </c>
      <c r="E256" s="1">
        <v>22.4369944</v>
      </c>
      <c r="F256" s="1">
        <v>88.3938843</v>
      </c>
      <c r="G256" s="1" t="s">
        <v>54</v>
      </c>
      <c r="H256" s="1" t="s">
        <v>55</v>
      </c>
      <c r="J256" s="1" t="s">
        <v>56</v>
      </c>
      <c r="K256" s="1" t="s">
        <v>26</v>
      </c>
      <c r="L256" s="1" t="s">
        <v>27</v>
      </c>
      <c r="N256" s="1" t="s">
        <v>532</v>
      </c>
      <c r="O256" s="1" t="s">
        <v>57</v>
      </c>
      <c r="P256" s="1" t="s">
        <v>533</v>
      </c>
      <c r="Q256" s="1" t="s">
        <v>534</v>
      </c>
      <c r="R256" s="1">
        <v>11.0</v>
      </c>
      <c r="S256" s="1"/>
    </row>
    <row r="257" ht="15.75" customHeight="1">
      <c r="A257" s="1" t="s">
        <v>655</v>
      </c>
      <c r="B257" s="1" t="s">
        <v>656</v>
      </c>
      <c r="C257" s="1" t="s">
        <v>215</v>
      </c>
      <c r="E257" s="1">
        <v>23.0327006</v>
      </c>
      <c r="F257" s="1">
        <v>72.6683927</v>
      </c>
      <c r="G257" s="1" t="s">
        <v>54</v>
      </c>
      <c r="H257" s="1" t="s">
        <v>55</v>
      </c>
      <c r="J257" s="1" t="s">
        <v>118</v>
      </c>
      <c r="K257" s="1" t="s">
        <v>26</v>
      </c>
      <c r="L257" s="1" t="s">
        <v>27</v>
      </c>
      <c r="N257" s="1" t="s">
        <v>216</v>
      </c>
      <c r="O257" s="1" t="s">
        <v>57</v>
      </c>
      <c r="P257" s="1" t="s">
        <v>217</v>
      </c>
      <c r="Q257" s="1" t="s">
        <v>218</v>
      </c>
      <c r="R257" s="1">
        <v>9.0</v>
      </c>
      <c r="S257" s="1"/>
    </row>
    <row r="258" ht="15.75" customHeight="1">
      <c r="A258" s="1" t="s">
        <v>657</v>
      </c>
      <c r="B258" s="1" t="s">
        <v>658</v>
      </c>
      <c r="C258" s="1" t="s">
        <v>215</v>
      </c>
      <c r="E258" s="1">
        <v>23.0270487</v>
      </c>
      <c r="F258" s="1">
        <v>72.50819849999999</v>
      </c>
      <c r="G258" s="1" t="s">
        <v>54</v>
      </c>
      <c r="H258" s="1" t="s">
        <v>55</v>
      </c>
      <c r="J258" s="1" t="s">
        <v>25</v>
      </c>
      <c r="K258" s="1" t="s">
        <v>26</v>
      </c>
      <c r="L258" s="1" t="s">
        <v>27</v>
      </c>
      <c r="N258" s="1" t="s">
        <v>216</v>
      </c>
      <c r="O258" s="1" t="s">
        <v>29</v>
      </c>
      <c r="P258" s="1" t="s">
        <v>217</v>
      </c>
      <c r="Q258" s="1" t="s">
        <v>218</v>
      </c>
      <c r="R258" s="1">
        <v>12.0</v>
      </c>
      <c r="S258" s="1"/>
    </row>
    <row r="259" ht="15.75" customHeight="1">
      <c r="A259" s="1" t="s">
        <v>659</v>
      </c>
      <c r="B259" s="1" t="s">
        <v>660</v>
      </c>
      <c r="C259" s="1" t="s">
        <v>242</v>
      </c>
      <c r="E259" s="1">
        <v>21.1870449</v>
      </c>
      <c r="F259" s="1">
        <v>72.7902478</v>
      </c>
      <c r="G259" s="1" t="s">
        <v>54</v>
      </c>
      <c r="H259" s="1" t="s">
        <v>55</v>
      </c>
      <c r="J259" s="1" t="s">
        <v>44</v>
      </c>
      <c r="K259" s="1" t="s">
        <v>26</v>
      </c>
      <c r="L259" s="1" t="s">
        <v>27</v>
      </c>
      <c r="N259" s="1" t="s">
        <v>216</v>
      </c>
      <c r="O259" s="1" t="s">
        <v>29</v>
      </c>
      <c r="P259" s="1" t="s">
        <v>661</v>
      </c>
      <c r="Q259" s="1" t="s">
        <v>662</v>
      </c>
      <c r="R259" s="1">
        <v>43.0</v>
      </c>
      <c r="S259" s="1"/>
    </row>
    <row r="260" ht="15.75" customHeight="1">
      <c r="A260" s="1" t="s">
        <v>663</v>
      </c>
      <c r="B260" s="1" t="s">
        <v>664</v>
      </c>
      <c r="C260" s="1" t="s">
        <v>242</v>
      </c>
      <c r="E260" s="1">
        <v>21.1751697</v>
      </c>
      <c r="F260" s="1">
        <v>72.8112713</v>
      </c>
      <c r="G260" s="1" t="s">
        <v>54</v>
      </c>
      <c r="H260" s="1" t="s">
        <v>55</v>
      </c>
      <c r="J260" s="1" t="s">
        <v>118</v>
      </c>
      <c r="K260" s="1" t="s">
        <v>26</v>
      </c>
      <c r="L260" s="1" t="s">
        <v>27</v>
      </c>
      <c r="N260" s="1" t="s">
        <v>216</v>
      </c>
      <c r="O260" s="1" t="s">
        <v>57</v>
      </c>
      <c r="P260" s="1" t="s">
        <v>661</v>
      </c>
      <c r="Q260" s="1" t="s">
        <v>662</v>
      </c>
      <c r="R260" s="1">
        <v>32.0</v>
      </c>
      <c r="S260" s="1"/>
    </row>
    <row r="261" ht="15.75" customHeight="1">
      <c r="A261" s="1" t="s">
        <v>665</v>
      </c>
      <c r="B261" s="1" t="s">
        <v>666</v>
      </c>
      <c r="C261" s="1" t="s">
        <v>242</v>
      </c>
      <c r="E261" s="1">
        <v>21.1430502</v>
      </c>
      <c r="F261" s="1">
        <v>72.79076049999999</v>
      </c>
      <c r="G261" s="1" t="s">
        <v>54</v>
      </c>
      <c r="H261" s="1" t="s">
        <v>55</v>
      </c>
      <c r="J261" s="1" t="s">
        <v>118</v>
      </c>
      <c r="K261" s="1" t="s">
        <v>26</v>
      </c>
      <c r="L261" s="1" t="s">
        <v>27</v>
      </c>
      <c r="N261" s="1" t="s">
        <v>216</v>
      </c>
      <c r="O261" s="1" t="s">
        <v>57</v>
      </c>
      <c r="P261" s="1" t="s">
        <v>661</v>
      </c>
      <c r="Q261" s="1" t="s">
        <v>662</v>
      </c>
      <c r="R261" s="1">
        <v>35.0</v>
      </c>
      <c r="S261" s="1"/>
    </row>
    <row r="262" ht="15.75" customHeight="1">
      <c r="A262" s="1" t="s">
        <v>667</v>
      </c>
      <c r="B262" s="1" t="s">
        <v>668</v>
      </c>
      <c r="C262" s="1" t="s">
        <v>242</v>
      </c>
      <c r="E262" s="1">
        <v>21.1601859</v>
      </c>
      <c r="F262" s="1">
        <v>72.7729018</v>
      </c>
      <c r="G262" s="1" t="s">
        <v>54</v>
      </c>
      <c r="H262" s="1" t="s">
        <v>55</v>
      </c>
      <c r="J262" s="1" t="s">
        <v>56</v>
      </c>
      <c r="K262" s="1" t="s">
        <v>26</v>
      </c>
      <c r="L262" s="1" t="s">
        <v>27</v>
      </c>
      <c r="N262" s="1" t="s">
        <v>216</v>
      </c>
      <c r="O262" s="1" t="s">
        <v>57</v>
      </c>
      <c r="P262" s="1" t="s">
        <v>661</v>
      </c>
      <c r="Q262" s="1" t="s">
        <v>662</v>
      </c>
      <c r="R262" s="1">
        <v>34.0</v>
      </c>
      <c r="S262" s="1"/>
    </row>
    <row r="263" ht="15.75" customHeight="1">
      <c r="A263" s="1" t="s">
        <v>669</v>
      </c>
      <c r="B263" s="1" t="s">
        <v>670</v>
      </c>
      <c r="C263" s="1" t="s">
        <v>215</v>
      </c>
      <c r="E263" s="1">
        <v>23.0790831</v>
      </c>
      <c r="F263" s="1">
        <v>72.52686200000001</v>
      </c>
      <c r="G263" s="1" t="s">
        <v>54</v>
      </c>
      <c r="H263" s="1" t="s">
        <v>55</v>
      </c>
      <c r="J263" s="1" t="s">
        <v>56</v>
      </c>
      <c r="K263" s="1" t="s">
        <v>26</v>
      </c>
      <c r="L263" s="1" t="s">
        <v>27</v>
      </c>
      <c r="N263" s="1" t="s">
        <v>216</v>
      </c>
      <c r="O263" s="1" t="s">
        <v>57</v>
      </c>
      <c r="P263" s="1" t="s">
        <v>217</v>
      </c>
      <c r="Q263" s="1" t="s">
        <v>218</v>
      </c>
      <c r="R263" s="1">
        <v>9.0</v>
      </c>
      <c r="S263" s="1"/>
    </row>
    <row r="264" ht="15.75" customHeight="1">
      <c r="A264" s="1" t="s">
        <v>671</v>
      </c>
      <c r="B264" s="1" t="s">
        <v>672</v>
      </c>
      <c r="C264" s="1" t="s">
        <v>215</v>
      </c>
      <c r="E264" s="1">
        <v>23.0100398</v>
      </c>
      <c r="F264" s="1">
        <v>72.5997209</v>
      </c>
      <c r="G264" s="1" t="s">
        <v>54</v>
      </c>
      <c r="H264" s="1" t="s">
        <v>55</v>
      </c>
      <c r="J264" s="1" t="s">
        <v>118</v>
      </c>
      <c r="K264" s="1" t="s">
        <v>26</v>
      </c>
      <c r="L264" s="1" t="s">
        <v>27</v>
      </c>
      <c r="N264" s="1" t="s">
        <v>216</v>
      </c>
      <c r="O264" s="1" t="s">
        <v>57</v>
      </c>
      <c r="P264" s="1" t="s">
        <v>217</v>
      </c>
      <c r="Q264" s="1" t="s">
        <v>218</v>
      </c>
      <c r="R264" s="1">
        <v>8.0</v>
      </c>
      <c r="S264" s="1"/>
    </row>
    <row r="265" ht="15.75" customHeight="1">
      <c r="A265" s="1" t="s">
        <v>673</v>
      </c>
      <c r="B265" s="1" t="s">
        <v>674</v>
      </c>
      <c r="C265" s="1" t="s">
        <v>215</v>
      </c>
      <c r="E265" s="1">
        <v>23.0150747</v>
      </c>
      <c r="F265" s="1">
        <v>72.5316729</v>
      </c>
      <c r="G265" s="1" t="s">
        <v>54</v>
      </c>
      <c r="H265" s="1" t="s">
        <v>55</v>
      </c>
      <c r="J265" s="1" t="s">
        <v>56</v>
      </c>
      <c r="K265" s="1" t="s">
        <v>26</v>
      </c>
      <c r="L265" s="1" t="s">
        <v>27</v>
      </c>
      <c r="N265" s="1" t="s">
        <v>216</v>
      </c>
      <c r="O265" s="1" t="s">
        <v>57</v>
      </c>
      <c r="P265" s="1" t="s">
        <v>217</v>
      </c>
      <c r="Q265" s="1" t="s">
        <v>218</v>
      </c>
      <c r="R265" s="1">
        <v>8.0</v>
      </c>
      <c r="S265" s="1"/>
    </row>
    <row r="266" ht="15.75" customHeight="1">
      <c r="A266" s="1" t="s">
        <v>675</v>
      </c>
      <c r="B266" s="1" t="s">
        <v>676</v>
      </c>
      <c r="C266" s="1" t="s">
        <v>242</v>
      </c>
      <c r="E266" s="1">
        <v>21.2291403</v>
      </c>
      <c r="F266" s="1">
        <v>72.8966718</v>
      </c>
      <c r="G266" s="1" t="s">
        <v>54</v>
      </c>
      <c r="H266" s="1" t="s">
        <v>55</v>
      </c>
      <c r="J266" s="1" t="s">
        <v>118</v>
      </c>
      <c r="K266" s="1" t="s">
        <v>26</v>
      </c>
      <c r="L266" s="1" t="s">
        <v>27</v>
      </c>
      <c r="N266" s="1" t="s">
        <v>216</v>
      </c>
      <c r="O266" s="1" t="s">
        <v>57</v>
      </c>
      <c r="P266" s="1" t="s">
        <v>661</v>
      </c>
      <c r="Q266" s="1" t="s">
        <v>662</v>
      </c>
      <c r="R266" s="1">
        <v>28.0</v>
      </c>
      <c r="S266" s="1"/>
    </row>
    <row r="267" ht="15.75" customHeight="1">
      <c r="A267" s="1" t="s">
        <v>677</v>
      </c>
      <c r="B267" s="1" t="s">
        <v>678</v>
      </c>
      <c r="C267" s="1" t="s">
        <v>215</v>
      </c>
      <c r="E267" s="1">
        <v>22.9977294</v>
      </c>
      <c r="F267" s="1">
        <v>72.66551419999999</v>
      </c>
      <c r="G267" s="1" t="s">
        <v>54</v>
      </c>
      <c r="H267" s="1" t="s">
        <v>55</v>
      </c>
      <c r="J267" s="1" t="s">
        <v>118</v>
      </c>
      <c r="K267" s="1" t="s">
        <v>26</v>
      </c>
      <c r="L267" s="1" t="s">
        <v>27</v>
      </c>
      <c r="N267" s="1" t="s">
        <v>216</v>
      </c>
      <c r="O267" s="1" t="s">
        <v>57</v>
      </c>
      <c r="P267" s="1" t="s">
        <v>217</v>
      </c>
      <c r="Q267" s="1" t="s">
        <v>218</v>
      </c>
      <c r="R267" s="1">
        <v>10.0</v>
      </c>
      <c r="S267" s="1"/>
    </row>
    <row r="268" ht="15.75" customHeight="1">
      <c r="A268" s="1" t="s">
        <v>679</v>
      </c>
      <c r="B268" s="1" t="s">
        <v>680</v>
      </c>
      <c r="C268" s="1" t="s">
        <v>215</v>
      </c>
      <c r="E268" s="1">
        <v>23.0298842</v>
      </c>
      <c r="F268" s="1">
        <v>72.5701857</v>
      </c>
      <c r="G268" s="1" t="s">
        <v>54</v>
      </c>
      <c r="H268" s="1" t="s">
        <v>55</v>
      </c>
      <c r="J268" s="1" t="s">
        <v>44</v>
      </c>
      <c r="K268" s="1" t="s">
        <v>26</v>
      </c>
      <c r="L268" s="1" t="s">
        <v>27</v>
      </c>
      <c r="N268" s="1" t="s">
        <v>216</v>
      </c>
      <c r="O268" s="1" t="s">
        <v>29</v>
      </c>
      <c r="P268" s="1" t="s">
        <v>217</v>
      </c>
      <c r="Q268" s="1" t="s">
        <v>218</v>
      </c>
      <c r="R268" s="1">
        <v>5.0</v>
      </c>
      <c r="S268" s="1"/>
    </row>
    <row r="269" ht="15.75" customHeight="1">
      <c r="A269" s="1" t="s">
        <v>681</v>
      </c>
      <c r="B269" s="1" t="s">
        <v>682</v>
      </c>
      <c r="C269" s="1" t="s">
        <v>215</v>
      </c>
      <c r="E269" s="1">
        <v>22.9575</v>
      </c>
      <c r="F269" s="1">
        <v>72.655469</v>
      </c>
      <c r="G269" s="1" t="s">
        <v>54</v>
      </c>
      <c r="H269" s="1" t="s">
        <v>55</v>
      </c>
      <c r="J269" s="1" t="s">
        <v>56</v>
      </c>
      <c r="K269" s="1" t="s">
        <v>26</v>
      </c>
      <c r="L269" s="1" t="s">
        <v>27</v>
      </c>
      <c r="N269" s="1" t="s">
        <v>216</v>
      </c>
      <c r="O269" s="1" t="s">
        <v>57</v>
      </c>
      <c r="P269" s="1" t="s">
        <v>217</v>
      </c>
      <c r="Q269" s="1" t="s">
        <v>218</v>
      </c>
      <c r="R269" s="1">
        <v>7.0</v>
      </c>
      <c r="S269" s="1"/>
    </row>
    <row r="270" ht="15.75" customHeight="1">
      <c r="A270" s="1" t="s">
        <v>683</v>
      </c>
      <c r="B270" s="1" t="s">
        <v>684</v>
      </c>
      <c r="C270" s="1" t="s">
        <v>242</v>
      </c>
      <c r="E270" s="1">
        <v>21.2291403</v>
      </c>
      <c r="F270" s="1">
        <v>72.8966718</v>
      </c>
      <c r="G270" s="1" t="s">
        <v>54</v>
      </c>
      <c r="H270" s="1" t="s">
        <v>55</v>
      </c>
      <c r="J270" s="1" t="s">
        <v>56</v>
      </c>
      <c r="K270" s="1" t="s">
        <v>26</v>
      </c>
      <c r="L270" s="1" t="s">
        <v>27</v>
      </c>
      <c r="N270" s="1" t="s">
        <v>216</v>
      </c>
      <c r="O270" s="1" t="s">
        <v>57</v>
      </c>
      <c r="P270" s="1" t="s">
        <v>661</v>
      </c>
      <c r="Q270" s="1" t="s">
        <v>662</v>
      </c>
      <c r="R270" s="1">
        <v>18.0</v>
      </c>
      <c r="S270" s="1"/>
    </row>
    <row r="271" ht="15.75" customHeight="1">
      <c r="A271" s="1" t="s">
        <v>685</v>
      </c>
      <c r="B271" s="1" t="s">
        <v>686</v>
      </c>
      <c r="C271" s="1" t="s">
        <v>242</v>
      </c>
      <c r="E271" s="1">
        <v>21.2342409</v>
      </c>
      <c r="F271" s="1">
        <v>72.87121770000002</v>
      </c>
      <c r="G271" s="1" t="s">
        <v>54</v>
      </c>
      <c r="H271" s="1" t="s">
        <v>55</v>
      </c>
      <c r="J271" s="1" t="s">
        <v>56</v>
      </c>
      <c r="K271" s="1" t="s">
        <v>26</v>
      </c>
      <c r="L271" s="1" t="s">
        <v>27</v>
      </c>
      <c r="N271" s="1" t="s">
        <v>216</v>
      </c>
      <c r="O271" s="1" t="s">
        <v>57</v>
      </c>
      <c r="P271" s="1" t="s">
        <v>661</v>
      </c>
      <c r="Q271" s="1" t="s">
        <v>662</v>
      </c>
      <c r="R271" s="1">
        <v>17.0</v>
      </c>
      <c r="S271" s="1"/>
    </row>
    <row r="272" ht="15.75" customHeight="1">
      <c r="A272" s="1" t="s">
        <v>687</v>
      </c>
      <c r="B272" s="1" t="s">
        <v>688</v>
      </c>
      <c r="C272" s="1" t="s">
        <v>215</v>
      </c>
      <c r="E272" s="1">
        <v>23.0864319</v>
      </c>
      <c r="F272" s="1">
        <v>72.493006</v>
      </c>
      <c r="G272" s="1" t="s">
        <v>54</v>
      </c>
      <c r="H272" s="1" t="s">
        <v>55</v>
      </c>
      <c r="J272" s="1" t="s">
        <v>56</v>
      </c>
      <c r="K272" s="1" t="s">
        <v>26</v>
      </c>
      <c r="L272" s="1" t="s">
        <v>27</v>
      </c>
      <c r="N272" s="1" t="s">
        <v>216</v>
      </c>
      <c r="O272" s="1" t="s">
        <v>57</v>
      </c>
      <c r="P272" s="1" t="s">
        <v>217</v>
      </c>
      <c r="Q272" s="1" t="s">
        <v>218</v>
      </c>
      <c r="R272" s="1">
        <v>6.0</v>
      </c>
      <c r="S272" s="1"/>
    </row>
    <row r="273" ht="15.75" customHeight="1">
      <c r="A273" s="1" t="s">
        <v>689</v>
      </c>
      <c r="B273" s="1" t="s">
        <v>690</v>
      </c>
      <c r="C273" s="1" t="s">
        <v>242</v>
      </c>
      <c r="E273" s="1">
        <v>21.1913823</v>
      </c>
      <c r="F273" s="1">
        <v>72.86484519999999</v>
      </c>
      <c r="G273" s="1" t="s">
        <v>54</v>
      </c>
      <c r="H273" s="1" t="s">
        <v>55</v>
      </c>
      <c r="J273" s="1" t="s">
        <v>56</v>
      </c>
      <c r="K273" s="1" t="s">
        <v>26</v>
      </c>
      <c r="L273" s="1" t="s">
        <v>27</v>
      </c>
      <c r="N273" s="1" t="s">
        <v>216</v>
      </c>
      <c r="O273" s="1" t="s">
        <v>57</v>
      </c>
      <c r="P273" s="1" t="s">
        <v>661</v>
      </c>
      <c r="Q273" s="1" t="s">
        <v>662</v>
      </c>
      <c r="R273" s="1">
        <v>23.0</v>
      </c>
      <c r="S273" s="1"/>
    </row>
    <row r="274" ht="15.75" customHeight="1">
      <c r="A274" s="1" t="s">
        <v>691</v>
      </c>
      <c r="B274" s="1" t="s">
        <v>692</v>
      </c>
      <c r="C274" s="1" t="s">
        <v>215</v>
      </c>
      <c r="E274" s="1">
        <v>23.1038781</v>
      </c>
      <c r="F274" s="1">
        <v>72.5943949</v>
      </c>
      <c r="G274" s="1" t="s">
        <v>54</v>
      </c>
      <c r="H274" s="1" t="s">
        <v>55</v>
      </c>
      <c r="J274" s="1" t="s">
        <v>118</v>
      </c>
      <c r="K274" s="1" t="s">
        <v>26</v>
      </c>
      <c r="L274" s="1" t="s">
        <v>27</v>
      </c>
      <c r="N274" s="1" t="s">
        <v>216</v>
      </c>
      <c r="O274" s="1" t="s">
        <v>57</v>
      </c>
      <c r="P274" s="1" t="s">
        <v>217</v>
      </c>
      <c r="Q274" s="1" t="s">
        <v>218</v>
      </c>
      <c r="R274" s="1">
        <v>8.0</v>
      </c>
      <c r="S274" s="1"/>
    </row>
    <row r="275" ht="15.75" customHeight="1">
      <c r="A275" s="1" t="s">
        <v>693</v>
      </c>
      <c r="B275" s="1" t="s">
        <v>694</v>
      </c>
      <c r="C275" s="1" t="s">
        <v>242</v>
      </c>
      <c r="E275" s="1">
        <v>21.2302836</v>
      </c>
      <c r="F275" s="1">
        <v>72.779521</v>
      </c>
      <c r="G275" s="1" t="s">
        <v>54</v>
      </c>
      <c r="H275" s="1" t="s">
        <v>55</v>
      </c>
      <c r="J275" s="1" t="s">
        <v>56</v>
      </c>
      <c r="K275" s="1" t="s">
        <v>26</v>
      </c>
      <c r="L275" s="1" t="s">
        <v>27</v>
      </c>
      <c r="N275" s="1" t="s">
        <v>216</v>
      </c>
      <c r="O275" s="1" t="s">
        <v>57</v>
      </c>
      <c r="P275" s="1" t="s">
        <v>661</v>
      </c>
      <c r="Q275" s="1" t="s">
        <v>662</v>
      </c>
      <c r="R275" s="1">
        <v>13.0</v>
      </c>
      <c r="S275" s="1"/>
    </row>
    <row r="276" ht="15.75" customHeight="1">
      <c r="A276" s="1" t="s">
        <v>695</v>
      </c>
      <c r="B276" s="1" t="s">
        <v>696</v>
      </c>
      <c r="C276" s="1" t="s">
        <v>242</v>
      </c>
      <c r="E276" s="1">
        <v>21.2738744</v>
      </c>
      <c r="F276" s="1">
        <v>72.9643964</v>
      </c>
      <c r="G276" s="1" t="s">
        <v>54</v>
      </c>
      <c r="H276" s="1" t="s">
        <v>55</v>
      </c>
      <c r="J276" s="1" t="s">
        <v>56</v>
      </c>
      <c r="K276" s="1" t="s">
        <v>26</v>
      </c>
      <c r="L276" s="1" t="s">
        <v>27</v>
      </c>
      <c r="N276" s="1" t="s">
        <v>216</v>
      </c>
      <c r="O276" s="1" t="s">
        <v>57</v>
      </c>
      <c r="P276" s="1" t="s">
        <v>661</v>
      </c>
      <c r="Q276" s="1" t="s">
        <v>662</v>
      </c>
      <c r="R276" s="1">
        <v>22.0</v>
      </c>
      <c r="S276" s="1"/>
    </row>
    <row r="277" ht="15.75" customHeight="1">
      <c r="A277" s="1" t="s">
        <v>697</v>
      </c>
      <c r="B277" s="1" t="s">
        <v>698</v>
      </c>
      <c r="C277" s="1" t="s">
        <v>242</v>
      </c>
      <c r="E277" s="1">
        <v>21.2109412</v>
      </c>
      <c r="F277" s="1">
        <v>72.7664049</v>
      </c>
      <c r="G277" s="1" t="s">
        <v>54</v>
      </c>
      <c r="H277" s="1" t="s">
        <v>55</v>
      </c>
      <c r="J277" s="1" t="s">
        <v>56</v>
      </c>
      <c r="K277" s="1" t="s">
        <v>26</v>
      </c>
      <c r="L277" s="1" t="s">
        <v>27</v>
      </c>
      <c r="N277" s="1" t="s">
        <v>216</v>
      </c>
      <c r="O277" s="1" t="s">
        <v>57</v>
      </c>
      <c r="P277" s="1" t="s">
        <v>661</v>
      </c>
      <c r="Q277" s="1" t="s">
        <v>662</v>
      </c>
      <c r="R277" s="1">
        <v>11.0</v>
      </c>
      <c r="S277" s="1"/>
    </row>
    <row r="278" ht="15.75" customHeight="1">
      <c r="A278" s="1" t="s">
        <v>699</v>
      </c>
      <c r="B278" s="1" t="s">
        <v>700</v>
      </c>
      <c r="C278" s="1" t="s">
        <v>242</v>
      </c>
      <c r="E278" s="1">
        <v>21.2364044</v>
      </c>
      <c r="F278" s="1">
        <v>72.8223433</v>
      </c>
      <c r="G278" s="1" t="s">
        <v>54</v>
      </c>
      <c r="H278" s="1" t="s">
        <v>55</v>
      </c>
      <c r="J278" s="1" t="s">
        <v>56</v>
      </c>
      <c r="K278" s="1" t="s">
        <v>26</v>
      </c>
      <c r="L278" s="1" t="s">
        <v>27</v>
      </c>
      <c r="N278" s="1" t="s">
        <v>216</v>
      </c>
      <c r="O278" s="1" t="s">
        <v>57</v>
      </c>
      <c r="P278" s="1" t="s">
        <v>661</v>
      </c>
      <c r="Q278" s="1" t="s">
        <v>662</v>
      </c>
      <c r="R278" s="1">
        <v>14.0</v>
      </c>
      <c r="S278" s="1"/>
    </row>
    <row r="279" ht="15.75" customHeight="1">
      <c r="A279" s="1" t="s">
        <v>701</v>
      </c>
      <c r="B279" s="1" t="s">
        <v>702</v>
      </c>
      <c r="C279" s="1" t="s">
        <v>242</v>
      </c>
      <c r="E279" s="1">
        <v>21.1986521</v>
      </c>
      <c r="F279" s="1">
        <v>72.82746159999999</v>
      </c>
      <c r="G279" s="1" t="s">
        <v>54</v>
      </c>
      <c r="H279" s="1" t="s">
        <v>55</v>
      </c>
      <c r="J279" s="1" t="s">
        <v>221</v>
      </c>
      <c r="K279" s="1" t="s">
        <v>26</v>
      </c>
      <c r="L279" s="1" t="s">
        <v>27</v>
      </c>
      <c r="N279" s="1" t="s">
        <v>216</v>
      </c>
      <c r="O279" s="1" t="s">
        <v>57</v>
      </c>
      <c r="P279" s="1" t="s">
        <v>661</v>
      </c>
      <c r="Q279" s="1" t="s">
        <v>662</v>
      </c>
      <c r="R279" s="1">
        <v>6.0</v>
      </c>
      <c r="S279" s="1"/>
    </row>
    <row r="280" ht="15.75" customHeight="1">
      <c r="A280" s="1" t="s">
        <v>703</v>
      </c>
      <c r="B280" s="1" t="s">
        <v>704</v>
      </c>
      <c r="C280" s="1" t="s">
        <v>215</v>
      </c>
      <c r="E280" s="1">
        <v>23.0327006</v>
      </c>
      <c r="F280" s="1">
        <v>72.6683927</v>
      </c>
      <c r="G280" s="1" t="s">
        <v>54</v>
      </c>
      <c r="H280" s="1" t="s">
        <v>55</v>
      </c>
      <c r="J280" s="1" t="s">
        <v>56</v>
      </c>
      <c r="K280" s="1" t="s">
        <v>26</v>
      </c>
      <c r="L280" s="1" t="s">
        <v>27</v>
      </c>
      <c r="N280" s="1" t="s">
        <v>216</v>
      </c>
      <c r="O280" s="1" t="s">
        <v>57</v>
      </c>
      <c r="P280" s="1" t="s">
        <v>217</v>
      </c>
      <c r="Q280" s="1" t="s">
        <v>218</v>
      </c>
      <c r="R280" s="1">
        <v>1.0</v>
      </c>
      <c r="S280" s="1"/>
    </row>
    <row r="281" ht="15.75" customHeight="1">
      <c r="A281" s="1" t="s">
        <v>705</v>
      </c>
      <c r="B281" s="1" t="s">
        <v>706</v>
      </c>
      <c r="C281" s="1" t="s">
        <v>215</v>
      </c>
      <c r="E281" s="1">
        <v>22.9976884</v>
      </c>
      <c r="F281" s="1">
        <v>72.4987222</v>
      </c>
      <c r="G281" s="1" t="s">
        <v>54</v>
      </c>
      <c r="H281" s="1" t="s">
        <v>55</v>
      </c>
      <c r="J281" s="1" t="s">
        <v>56</v>
      </c>
      <c r="K281" s="1" t="s">
        <v>26</v>
      </c>
      <c r="L281" s="1" t="s">
        <v>27</v>
      </c>
      <c r="N281" s="1" t="s">
        <v>216</v>
      </c>
      <c r="O281" s="1" t="s">
        <v>57</v>
      </c>
      <c r="P281" s="1" t="s">
        <v>217</v>
      </c>
      <c r="Q281" s="1" t="s">
        <v>218</v>
      </c>
      <c r="R281" s="1">
        <v>4.0</v>
      </c>
      <c r="S281" s="1"/>
    </row>
    <row r="282" ht="15.75" customHeight="1">
      <c r="A282" s="1" t="s">
        <v>707</v>
      </c>
      <c r="B282" s="1" t="s">
        <v>708</v>
      </c>
      <c r="C282" s="1" t="s">
        <v>215</v>
      </c>
      <c r="E282" s="1">
        <v>23.0100398</v>
      </c>
      <c r="F282" s="1">
        <v>72.5997209</v>
      </c>
      <c r="G282" s="1" t="s">
        <v>54</v>
      </c>
      <c r="H282" s="1" t="s">
        <v>55</v>
      </c>
      <c r="J282" s="1" t="s">
        <v>56</v>
      </c>
      <c r="K282" s="1" t="s">
        <v>26</v>
      </c>
      <c r="L282" s="1" t="s">
        <v>27</v>
      </c>
      <c r="N282" s="1" t="s">
        <v>216</v>
      </c>
      <c r="O282" s="1" t="s">
        <v>57</v>
      </c>
      <c r="P282" s="1" t="s">
        <v>217</v>
      </c>
      <c r="Q282" s="1" t="s">
        <v>218</v>
      </c>
      <c r="R282" s="1">
        <v>2.0</v>
      </c>
      <c r="S282" s="1"/>
    </row>
    <row r="283" ht="15.75" customHeight="1">
      <c r="A283" s="1" t="s">
        <v>709</v>
      </c>
      <c r="B283" s="1" t="s">
        <v>710</v>
      </c>
      <c r="C283" s="1" t="s">
        <v>215</v>
      </c>
      <c r="E283" s="1">
        <v>23.0312114</v>
      </c>
      <c r="F283" s="1">
        <v>72.47150909999999</v>
      </c>
      <c r="G283" s="1" t="s">
        <v>54</v>
      </c>
      <c r="H283" s="1" t="s">
        <v>55</v>
      </c>
      <c r="J283" s="1" t="s">
        <v>56</v>
      </c>
      <c r="K283" s="1" t="s">
        <v>26</v>
      </c>
      <c r="L283" s="1" t="s">
        <v>27</v>
      </c>
      <c r="N283" s="1" t="s">
        <v>216</v>
      </c>
      <c r="O283" s="1" t="s">
        <v>57</v>
      </c>
      <c r="P283" s="1" t="s">
        <v>217</v>
      </c>
      <c r="Q283" s="1" t="s">
        <v>218</v>
      </c>
      <c r="R283" s="1">
        <v>9.0</v>
      </c>
      <c r="S283" s="1"/>
    </row>
    <row r="284" ht="15.75" customHeight="1">
      <c r="A284" s="1" t="s">
        <v>711</v>
      </c>
      <c r="B284" s="1" t="s">
        <v>712</v>
      </c>
      <c r="C284" s="1" t="s">
        <v>215</v>
      </c>
      <c r="E284" s="1">
        <v>23.1300863</v>
      </c>
      <c r="F284" s="1">
        <v>72.5845294</v>
      </c>
      <c r="G284" s="1" t="s">
        <v>54</v>
      </c>
      <c r="H284" s="1" t="s">
        <v>55</v>
      </c>
      <c r="J284" s="1" t="s">
        <v>56</v>
      </c>
      <c r="K284" s="1" t="s">
        <v>26</v>
      </c>
      <c r="L284" s="1" t="s">
        <v>27</v>
      </c>
      <c r="N284" s="1" t="s">
        <v>216</v>
      </c>
      <c r="O284" s="1" t="s">
        <v>57</v>
      </c>
      <c r="P284" s="1" t="s">
        <v>217</v>
      </c>
      <c r="Q284" s="1" t="s">
        <v>218</v>
      </c>
      <c r="R284" s="1">
        <v>1.0</v>
      </c>
      <c r="S284" s="1"/>
    </row>
    <row r="285" ht="15.75" customHeight="1">
      <c r="A285" s="1" t="s">
        <v>713</v>
      </c>
      <c r="B285" s="1" t="s">
        <v>714</v>
      </c>
      <c r="C285" s="1" t="s">
        <v>215</v>
      </c>
      <c r="E285" s="1">
        <v>23.0466775</v>
      </c>
      <c r="F285" s="1">
        <v>72.5078865</v>
      </c>
      <c r="G285" s="1" t="s">
        <v>54</v>
      </c>
      <c r="H285" s="1" t="s">
        <v>55</v>
      </c>
      <c r="J285" s="1" t="s">
        <v>56</v>
      </c>
      <c r="K285" s="1" t="s">
        <v>26</v>
      </c>
      <c r="L285" s="1" t="s">
        <v>27</v>
      </c>
      <c r="N285" s="1" t="s">
        <v>216</v>
      </c>
      <c r="O285" s="1" t="s">
        <v>57</v>
      </c>
      <c r="P285" s="1" t="s">
        <v>217</v>
      </c>
      <c r="Q285" s="1" t="s">
        <v>218</v>
      </c>
      <c r="R285" s="1">
        <v>5.0</v>
      </c>
      <c r="S285" s="1"/>
    </row>
    <row r="286" ht="15.75" customHeight="1">
      <c r="A286" s="1" t="s">
        <v>715</v>
      </c>
      <c r="B286" s="1" t="s">
        <v>716</v>
      </c>
      <c r="C286" s="1" t="s">
        <v>215</v>
      </c>
      <c r="E286" s="1">
        <v>22.9886716</v>
      </c>
      <c r="F286" s="1">
        <v>72.6441057</v>
      </c>
      <c r="G286" s="1" t="s">
        <v>54</v>
      </c>
      <c r="H286" s="1" t="s">
        <v>55</v>
      </c>
      <c r="J286" s="1" t="s">
        <v>221</v>
      </c>
      <c r="P286" s="1" t="s">
        <v>217</v>
      </c>
      <c r="Q286" s="1" t="s">
        <v>218</v>
      </c>
      <c r="R286" s="1">
        <v>0.0</v>
      </c>
      <c r="S286" s="1"/>
    </row>
    <row r="287" ht="15.75" customHeight="1">
      <c r="A287" s="1" t="s">
        <v>717</v>
      </c>
      <c r="B287" s="1" t="s">
        <v>718</v>
      </c>
      <c r="C287" s="1" t="s">
        <v>215</v>
      </c>
      <c r="E287" s="1">
        <v>23.07515</v>
      </c>
      <c r="F287" s="1">
        <v>72.6659009</v>
      </c>
      <c r="G287" s="1" t="s">
        <v>54</v>
      </c>
      <c r="H287" s="1" t="s">
        <v>55</v>
      </c>
      <c r="J287" s="1" t="s">
        <v>56</v>
      </c>
      <c r="K287" s="1" t="s">
        <v>26</v>
      </c>
      <c r="L287" s="1" t="s">
        <v>27</v>
      </c>
      <c r="N287" s="1" t="s">
        <v>216</v>
      </c>
      <c r="O287" s="1" t="s">
        <v>57</v>
      </c>
      <c r="P287" s="1" t="s">
        <v>217</v>
      </c>
      <c r="Q287" s="1" t="s">
        <v>218</v>
      </c>
      <c r="R287" s="1">
        <v>1.0</v>
      </c>
      <c r="S287" s="1"/>
    </row>
    <row r="288" ht="15.75" customHeight="1">
      <c r="A288" s="1" t="s">
        <v>719</v>
      </c>
      <c r="B288" s="1" t="s">
        <v>720</v>
      </c>
      <c r="C288" s="1" t="s">
        <v>215</v>
      </c>
      <c r="E288" s="1">
        <v>23.038655</v>
      </c>
      <c r="F288" s="1">
        <v>72.62892339999999</v>
      </c>
      <c r="G288" s="1" t="s">
        <v>54</v>
      </c>
      <c r="H288" s="1" t="s">
        <v>55</v>
      </c>
      <c r="J288" s="1" t="s">
        <v>56</v>
      </c>
      <c r="K288" s="1" t="s">
        <v>26</v>
      </c>
      <c r="L288" s="1" t="s">
        <v>27</v>
      </c>
      <c r="N288" s="1" t="s">
        <v>216</v>
      </c>
      <c r="O288" s="1" t="s">
        <v>57</v>
      </c>
      <c r="P288" s="1" t="s">
        <v>217</v>
      </c>
      <c r="Q288" s="1" t="s">
        <v>218</v>
      </c>
      <c r="R288" s="1">
        <v>2.0</v>
      </c>
      <c r="S288" s="1"/>
    </row>
    <row r="289" ht="15.75" customHeight="1">
      <c r="A289" s="1" t="s">
        <v>721</v>
      </c>
      <c r="B289" s="1" t="s">
        <v>722</v>
      </c>
      <c r="C289" s="1" t="s">
        <v>215</v>
      </c>
      <c r="E289" s="1">
        <v>23.0456515</v>
      </c>
      <c r="F289" s="1">
        <v>72.5383234</v>
      </c>
      <c r="G289" s="1" t="s">
        <v>54</v>
      </c>
      <c r="H289" s="1" t="s">
        <v>55</v>
      </c>
      <c r="J289" s="1" t="s">
        <v>56</v>
      </c>
      <c r="K289" s="1" t="s">
        <v>26</v>
      </c>
      <c r="L289" s="1" t="s">
        <v>27</v>
      </c>
      <c r="N289" s="1" t="s">
        <v>216</v>
      </c>
      <c r="O289" s="1" t="s">
        <v>57</v>
      </c>
      <c r="P289" s="1" t="s">
        <v>217</v>
      </c>
      <c r="Q289" s="1" t="s">
        <v>218</v>
      </c>
      <c r="R289" s="1">
        <v>6.0</v>
      </c>
      <c r="S289" s="1"/>
    </row>
    <row r="290" ht="15.75" customHeight="1">
      <c r="A290" s="1" t="s">
        <v>723</v>
      </c>
      <c r="B290" s="1" t="s">
        <v>724</v>
      </c>
      <c r="C290" s="1" t="s">
        <v>215</v>
      </c>
      <c r="E290" s="1">
        <v>23.0531606</v>
      </c>
      <c r="F290" s="1">
        <v>72.5586306</v>
      </c>
      <c r="G290" s="1" t="s">
        <v>54</v>
      </c>
      <c r="H290" s="1" t="s">
        <v>55</v>
      </c>
      <c r="J290" s="1" t="s">
        <v>221</v>
      </c>
      <c r="K290" s="1" t="s">
        <v>26</v>
      </c>
      <c r="L290" s="1" t="s">
        <v>27</v>
      </c>
      <c r="N290" s="1" t="s">
        <v>216</v>
      </c>
      <c r="O290" s="1" t="s">
        <v>57</v>
      </c>
      <c r="P290" s="1" t="s">
        <v>217</v>
      </c>
      <c r="Q290" s="1" t="s">
        <v>218</v>
      </c>
      <c r="R290" s="1">
        <v>0.0</v>
      </c>
      <c r="S290" s="1"/>
    </row>
    <row r="291" ht="15.75" customHeight="1">
      <c r="A291" s="1" t="s">
        <v>725</v>
      </c>
      <c r="B291" s="1" t="s">
        <v>726</v>
      </c>
      <c r="C291" s="1" t="s">
        <v>215</v>
      </c>
      <c r="E291" s="1">
        <v>23.0790831</v>
      </c>
      <c r="F291" s="1">
        <v>72.52686200000001</v>
      </c>
      <c r="G291" s="1" t="s">
        <v>54</v>
      </c>
      <c r="H291" s="1" t="s">
        <v>55</v>
      </c>
      <c r="J291" s="1" t="s">
        <v>221</v>
      </c>
      <c r="P291" s="1" t="s">
        <v>217</v>
      </c>
      <c r="Q291" s="1" t="s">
        <v>218</v>
      </c>
      <c r="R291" s="1">
        <v>0.0</v>
      </c>
      <c r="S291" s="1"/>
    </row>
    <row r="292" ht="15.75" customHeight="1">
      <c r="A292" s="1" t="s">
        <v>727</v>
      </c>
      <c r="B292" s="1" t="s">
        <v>728</v>
      </c>
      <c r="C292" s="1" t="s">
        <v>215</v>
      </c>
      <c r="E292" s="1">
        <v>23.0663825</v>
      </c>
      <c r="F292" s="1">
        <v>72.5472289</v>
      </c>
      <c r="G292" s="1" t="s">
        <v>54</v>
      </c>
      <c r="H292" s="1" t="s">
        <v>55</v>
      </c>
      <c r="J292" s="1" t="s">
        <v>56</v>
      </c>
      <c r="K292" s="1" t="s">
        <v>26</v>
      </c>
      <c r="L292" s="1" t="s">
        <v>27</v>
      </c>
      <c r="N292" s="1" t="s">
        <v>216</v>
      </c>
      <c r="O292" s="1" t="s">
        <v>57</v>
      </c>
      <c r="P292" s="1" t="s">
        <v>217</v>
      </c>
      <c r="Q292" s="1" t="s">
        <v>218</v>
      </c>
      <c r="R292" s="1">
        <v>8.0</v>
      </c>
      <c r="S292" s="1"/>
    </row>
    <row r="293" ht="15.75" customHeight="1">
      <c r="A293" s="1" t="s">
        <v>729</v>
      </c>
      <c r="B293" s="1" t="s">
        <v>730</v>
      </c>
      <c r="C293" s="1" t="s">
        <v>731</v>
      </c>
      <c r="E293" s="1">
        <v>26.2116138</v>
      </c>
      <c r="F293" s="1">
        <v>78.1871297</v>
      </c>
      <c r="G293" s="1" t="s">
        <v>54</v>
      </c>
      <c r="H293" s="1" t="s">
        <v>55</v>
      </c>
      <c r="J293" s="1" t="s">
        <v>44</v>
      </c>
      <c r="K293" s="1" t="s">
        <v>26</v>
      </c>
      <c r="L293" s="1" t="s">
        <v>27</v>
      </c>
      <c r="N293" s="1" t="s">
        <v>732</v>
      </c>
      <c r="O293" s="1" t="s">
        <v>29</v>
      </c>
      <c r="P293" s="1" t="s">
        <v>733</v>
      </c>
      <c r="Q293" s="1" t="s">
        <v>734</v>
      </c>
      <c r="R293" s="1">
        <v>0.0</v>
      </c>
      <c r="S293" s="1"/>
    </row>
    <row r="294" ht="15.75" customHeight="1">
      <c r="A294" s="1" t="s">
        <v>735</v>
      </c>
      <c r="B294" s="1" t="s">
        <v>736</v>
      </c>
      <c r="C294" s="1" t="s">
        <v>737</v>
      </c>
      <c r="E294" s="1">
        <v>22.7499276</v>
      </c>
      <c r="F294" s="1">
        <v>75.8967619</v>
      </c>
      <c r="G294" s="1" t="s">
        <v>54</v>
      </c>
      <c r="H294" s="1" t="s">
        <v>55</v>
      </c>
      <c r="J294" s="1" t="s">
        <v>118</v>
      </c>
      <c r="K294" s="1" t="s">
        <v>26</v>
      </c>
      <c r="L294" s="1" t="s">
        <v>27</v>
      </c>
      <c r="N294" s="1" t="s">
        <v>732</v>
      </c>
      <c r="O294" s="1" t="s">
        <v>29</v>
      </c>
      <c r="P294" s="1" t="s">
        <v>738</v>
      </c>
      <c r="Q294" s="1" t="s">
        <v>739</v>
      </c>
      <c r="R294" s="1">
        <v>44.0</v>
      </c>
      <c r="S294" s="1"/>
    </row>
    <row r="295" ht="15.75" customHeight="1">
      <c r="A295" s="1" t="s">
        <v>740</v>
      </c>
      <c r="B295" s="1" t="s">
        <v>741</v>
      </c>
      <c r="C295" s="1" t="s">
        <v>742</v>
      </c>
      <c r="E295" s="1">
        <v>23.8510849</v>
      </c>
      <c r="F295" s="1">
        <v>78.7918041</v>
      </c>
      <c r="G295" s="1" t="s">
        <v>54</v>
      </c>
      <c r="H295" s="1" t="s">
        <v>55</v>
      </c>
      <c r="J295" s="1" t="s">
        <v>56</v>
      </c>
      <c r="K295" s="1" t="s">
        <v>26</v>
      </c>
      <c r="L295" s="1" t="s">
        <v>27</v>
      </c>
      <c r="N295" s="1" t="s">
        <v>743</v>
      </c>
      <c r="O295" s="1" t="s">
        <v>29</v>
      </c>
      <c r="P295" s="1" t="s">
        <v>733</v>
      </c>
      <c r="Q295" s="1" t="s">
        <v>734</v>
      </c>
      <c r="R295" s="1">
        <v>0.0</v>
      </c>
      <c r="S295" s="1"/>
    </row>
    <row r="296" ht="15.75" customHeight="1">
      <c r="A296" s="1" t="s">
        <v>744</v>
      </c>
      <c r="B296" s="1" t="s">
        <v>745</v>
      </c>
      <c r="C296" s="1" t="s">
        <v>746</v>
      </c>
      <c r="E296" s="1">
        <v>25.3120687</v>
      </c>
      <c r="F296" s="1">
        <v>82.9887485</v>
      </c>
      <c r="G296" s="1" t="s">
        <v>54</v>
      </c>
      <c r="H296" s="1" t="s">
        <v>55</v>
      </c>
      <c r="J296" s="1" t="s">
        <v>56</v>
      </c>
      <c r="K296" s="1" t="s">
        <v>26</v>
      </c>
      <c r="L296" s="1" t="s">
        <v>27</v>
      </c>
      <c r="N296" s="1" t="s">
        <v>28</v>
      </c>
      <c r="O296" s="1" t="s">
        <v>57</v>
      </c>
      <c r="P296" s="1" t="s">
        <v>747</v>
      </c>
      <c r="Q296" s="1" t="s">
        <v>748</v>
      </c>
      <c r="R296" s="1">
        <v>0.0</v>
      </c>
      <c r="S296" s="1"/>
    </row>
    <row r="297" ht="15.75" customHeight="1">
      <c r="A297" s="1" t="s">
        <v>749</v>
      </c>
      <c r="B297" s="1" t="s">
        <v>750</v>
      </c>
      <c r="C297" s="1" t="s">
        <v>737</v>
      </c>
      <c r="E297" s="1">
        <v>22.7017001</v>
      </c>
      <c r="F297" s="1">
        <v>75.92487489999999</v>
      </c>
      <c r="G297" s="1" t="s">
        <v>54</v>
      </c>
      <c r="H297" s="1" t="s">
        <v>55</v>
      </c>
      <c r="J297" s="1" t="s">
        <v>56</v>
      </c>
      <c r="K297" s="1" t="s">
        <v>26</v>
      </c>
      <c r="L297" s="1" t="s">
        <v>27</v>
      </c>
      <c r="N297" s="1" t="s">
        <v>732</v>
      </c>
      <c r="O297" s="1" t="s">
        <v>29</v>
      </c>
      <c r="P297" s="1" t="s">
        <v>738</v>
      </c>
      <c r="Q297" s="1" t="s">
        <v>739</v>
      </c>
      <c r="R297" s="1">
        <v>32.0</v>
      </c>
      <c r="S297" s="1"/>
    </row>
    <row r="298" ht="15.75" customHeight="1">
      <c r="A298" s="1" t="s">
        <v>751</v>
      </c>
      <c r="B298" s="1" t="s">
        <v>752</v>
      </c>
      <c r="C298" s="1" t="s">
        <v>753</v>
      </c>
      <c r="E298" s="1">
        <v>23.174549</v>
      </c>
      <c r="F298" s="1">
        <v>75.791468</v>
      </c>
      <c r="G298" s="1" t="s">
        <v>54</v>
      </c>
      <c r="H298" s="1" t="s">
        <v>55</v>
      </c>
      <c r="J298" s="1" t="s">
        <v>56</v>
      </c>
      <c r="K298" s="1" t="s">
        <v>26</v>
      </c>
      <c r="L298" s="1" t="s">
        <v>27</v>
      </c>
      <c r="N298" s="1" t="s">
        <v>732</v>
      </c>
      <c r="O298" s="1" t="s">
        <v>29</v>
      </c>
      <c r="P298" s="1" t="s">
        <v>754</v>
      </c>
      <c r="Q298" s="1" t="s">
        <v>755</v>
      </c>
      <c r="R298" s="1">
        <v>0.0</v>
      </c>
      <c r="S298" s="1"/>
    </row>
    <row r="299" ht="15.75" customHeight="1">
      <c r="A299" s="1" t="s">
        <v>756</v>
      </c>
      <c r="B299" s="1" t="s">
        <v>757</v>
      </c>
      <c r="C299" s="1" t="s">
        <v>758</v>
      </c>
      <c r="E299" s="1">
        <v>23.2657509</v>
      </c>
      <c r="F299" s="1">
        <v>77.379988</v>
      </c>
      <c r="G299" s="1" t="s">
        <v>54</v>
      </c>
      <c r="H299" s="1" t="s">
        <v>55</v>
      </c>
      <c r="J299" s="1" t="s">
        <v>56</v>
      </c>
      <c r="K299" s="1" t="s">
        <v>26</v>
      </c>
      <c r="L299" s="1" t="s">
        <v>27</v>
      </c>
      <c r="N299" s="1" t="s">
        <v>732</v>
      </c>
      <c r="O299" s="1" t="s">
        <v>29</v>
      </c>
      <c r="P299" s="1" t="s">
        <v>738</v>
      </c>
      <c r="Q299" s="1" t="s">
        <v>739</v>
      </c>
      <c r="R299" s="1">
        <v>1.0</v>
      </c>
      <c r="S299" s="1"/>
    </row>
    <row r="300" ht="15.75" customHeight="1">
      <c r="A300" s="1" t="s">
        <v>759</v>
      </c>
      <c r="B300" s="1" t="s">
        <v>760</v>
      </c>
      <c r="C300" s="1" t="s">
        <v>758</v>
      </c>
      <c r="E300" s="1">
        <v>23.186284</v>
      </c>
      <c r="F300" s="1">
        <v>77.45248</v>
      </c>
      <c r="G300" s="1" t="s">
        <v>54</v>
      </c>
      <c r="H300" s="1" t="s">
        <v>55</v>
      </c>
      <c r="J300" s="1" t="s">
        <v>56</v>
      </c>
      <c r="K300" s="1" t="s">
        <v>26</v>
      </c>
      <c r="L300" s="1" t="s">
        <v>27</v>
      </c>
      <c r="N300" s="1" t="s">
        <v>732</v>
      </c>
      <c r="O300" s="1" t="s">
        <v>57</v>
      </c>
      <c r="P300" s="1" t="s">
        <v>738</v>
      </c>
      <c r="Q300" s="1" t="s">
        <v>739</v>
      </c>
      <c r="R300" s="1">
        <v>2.0</v>
      </c>
      <c r="S300" s="1"/>
    </row>
    <row r="301" ht="15.75" customHeight="1">
      <c r="A301" s="1" t="s">
        <v>761</v>
      </c>
      <c r="B301" s="1" t="s">
        <v>762</v>
      </c>
      <c r="C301" s="1" t="s">
        <v>737</v>
      </c>
      <c r="E301" s="1">
        <v>22.7007456</v>
      </c>
      <c r="F301" s="1">
        <v>75.86871699999999</v>
      </c>
      <c r="G301" s="1" t="s">
        <v>54</v>
      </c>
      <c r="H301" s="1" t="s">
        <v>55</v>
      </c>
      <c r="J301" s="1" t="s">
        <v>56</v>
      </c>
      <c r="K301" s="1" t="s">
        <v>26</v>
      </c>
      <c r="L301" s="1" t="s">
        <v>27</v>
      </c>
      <c r="N301" s="1" t="s">
        <v>732</v>
      </c>
      <c r="O301" s="1" t="s">
        <v>29</v>
      </c>
      <c r="P301" s="1" t="s">
        <v>738</v>
      </c>
      <c r="Q301" s="1" t="s">
        <v>739</v>
      </c>
      <c r="R301" s="1">
        <v>29.0</v>
      </c>
      <c r="S301" s="1"/>
    </row>
    <row r="302" ht="15.75" customHeight="1">
      <c r="A302" s="1" t="s">
        <v>763</v>
      </c>
      <c r="B302" s="1" t="s">
        <v>764</v>
      </c>
      <c r="C302" s="1" t="s">
        <v>765</v>
      </c>
      <c r="E302" s="1">
        <v>26.7827431</v>
      </c>
      <c r="F302" s="1">
        <v>83.38556129999999</v>
      </c>
      <c r="G302" s="1" t="s">
        <v>54</v>
      </c>
      <c r="H302" s="1" t="s">
        <v>55</v>
      </c>
      <c r="J302" s="1" t="s">
        <v>56</v>
      </c>
      <c r="K302" s="1" t="s">
        <v>26</v>
      </c>
      <c r="L302" s="1" t="s">
        <v>27</v>
      </c>
      <c r="N302" s="1" t="s">
        <v>28</v>
      </c>
      <c r="O302" s="1" t="s">
        <v>57</v>
      </c>
      <c r="P302" s="1" t="s">
        <v>733</v>
      </c>
      <c r="Q302" s="1" t="s">
        <v>734</v>
      </c>
      <c r="R302" s="1">
        <v>2.0</v>
      </c>
      <c r="S302" s="1"/>
    </row>
    <row r="303" ht="15.75" customHeight="1">
      <c r="A303" s="1" t="s">
        <v>766</v>
      </c>
      <c r="B303" s="1" t="s">
        <v>767</v>
      </c>
      <c r="C303" s="1" t="s">
        <v>768</v>
      </c>
      <c r="E303" s="1">
        <v>23.1813186</v>
      </c>
      <c r="F303" s="1">
        <v>79.9097018</v>
      </c>
      <c r="G303" s="1" t="s">
        <v>54</v>
      </c>
      <c r="H303" s="1" t="s">
        <v>55</v>
      </c>
      <c r="J303" s="1" t="s">
        <v>56</v>
      </c>
      <c r="K303" s="1" t="s">
        <v>26</v>
      </c>
      <c r="L303" s="1" t="s">
        <v>27</v>
      </c>
      <c r="N303" s="1" t="s">
        <v>732</v>
      </c>
      <c r="O303" s="1" t="s">
        <v>57</v>
      </c>
      <c r="P303" s="1" t="s">
        <v>733</v>
      </c>
      <c r="Q303" s="1" t="s">
        <v>734</v>
      </c>
      <c r="R303" s="1">
        <v>0.0</v>
      </c>
      <c r="S303" s="1"/>
    </row>
    <row r="304" ht="15.75" customHeight="1">
      <c r="A304" s="1" t="s">
        <v>769</v>
      </c>
      <c r="B304" s="1" t="s">
        <v>770</v>
      </c>
      <c r="C304" s="1" t="s">
        <v>731</v>
      </c>
      <c r="E304" s="1">
        <v>26.2010466</v>
      </c>
      <c r="F304" s="1">
        <v>78.1617093</v>
      </c>
      <c r="G304" s="1" t="s">
        <v>54</v>
      </c>
      <c r="H304" s="1" t="s">
        <v>55</v>
      </c>
      <c r="J304" s="1" t="s">
        <v>56</v>
      </c>
      <c r="K304" s="1" t="s">
        <v>26</v>
      </c>
      <c r="L304" s="1" t="s">
        <v>27</v>
      </c>
      <c r="N304" s="1" t="s">
        <v>732</v>
      </c>
      <c r="O304" s="1" t="s">
        <v>29</v>
      </c>
      <c r="P304" s="1" t="s">
        <v>733</v>
      </c>
      <c r="Q304" s="1" t="s">
        <v>734</v>
      </c>
      <c r="R304" s="1">
        <v>0.0</v>
      </c>
      <c r="S304" s="1"/>
    </row>
    <row r="305" ht="15.75" customHeight="1">
      <c r="A305" s="1" t="s">
        <v>771</v>
      </c>
      <c r="B305" s="1" t="s">
        <v>772</v>
      </c>
      <c r="C305" s="1" t="s">
        <v>773</v>
      </c>
      <c r="E305" s="1">
        <v>22.0605437</v>
      </c>
      <c r="F305" s="1">
        <v>78.94525809999999</v>
      </c>
      <c r="G305" s="1" t="s">
        <v>54</v>
      </c>
      <c r="H305" s="1" t="s">
        <v>55</v>
      </c>
      <c r="J305" s="1" t="s">
        <v>56</v>
      </c>
      <c r="K305" s="1" t="s">
        <v>26</v>
      </c>
      <c r="L305" s="1" t="s">
        <v>27</v>
      </c>
      <c r="N305" s="1" t="s">
        <v>732</v>
      </c>
      <c r="O305" s="1" t="s">
        <v>57</v>
      </c>
      <c r="P305" s="1" t="s">
        <v>733</v>
      </c>
      <c r="Q305" s="1" t="s">
        <v>734</v>
      </c>
      <c r="R305" s="1">
        <v>0.0</v>
      </c>
      <c r="S305" s="1"/>
    </row>
    <row r="306" ht="15.75" customHeight="1">
      <c r="A306" s="1" t="s">
        <v>774</v>
      </c>
      <c r="B306" s="1" t="s">
        <v>775</v>
      </c>
      <c r="C306" s="1" t="s">
        <v>776</v>
      </c>
      <c r="E306" s="1">
        <v>24.57638</v>
      </c>
      <c r="F306" s="1">
        <v>80.81141699999999</v>
      </c>
      <c r="G306" s="1" t="s">
        <v>54</v>
      </c>
      <c r="H306" s="1" t="s">
        <v>55</v>
      </c>
      <c r="J306" s="1" t="s">
        <v>221</v>
      </c>
      <c r="K306" s="1" t="s">
        <v>26</v>
      </c>
      <c r="L306" s="1" t="s">
        <v>27</v>
      </c>
      <c r="N306" s="1" t="s">
        <v>732</v>
      </c>
      <c r="O306" s="1" t="s">
        <v>57</v>
      </c>
      <c r="P306" s="1" t="s">
        <v>733</v>
      </c>
      <c r="Q306" s="1" t="s">
        <v>734</v>
      </c>
      <c r="R306" s="1">
        <v>0.0</v>
      </c>
      <c r="S306" s="1"/>
    </row>
    <row r="307" ht="15.75" customHeight="1">
      <c r="A307" s="1" t="s">
        <v>777</v>
      </c>
      <c r="B307" s="1" t="s">
        <v>778</v>
      </c>
      <c r="C307" s="1" t="s">
        <v>737</v>
      </c>
      <c r="E307" s="1">
        <v>22.6829031</v>
      </c>
      <c r="F307" s="1">
        <v>75.8353027</v>
      </c>
      <c r="G307" s="1" t="s">
        <v>54</v>
      </c>
      <c r="H307" s="1" t="s">
        <v>55</v>
      </c>
      <c r="J307" s="1" t="s">
        <v>56</v>
      </c>
      <c r="K307" s="1" t="s">
        <v>26</v>
      </c>
      <c r="L307" s="1" t="s">
        <v>27</v>
      </c>
      <c r="N307" s="1" t="s">
        <v>732</v>
      </c>
      <c r="O307" s="1" t="s">
        <v>29</v>
      </c>
      <c r="P307" s="1" t="s">
        <v>738</v>
      </c>
      <c r="Q307" s="1" t="s">
        <v>739</v>
      </c>
      <c r="R307" s="1">
        <v>32.0</v>
      </c>
      <c r="S307" s="1"/>
    </row>
    <row r="308" ht="15.75" customHeight="1">
      <c r="A308" s="1" t="s">
        <v>779</v>
      </c>
      <c r="B308" s="1" t="s">
        <v>780</v>
      </c>
      <c r="C308" s="1" t="s">
        <v>737</v>
      </c>
      <c r="E308" s="1">
        <v>22.7271851</v>
      </c>
      <c r="F308" s="1">
        <v>75.884569</v>
      </c>
      <c r="G308" s="1" t="s">
        <v>54</v>
      </c>
      <c r="H308" s="1" t="s">
        <v>55</v>
      </c>
      <c r="J308" s="1" t="s">
        <v>56</v>
      </c>
      <c r="K308" s="1" t="s">
        <v>26</v>
      </c>
      <c r="L308" s="1" t="s">
        <v>27</v>
      </c>
      <c r="N308" s="1" t="s">
        <v>732</v>
      </c>
      <c r="O308" s="1" t="s">
        <v>29</v>
      </c>
      <c r="P308" s="1" t="s">
        <v>738</v>
      </c>
      <c r="Q308" s="1" t="s">
        <v>739</v>
      </c>
      <c r="R308" s="1">
        <v>41.0</v>
      </c>
      <c r="S308" s="1"/>
    </row>
    <row r="309" ht="15.75" customHeight="1">
      <c r="A309" s="1" t="s">
        <v>781</v>
      </c>
      <c r="B309" s="1" t="s">
        <v>782</v>
      </c>
      <c r="C309" s="1" t="s">
        <v>737</v>
      </c>
      <c r="E309" s="1">
        <v>22.723058</v>
      </c>
      <c r="F309" s="1">
        <v>75.83034289999999</v>
      </c>
      <c r="G309" s="1" t="s">
        <v>54</v>
      </c>
      <c r="H309" s="1" t="s">
        <v>55</v>
      </c>
      <c r="J309" s="1" t="s">
        <v>56</v>
      </c>
      <c r="K309" s="1" t="s">
        <v>26</v>
      </c>
      <c r="L309" s="1" t="s">
        <v>27</v>
      </c>
      <c r="N309" s="1" t="s">
        <v>732</v>
      </c>
      <c r="O309" s="1" t="s">
        <v>29</v>
      </c>
      <c r="P309" s="1" t="s">
        <v>738</v>
      </c>
      <c r="Q309" s="1" t="s">
        <v>739</v>
      </c>
      <c r="R309" s="1">
        <v>25.0</v>
      </c>
      <c r="S309" s="1"/>
    </row>
    <row r="310" ht="15.75" customHeight="1">
      <c r="A310" s="1" t="s">
        <v>783</v>
      </c>
      <c r="B310" s="1" t="s">
        <v>784</v>
      </c>
      <c r="C310" s="1" t="s">
        <v>768</v>
      </c>
      <c r="E310" s="1">
        <v>23.1513043</v>
      </c>
      <c r="F310" s="1">
        <v>79.9269727</v>
      </c>
      <c r="G310" s="1" t="s">
        <v>54</v>
      </c>
      <c r="H310" s="1" t="s">
        <v>55</v>
      </c>
      <c r="J310" s="1" t="s">
        <v>56</v>
      </c>
      <c r="K310" s="1" t="s">
        <v>26</v>
      </c>
      <c r="L310" s="1" t="s">
        <v>27</v>
      </c>
      <c r="N310" s="1" t="s">
        <v>732</v>
      </c>
      <c r="O310" s="1" t="s">
        <v>57</v>
      </c>
      <c r="P310" s="1" t="s">
        <v>733</v>
      </c>
      <c r="Q310" s="1" t="s">
        <v>734</v>
      </c>
      <c r="R310" s="1">
        <v>0.0</v>
      </c>
      <c r="S310" s="1"/>
    </row>
    <row r="311" ht="15.75" customHeight="1">
      <c r="A311" s="1" t="s">
        <v>785</v>
      </c>
      <c r="B311" s="1" t="s">
        <v>786</v>
      </c>
      <c r="C311" s="1" t="s">
        <v>787</v>
      </c>
      <c r="E311" s="1">
        <v>29.9409884</v>
      </c>
      <c r="F311" s="1">
        <v>77.5412394</v>
      </c>
      <c r="G311" s="1" t="s">
        <v>54</v>
      </c>
      <c r="H311" s="1" t="s">
        <v>55</v>
      </c>
      <c r="J311" s="1" t="s">
        <v>56</v>
      </c>
      <c r="K311" s="1" t="s">
        <v>26</v>
      </c>
      <c r="L311" s="1" t="s">
        <v>27</v>
      </c>
      <c r="N311" s="1" t="s">
        <v>28</v>
      </c>
      <c r="O311" s="1" t="s">
        <v>57</v>
      </c>
      <c r="P311" s="1" t="s">
        <v>733</v>
      </c>
      <c r="Q311" s="1" t="s">
        <v>734</v>
      </c>
      <c r="R311" s="1">
        <v>0.0</v>
      </c>
      <c r="S311" s="1"/>
    </row>
    <row r="312" ht="15.75" customHeight="1">
      <c r="A312" s="1" t="s">
        <v>788</v>
      </c>
      <c r="B312" s="1" t="s">
        <v>789</v>
      </c>
      <c r="C312" s="1" t="s">
        <v>790</v>
      </c>
      <c r="E312" s="1">
        <v>22.9524494</v>
      </c>
      <c r="F312" s="1">
        <v>76.03754780000001</v>
      </c>
      <c r="G312" s="1" t="s">
        <v>54</v>
      </c>
      <c r="H312" s="1" t="s">
        <v>55</v>
      </c>
      <c r="J312" s="1" t="s">
        <v>56</v>
      </c>
      <c r="K312" s="1" t="s">
        <v>26</v>
      </c>
      <c r="L312" s="1" t="s">
        <v>27</v>
      </c>
      <c r="N312" s="1" t="s">
        <v>732</v>
      </c>
      <c r="O312" s="1" t="s">
        <v>29</v>
      </c>
      <c r="P312" s="1" t="s">
        <v>754</v>
      </c>
      <c r="Q312" s="1" t="s">
        <v>755</v>
      </c>
      <c r="R312" s="1">
        <v>0.0</v>
      </c>
      <c r="S312" s="1"/>
    </row>
    <row r="313" ht="15.75" customHeight="1">
      <c r="A313" s="1" t="s">
        <v>791</v>
      </c>
      <c r="B313" s="1" t="s">
        <v>792</v>
      </c>
      <c r="C313" s="1" t="s">
        <v>758</v>
      </c>
      <c r="E313" s="1">
        <v>23.1769698</v>
      </c>
      <c r="F313" s="1">
        <v>77.417751</v>
      </c>
      <c r="G313" s="1" t="s">
        <v>54</v>
      </c>
      <c r="H313" s="1" t="s">
        <v>55</v>
      </c>
      <c r="J313" s="1" t="s">
        <v>56</v>
      </c>
      <c r="K313" s="1" t="s">
        <v>26</v>
      </c>
      <c r="L313" s="1" t="s">
        <v>27</v>
      </c>
      <c r="N313" s="1" t="s">
        <v>732</v>
      </c>
      <c r="O313" s="1" t="s">
        <v>57</v>
      </c>
      <c r="P313" s="1" t="s">
        <v>738</v>
      </c>
      <c r="Q313" s="1" t="s">
        <v>739</v>
      </c>
      <c r="R313" s="1">
        <v>0.0</v>
      </c>
      <c r="S313" s="1"/>
    </row>
    <row r="314" ht="15.75" customHeight="1">
      <c r="A314" s="1" t="s">
        <v>793</v>
      </c>
      <c r="B314" s="1" t="s">
        <v>794</v>
      </c>
      <c r="C314" s="1" t="s">
        <v>737</v>
      </c>
      <c r="E314" s="1">
        <v>22.7458776</v>
      </c>
      <c r="F314" s="1">
        <v>75.9349721</v>
      </c>
      <c r="G314" s="1" t="s">
        <v>54</v>
      </c>
      <c r="H314" s="1" t="s">
        <v>55</v>
      </c>
      <c r="J314" s="1" t="s">
        <v>56</v>
      </c>
      <c r="K314" s="1" t="s">
        <v>26</v>
      </c>
      <c r="L314" s="1" t="s">
        <v>27</v>
      </c>
      <c r="N314" s="1" t="s">
        <v>732</v>
      </c>
      <c r="O314" s="1" t="s">
        <v>57</v>
      </c>
      <c r="P314" s="1" t="s">
        <v>738</v>
      </c>
      <c r="Q314" s="1" t="s">
        <v>739</v>
      </c>
      <c r="R314" s="1">
        <v>3.0</v>
      </c>
      <c r="S314" s="1"/>
    </row>
    <row r="315" ht="15.75" customHeight="1">
      <c r="A315" s="1" t="s">
        <v>795</v>
      </c>
      <c r="B315" s="1" t="s">
        <v>796</v>
      </c>
      <c r="C315" s="1" t="s">
        <v>797</v>
      </c>
      <c r="E315" s="1">
        <v>23.333213</v>
      </c>
      <c r="F315" s="1">
        <v>75.0450311</v>
      </c>
      <c r="G315" s="1" t="s">
        <v>54</v>
      </c>
      <c r="H315" s="1" t="s">
        <v>55</v>
      </c>
      <c r="J315" s="1" t="s">
        <v>56</v>
      </c>
      <c r="K315" s="1" t="s">
        <v>26</v>
      </c>
      <c r="L315" s="1" t="s">
        <v>27</v>
      </c>
      <c r="N315" s="1" t="s">
        <v>732</v>
      </c>
      <c r="O315" s="1" t="s">
        <v>57</v>
      </c>
      <c r="P315" s="1" t="s">
        <v>733</v>
      </c>
      <c r="Q315" s="1" t="s">
        <v>734</v>
      </c>
      <c r="R315" s="1">
        <v>0.0</v>
      </c>
      <c r="S315" s="1"/>
    </row>
    <row r="316" ht="15.75" customHeight="1">
      <c r="A316" s="1" t="s">
        <v>798</v>
      </c>
      <c r="B316" s="1" t="s">
        <v>799</v>
      </c>
      <c r="C316" s="1" t="s">
        <v>758</v>
      </c>
      <c r="E316" s="1">
        <v>23.2325074</v>
      </c>
      <c r="F316" s="1">
        <v>77.42988199999999</v>
      </c>
      <c r="G316" s="1" t="s">
        <v>54</v>
      </c>
      <c r="H316" s="1" t="s">
        <v>55</v>
      </c>
      <c r="J316" s="1" t="s">
        <v>56</v>
      </c>
      <c r="K316" s="1" t="s">
        <v>26</v>
      </c>
      <c r="L316" s="1" t="s">
        <v>27</v>
      </c>
      <c r="N316" s="1" t="s">
        <v>732</v>
      </c>
      <c r="O316" s="1" t="s">
        <v>29</v>
      </c>
      <c r="P316" s="1" t="s">
        <v>738</v>
      </c>
      <c r="Q316" s="1" t="s">
        <v>739</v>
      </c>
      <c r="R316" s="1">
        <v>2.0</v>
      </c>
      <c r="S316" s="1"/>
    </row>
    <row r="317" ht="15.75" customHeight="1">
      <c r="A317" s="1" t="s">
        <v>800</v>
      </c>
      <c r="B317" s="1" t="s">
        <v>801</v>
      </c>
      <c r="C317" s="1" t="s">
        <v>746</v>
      </c>
      <c r="E317" s="1">
        <v>25.3598637</v>
      </c>
      <c r="F317" s="1">
        <v>82.957421</v>
      </c>
      <c r="G317" s="1" t="s">
        <v>54</v>
      </c>
      <c r="H317" s="1" t="s">
        <v>55</v>
      </c>
      <c r="J317" s="1" t="s">
        <v>56</v>
      </c>
      <c r="K317" s="1" t="s">
        <v>26</v>
      </c>
      <c r="L317" s="1" t="s">
        <v>27</v>
      </c>
      <c r="N317" s="1" t="s">
        <v>28</v>
      </c>
      <c r="O317" s="1" t="s">
        <v>57</v>
      </c>
      <c r="P317" s="1" t="s">
        <v>747</v>
      </c>
      <c r="Q317" s="1" t="s">
        <v>748</v>
      </c>
      <c r="R317" s="1">
        <v>0.0</v>
      </c>
      <c r="S317" s="1"/>
    </row>
    <row r="318" ht="15.75" customHeight="1">
      <c r="A318" s="1" t="s">
        <v>802</v>
      </c>
      <c r="B318" s="1" t="s">
        <v>803</v>
      </c>
      <c r="C318" s="1" t="s">
        <v>758</v>
      </c>
      <c r="E318" s="1">
        <v>23.2157596</v>
      </c>
      <c r="F318" s="1">
        <v>77.435841</v>
      </c>
      <c r="G318" s="1" t="s">
        <v>54</v>
      </c>
      <c r="H318" s="1" t="s">
        <v>55</v>
      </c>
      <c r="J318" s="1" t="s">
        <v>56</v>
      </c>
      <c r="K318" s="1" t="s">
        <v>26</v>
      </c>
      <c r="L318" s="1" t="s">
        <v>27</v>
      </c>
      <c r="N318" s="1" t="s">
        <v>732</v>
      </c>
      <c r="O318" s="1" t="s">
        <v>57</v>
      </c>
      <c r="P318" s="1" t="s">
        <v>738</v>
      </c>
      <c r="Q318" s="1" t="s">
        <v>739</v>
      </c>
      <c r="R318" s="1">
        <v>2.0</v>
      </c>
      <c r="S318" s="1"/>
    </row>
    <row r="319" ht="15.75" customHeight="1">
      <c r="A319" s="1" t="s">
        <v>804</v>
      </c>
      <c r="B319" s="1" t="s">
        <v>805</v>
      </c>
      <c r="C319" s="1" t="s">
        <v>806</v>
      </c>
      <c r="E319" s="1">
        <v>25.7338881</v>
      </c>
      <c r="F319" s="1">
        <v>82.68298419999999</v>
      </c>
      <c r="G319" s="1" t="s">
        <v>54</v>
      </c>
      <c r="H319" s="1" t="s">
        <v>55</v>
      </c>
      <c r="J319" s="1" t="s">
        <v>56</v>
      </c>
      <c r="K319" s="1" t="s">
        <v>26</v>
      </c>
      <c r="L319" s="1" t="s">
        <v>27</v>
      </c>
      <c r="N319" s="1" t="s">
        <v>28</v>
      </c>
      <c r="O319" s="1" t="s">
        <v>57</v>
      </c>
      <c r="P319" s="1" t="s">
        <v>733</v>
      </c>
      <c r="Q319" s="1" t="s">
        <v>734</v>
      </c>
      <c r="R319" s="1">
        <v>0.0</v>
      </c>
      <c r="S319" s="1"/>
    </row>
    <row r="320" ht="15.75" customHeight="1">
      <c r="A320" s="1" t="s">
        <v>807</v>
      </c>
      <c r="B320" s="1" t="s">
        <v>808</v>
      </c>
      <c r="C320" s="1" t="s">
        <v>809</v>
      </c>
      <c r="E320" s="1">
        <v>23.8327128</v>
      </c>
      <c r="F320" s="1">
        <v>79.4319213</v>
      </c>
      <c r="G320" s="1" t="s">
        <v>54</v>
      </c>
      <c r="H320" s="1" t="s">
        <v>55</v>
      </c>
      <c r="J320" s="1" t="s">
        <v>56</v>
      </c>
      <c r="K320" s="1" t="s">
        <v>26</v>
      </c>
      <c r="L320" s="1" t="s">
        <v>27</v>
      </c>
      <c r="N320" s="1" t="s">
        <v>732</v>
      </c>
      <c r="O320" s="1" t="s">
        <v>57</v>
      </c>
      <c r="P320" s="1" t="s">
        <v>733</v>
      </c>
      <c r="Q320" s="1" t="s">
        <v>734</v>
      </c>
      <c r="R320" s="1">
        <v>0.0</v>
      </c>
      <c r="S320" s="1"/>
    </row>
    <row r="321" ht="15.75" customHeight="1">
      <c r="A321" s="1" t="s">
        <v>810</v>
      </c>
      <c r="B321" s="1" t="s">
        <v>811</v>
      </c>
      <c r="C321" s="1" t="s">
        <v>812</v>
      </c>
      <c r="E321" s="1">
        <v>24.6368891</v>
      </c>
      <c r="F321" s="1">
        <v>77.2954185</v>
      </c>
      <c r="G321" s="1" t="s">
        <v>54</v>
      </c>
      <c r="H321" s="1" t="s">
        <v>55</v>
      </c>
      <c r="J321" s="1" t="s">
        <v>56</v>
      </c>
      <c r="K321" s="1" t="s">
        <v>26</v>
      </c>
      <c r="L321" s="1" t="s">
        <v>27</v>
      </c>
      <c r="N321" s="1" t="s">
        <v>732</v>
      </c>
      <c r="O321" s="1" t="s">
        <v>57</v>
      </c>
      <c r="P321" s="1" t="s">
        <v>733</v>
      </c>
      <c r="Q321" s="1" t="s">
        <v>734</v>
      </c>
      <c r="R321" s="1">
        <v>0.0</v>
      </c>
      <c r="S321" s="1"/>
    </row>
    <row r="322" ht="15.75" customHeight="1">
      <c r="A322" s="1" t="s">
        <v>813</v>
      </c>
      <c r="B322" s="1" t="s">
        <v>814</v>
      </c>
      <c r="C322" s="1" t="s">
        <v>815</v>
      </c>
      <c r="E322" s="1">
        <v>24.5438384</v>
      </c>
      <c r="F322" s="1">
        <v>81.3062111</v>
      </c>
      <c r="G322" s="1" t="s">
        <v>54</v>
      </c>
      <c r="H322" s="1" t="s">
        <v>55</v>
      </c>
      <c r="J322" s="1" t="s">
        <v>56</v>
      </c>
      <c r="K322" s="1" t="s">
        <v>26</v>
      </c>
      <c r="L322" s="1" t="s">
        <v>27</v>
      </c>
      <c r="N322" s="1" t="s">
        <v>732</v>
      </c>
      <c r="O322" s="1" t="s">
        <v>57</v>
      </c>
      <c r="P322" s="1" t="s">
        <v>733</v>
      </c>
      <c r="Q322" s="1" t="s">
        <v>734</v>
      </c>
      <c r="R322" s="1">
        <v>0.0</v>
      </c>
      <c r="S322" s="1"/>
    </row>
    <row r="323" ht="15.75" customHeight="1">
      <c r="A323" s="1" t="s">
        <v>816</v>
      </c>
      <c r="B323" s="1" t="s">
        <v>817</v>
      </c>
      <c r="C323" s="1" t="s">
        <v>737</v>
      </c>
      <c r="E323" s="1">
        <v>22.7004784</v>
      </c>
      <c r="F323" s="1">
        <v>75.8371757</v>
      </c>
      <c r="G323" s="1" t="s">
        <v>54</v>
      </c>
      <c r="H323" s="1" t="s">
        <v>55</v>
      </c>
      <c r="J323" s="1" t="s">
        <v>221</v>
      </c>
      <c r="K323" s="1" t="s">
        <v>26</v>
      </c>
      <c r="L323" s="1" t="s">
        <v>27</v>
      </c>
      <c r="N323" s="1" t="s">
        <v>732</v>
      </c>
      <c r="O323" s="1" t="s">
        <v>57</v>
      </c>
      <c r="P323" s="1" t="s">
        <v>738</v>
      </c>
      <c r="Q323" s="1" t="s">
        <v>739</v>
      </c>
      <c r="R323" s="1">
        <v>15.0</v>
      </c>
      <c r="S323" s="1"/>
    </row>
    <row r="324" ht="15.75" customHeight="1">
      <c r="A324" s="1" t="s">
        <v>818</v>
      </c>
      <c r="B324" s="1" t="s">
        <v>819</v>
      </c>
      <c r="C324" s="1" t="s">
        <v>758</v>
      </c>
      <c r="E324" s="1">
        <v>23.2505059</v>
      </c>
      <c r="F324" s="1">
        <v>77.4647565</v>
      </c>
      <c r="G324" s="1" t="s">
        <v>54</v>
      </c>
      <c r="H324" s="1" t="s">
        <v>55</v>
      </c>
      <c r="J324" s="1" t="s">
        <v>56</v>
      </c>
      <c r="K324" s="1" t="s">
        <v>26</v>
      </c>
      <c r="L324" s="1" t="s">
        <v>27</v>
      </c>
      <c r="N324" s="1" t="s">
        <v>732</v>
      </c>
      <c r="O324" s="1" t="s">
        <v>57</v>
      </c>
      <c r="P324" s="1" t="s">
        <v>738</v>
      </c>
      <c r="Q324" s="1" t="s">
        <v>739</v>
      </c>
      <c r="R324" s="1">
        <v>2.0</v>
      </c>
      <c r="S324" s="1"/>
    </row>
    <row r="325" ht="15.75" customHeight="1">
      <c r="A325" s="1" t="s">
        <v>820</v>
      </c>
      <c r="B325" s="1" t="s">
        <v>821</v>
      </c>
      <c r="C325" s="1" t="s">
        <v>822</v>
      </c>
      <c r="E325" s="1">
        <v>22.7545025</v>
      </c>
      <c r="F325" s="1">
        <v>77.73236899999999</v>
      </c>
      <c r="G325" s="1" t="s">
        <v>54</v>
      </c>
      <c r="H325" s="1" t="s">
        <v>55</v>
      </c>
      <c r="J325" s="1" t="s">
        <v>56</v>
      </c>
      <c r="K325" s="1" t="s">
        <v>26</v>
      </c>
      <c r="L325" s="1" t="s">
        <v>27</v>
      </c>
      <c r="N325" s="1" t="s">
        <v>732</v>
      </c>
      <c r="O325" s="1" t="s">
        <v>57</v>
      </c>
      <c r="P325" s="1" t="s">
        <v>733</v>
      </c>
      <c r="Q325" s="1" t="s">
        <v>734</v>
      </c>
      <c r="R325" s="1">
        <v>0.0</v>
      </c>
      <c r="S325" s="1"/>
    </row>
    <row r="326" ht="15.75" customHeight="1">
      <c r="A326" s="1" t="s">
        <v>823</v>
      </c>
      <c r="B326" s="1" t="s">
        <v>824</v>
      </c>
      <c r="C326" s="1" t="s">
        <v>758</v>
      </c>
      <c r="E326" s="1">
        <v>23.3020311</v>
      </c>
      <c r="F326" s="1">
        <v>77.424361</v>
      </c>
      <c r="G326" s="1" t="s">
        <v>54</v>
      </c>
      <c r="H326" s="1" t="s">
        <v>55</v>
      </c>
      <c r="J326" s="1" t="s">
        <v>56</v>
      </c>
      <c r="K326" s="1" t="s">
        <v>26</v>
      </c>
      <c r="L326" s="1" t="s">
        <v>27</v>
      </c>
      <c r="N326" s="1" t="s">
        <v>732</v>
      </c>
      <c r="O326" s="1" t="s">
        <v>57</v>
      </c>
      <c r="P326" s="1" t="s">
        <v>738</v>
      </c>
      <c r="Q326" s="1" t="s">
        <v>739</v>
      </c>
      <c r="R326" s="1">
        <v>2.0</v>
      </c>
      <c r="S326" s="1"/>
    </row>
    <row r="327" ht="15.75" customHeight="1">
      <c r="A327" s="1" t="s">
        <v>825</v>
      </c>
      <c r="B327" s="1" t="s">
        <v>826</v>
      </c>
      <c r="C327" s="1" t="s">
        <v>758</v>
      </c>
      <c r="E327" s="1">
        <v>23.2396069</v>
      </c>
      <c r="F327" s="1">
        <v>77.404247</v>
      </c>
      <c r="G327" s="1" t="s">
        <v>54</v>
      </c>
      <c r="H327" s="1" t="s">
        <v>55</v>
      </c>
      <c r="J327" s="1" t="s">
        <v>221</v>
      </c>
      <c r="K327" s="1" t="s">
        <v>26</v>
      </c>
      <c r="L327" s="1" t="s">
        <v>27</v>
      </c>
      <c r="N327" s="1" t="s">
        <v>732</v>
      </c>
      <c r="O327" s="1" t="s">
        <v>57</v>
      </c>
      <c r="P327" s="1" t="s">
        <v>738</v>
      </c>
      <c r="Q327" s="1" t="s">
        <v>739</v>
      </c>
      <c r="R327" s="1">
        <v>0.0</v>
      </c>
      <c r="S327" s="1"/>
    </row>
    <row r="328" ht="15.75" customHeight="1">
      <c r="A328" s="1" t="s">
        <v>827</v>
      </c>
      <c r="B328" s="1" t="s">
        <v>828</v>
      </c>
      <c r="C328" s="1" t="s">
        <v>829</v>
      </c>
      <c r="E328" s="1">
        <v>23.5198345</v>
      </c>
      <c r="F328" s="1">
        <v>77.8003951</v>
      </c>
      <c r="G328" s="1" t="s">
        <v>54</v>
      </c>
      <c r="H328" s="1" t="s">
        <v>55</v>
      </c>
      <c r="J328" s="1" t="s">
        <v>221</v>
      </c>
      <c r="K328" s="1" t="s">
        <v>26</v>
      </c>
      <c r="L328" s="1" t="s">
        <v>27</v>
      </c>
      <c r="N328" s="1" t="s">
        <v>732</v>
      </c>
      <c r="O328" s="1" t="s">
        <v>57</v>
      </c>
      <c r="P328" s="1" t="s">
        <v>733</v>
      </c>
      <c r="Q328" s="1" t="s">
        <v>734</v>
      </c>
      <c r="R328" s="1">
        <v>0.0</v>
      </c>
      <c r="S328" s="1"/>
    </row>
    <row r="329" ht="15.75" customHeight="1">
      <c r="A329" s="1" t="s">
        <v>830</v>
      </c>
      <c r="B329" s="1" t="s">
        <v>831</v>
      </c>
      <c r="C329" s="1" t="s">
        <v>832</v>
      </c>
      <c r="E329" s="1">
        <v>24.4662993</v>
      </c>
      <c r="F329" s="1">
        <v>74.8697746</v>
      </c>
      <c r="G329" s="1" t="s">
        <v>54</v>
      </c>
      <c r="H329" s="1" t="s">
        <v>55</v>
      </c>
      <c r="J329" s="1" t="s">
        <v>221</v>
      </c>
      <c r="K329" s="1" t="s">
        <v>26</v>
      </c>
      <c r="L329" s="1" t="s">
        <v>27</v>
      </c>
      <c r="N329" s="1" t="s">
        <v>732</v>
      </c>
      <c r="O329" s="1" t="s">
        <v>57</v>
      </c>
      <c r="P329" s="1" t="s">
        <v>733</v>
      </c>
      <c r="Q329" s="1" t="s">
        <v>734</v>
      </c>
      <c r="R329" s="1">
        <v>0.0</v>
      </c>
      <c r="S329" s="1"/>
    </row>
    <row r="330" ht="15.75" customHeight="1">
      <c r="A330" s="1" t="s">
        <v>833</v>
      </c>
      <c r="B330" s="1" t="s">
        <v>834</v>
      </c>
      <c r="C330" s="1" t="s">
        <v>835</v>
      </c>
      <c r="E330" s="1">
        <v>24.9176778</v>
      </c>
      <c r="F330" s="1">
        <v>79.5898303</v>
      </c>
      <c r="G330" s="1" t="s">
        <v>54</v>
      </c>
      <c r="H330" s="1" t="s">
        <v>55</v>
      </c>
      <c r="J330" s="1" t="s">
        <v>56</v>
      </c>
      <c r="K330" s="1" t="s">
        <v>26</v>
      </c>
      <c r="L330" s="1" t="s">
        <v>27</v>
      </c>
      <c r="N330" s="1" t="s">
        <v>732</v>
      </c>
      <c r="O330" s="1" t="s">
        <v>57</v>
      </c>
      <c r="P330" s="1" t="s">
        <v>733</v>
      </c>
      <c r="Q330" s="1" t="s">
        <v>734</v>
      </c>
      <c r="R330" s="1">
        <v>0.0</v>
      </c>
      <c r="S330" s="1"/>
    </row>
    <row r="331" ht="15.75" customHeight="1">
      <c r="A331" s="1" t="s">
        <v>836</v>
      </c>
      <c r="B331" s="1" t="s">
        <v>837</v>
      </c>
      <c r="C331" s="1" t="s">
        <v>737</v>
      </c>
      <c r="E331" s="1">
        <v>21.8263417</v>
      </c>
      <c r="F331" s="1">
        <v>76.3307459</v>
      </c>
      <c r="G331" s="1" t="s">
        <v>54</v>
      </c>
      <c r="H331" s="1" t="s">
        <v>55</v>
      </c>
      <c r="J331" s="1" t="s">
        <v>56</v>
      </c>
      <c r="K331" s="1" t="s">
        <v>26</v>
      </c>
      <c r="L331" s="1" t="s">
        <v>27</v>
      </c>
      <c r="N331" s="1" t="s">
        <v>732</v>
      </c>
      <c r="O331" s="1" t="s">
        <v>57</v>
      </c>
      <c r="P331" s="1" t="s">
        <v>754</v>
      </c>
      <c r="Q331" s="1" t="s">
        <v>755</v>
      </c>
      <c r="R331" s="1">
        <v>0.0</v>
      </c>
      <c r="S331" s="1"/>
    </row>
    <row r="332" ht="15.75" customHeight="1">
      <c r="A332" s="1" t="s">
        <v>838</v>
      </c>
      <c r="B332" s="1" t="s">
        <v>839</v>
      </c>
      <c r="C332" s="1" t="s">
        <v>174</v>
      </c>
      <c r="E332" s="1">
        <v>28.522731</v>
      </c>
      <c r="F332" s="1">
        <v>77.2070765</v>
      </c>
      <c r="G332" s="1" t="s">
        <v>54</v>
      </c>
      <c r="H332" s="1" t="s">
        <v>55</v>
      </c>
      <c r="J332" s="1" t="s">
        <v>25</v>
      </c>
      <c r="K332" s="1" t="s">
        <v>26</v>
      </c>
      <c r="L332" s="1" t="s">
        <v>27</v>
      </c>
      <c r="N332" s="1" t="s">
        <v>174</v>
      </c>
      <c r="O332" s="1" t="s">
        <v>29</v>
      </c>
      <c r="P332" s="1" t="s">
        <v>451</v>
      </c>
      <c r="Q332" s="1" t="s">
        <v>452</v>
      </c>
      <c r="R332" s="1">
        <v>10.0</v>
      </c>
      <c r="S332" s="1"/>
    </row>
    <row r="333" ht="15.75" customHeight="1">
      <c r="A333" s="1" t="s">
        <v>840</v>
      </c>
      <c r="B333" s="1" t="s">
        <v>841</v>
      </c>
      <c r="C333" s="1" t="s">
        <v>174</v>
      </c>
      <c r="E333" s="1">
        <v>28.6011995</v>
      </c>
      <c r="F333" s="1">
        <v>77.0300871</v>
      </c>
      <c r="G333" s="1" t="s">
        <v>54</v>
      </c>
      <c r="H333" s="1" t="s">
        <v>55</v>
      </c>
      <c r="J333" s="1" t="s">
        <v>25</v>
      </c>
      <c r="K333" s="1" t="s">
        <v>26</v>
      </c>
      <c r="L333" s="1" t="s">
        <v>27</v>
      </c>
      <c r="N333" s="1" t="s">
        <v>174</v>
      </c>
      <c r="O333" s="1" t="s">
        <v>29</v>
      </c>
      <c r="P333" s="1" t="s">
        <v>276</v>
      </c>
      <c r="Q333" s="1" t="s">
        <v>277</v>
      </c>
      <c r="R333" s="1">
        <v>9.0</v>
      </c>
      <c r="S333" s="1"/>
    </row>
    <row r="334" ht="15.75" customHeight="1">
      <c r="A334" s="1" t="s">
        <v>842</v>
      </c>
      <c r="B334" s="1" t="s">
        <v>843</v>
      </c>
      <c r="C334" s="1" t="s">
        <v>174</v>
      </c>
      <c r="E334" s="1">
        <v>28.5406918</v>
      </c>
      <c r="F334" s="1">
        <v>77.1546201</v>
      </c>
      <c r="G334" s="1" t="s">
        <v>54</v>
      </c>
      <c r="H334" s="1" t="s">
        <v>55</v>
      </c>
      <c r="J334" s="1" t="s">
        <v>44</v>
      </c>
      <c r="K334" s="1" t="s">
        <v>26</v>
      </c>
      <c r="L334" s="1" t="s">
        <v>27</v>
      </c>
      <c r="N334" s="1" t="s">
        <v>174</v>
      </c>
      <c r="O334" s="1" t="s">
        <v>29</v>
      </c>
      <c r="P334" s="1" t="s">
        <v>276</v>
      </c>
      <c r="Q334" s="1" t="s">
        <v>277</v>
      </c>
      <c r="R334" s="1">
        <v>6.0</v>
      </c>
      <c r="S334" s="1"/>
    </row>
    <row r="335" ht="15.75" customHeight="1">
      <c r="A335" s="1" t="s">
        <v>844</v>
      </c>
      <c r="B335" s="1" t="s">
        <v>845</v>
      </c>
      <c r="C335" s="1" t="s">
        <v>174</v>
      </c>
      <c r="E335" s="1">
        <v>28.6423902</v>
      </c>
      <c r="F335" s="1">
        <v>77.1063633</v>
      </c>
      <c r="G335" s="1" t="s">
        <v>54</v>
      </c>
      <c r="H335" s="1" t="s">
        <v>55</v>
      </c>
      <c r="J335" s="1" t="s">
        <v>118</v>
      </c>
      <c r="K335" s="1" t="s">
        <v>26</v>
      </c>
      <c r="L335" s="1" t="s">
        <v>27</v>
      </c>
      <c r="N335" s="1" t="s">
        <v>174</v>
      </c>
      <c r="O335" s="1" t="s">
        <v>57</v>
      </c>
      <c r="P335" s="1" t="s">
        <v>276</v>
      </c>
      <c r="Q335" s="1" t="s">
        <v>277</v>
      </c>
      <c r="R335" s="1">
        <v>10.0</v>
      </c>
      <c r="S335" s="1"/>
    </row>
    <row r="336" ht="15.75" customHeight="1">
      <c r="A336" s="1" t="s">
        <v>846</v>
      </c>
      <c r="B336" s="1" t="s">
        <v>847</v>
      </c>
      <c r="C336" s="1" t="s">
        <v>848</v>
      </c>
      <c r="E336" s="1">
        <v>26.8543135</v>
      </c>
      <c r="F336" s="1">
        <v>75.8053919</v>
      </c>
      <c r="G336" s="1" t="s">
        <v>54</v>
      </c>
      <c r="H336" s="1" t="s">
        <v>55</v>
      </c>
      <c r="J336" s="1" t="s">
        <v>56</v>
      </c>
      <c r="K336" s="1" t="s">
        <v>26</v>
      </c>
      <c r="L336" s="1" t="s">
        <v>27</v>
      </c>
      <c r="N336" s="1" t="s">
        <v>849</v>
      </c>
      <c r="O336" s="1" t="s">
        <v>57</v>
      </c>
      <c r="P336" s="1" t="s">
        <v>850</v>
      </c>
      <c r="Q336" s="1" t="s">
        <v>851</v>
      </c>
      <c r="R336" s="1">
        <v>1.0</v>
      </c>
      <c r="S336" s="1"/>
    </row>
    <row r="337" ht="15.75" customHeight="1">
      <c r="A337" s="1" t="s">
        <v>852</v>
      </c>
      <c r="B337" s="1" t="s">
        <v>853</v>
      </c>
      <c r="C337" s="1" t="s">
        <v>848</v>
      </c>
      <c r="E337" s="1">
        <v>26.8021419</v>
      </c>
      <c r="F337" s="1">
        <v>75.857446</v>
      </c>
      <c r="G337" s="1" t="s">
        <v>54</v>
      </c>
      <c r="H337" s="1" t="s">
        <v>55</v>
      </c>
      <c r="J337" s="1" t="s">
        <v>56</v>
      </c>
      <c r="K337" s="1" t="s">
        <v>26</v>
      </c>
      <c r="L337" s="1" t="s">
        <v>27</v>
      </c>
      <c r="N337" s="1" t="s">
        <v>849</v>
      </c>
      <c r="O337" s="1" t="s">
        <v>57</v>
      </c>
      <c r="P337" s="1" t="s">
        <v>850</v>
      </c>
      <c r="Q337" s="1" t="s">
        <v>851</v>
      </c>
      <c r="R337" s="1">
        <v>1.0</v>
      </c>
      <c r="S337" s="1"/>
    </row>
    <row r="338" ht="15.75" customHeight="1">
      <c r="A338" s="1" t="s">
        <v>854</v>
      </c>
      <c r="B338" s="1" t="s">
        <v>855</v>
      </c>
      <c r="C338" s="1" t="s">
        <v>174</v>
      </c>
      <c r="E338" s="1">
        <v>28.6240207</v>
      </c>
      <c r="F338" s="1">
        <v>77.0627512</v>
      </c>
      <c r="G338" s="1" t="s">
        <v>54</v>
      </c>
      <c r="H338" s="1" t="s">
        <v>55</v>
      </c>
      <c r="J338" s="1" t="s">
        <v>56</v>
      </c>
      <c r="K338" s="1" t="s">
        <v>26</v>
      </c>
      <c r="L338" s="1" t="s">
        <v>27</v>
      </c>
      <c r="N338" s="1" t="s">
        <v>174</v>
      </c>
      <c r="O338" s="1" t="s">
        <v>57</v>
      </c>
      <c r="P338" s="1" t="s">
        <v>276</v>
      </c>
      <c r="Q338" s="1" t="s">
        <v>277</v>
      </c>
      <c r="R338" s="1">
        <v>12.0</v>
      </c>
      <c r="S338" s="1"/>
    </row>
    <row r="339" ht="15.75" customHeight="1">
      <c r="A339" s="1" t="s">
        <v>856</v>
      </c>
      <c r="B339" s="1" t="s">
        <v>857</v>
      </c>
      <c r="C339" s="1" t="s">
        <v>174</v>
      </c>
      <c r="E339" s="1">
        <v>28.5684282</v>
      </c>
      <c r="F339" s="1">
        <v>77.2177086</v>
      </c>
      <c r="G339" s="1" t="s">
        <v>54</v>
      </c>
      <c r="H339" s="1" t="s">
        <v>55</v>
      </c>
      <c r="J339" s="1" t="s">
        <v>44</v>
      </c>
      <c r="K339" s="1" t="s">
        <v>26</v>
      </c>
      <c r="L339" s="1" t="s">
        <v>27</v>
      </c>
      <c r="N339" s="1" t="s">
        <v>174</v>
      </c>
      <c r="O339" s="1" t="s">
        <v>29</v>
      </c>
      <c r="P339" s="1" t="s">
        <v>175</v>
      </c>
      <c r="Q339" s="1" t="s">
        <v>176</v>
      </c>
      <c r="R339" s="1">
        <v>9.0</v>
      </c>
      <c r="S339" s="1"/>
    </row>
    <row r="340" ht="15.75" customHeight="1">
      <c r="A340" s="1" t="s">
        <v>858</v>
      </c>
      <c r="B340" s="1" t="s">
        <v>859</v>
      </c>
      <c r="C340" s="1" t="s">
        <v>174</v>
      </c>
      <c r="E340" s="1">
        <v>28.5298625</v>
      </c>
      <c r="F340" s="1">
        <v>77.2187302</v>
      </c>
      <c r="G340" s="1" t="s">
        <v>54</v>
      </c>
      <c r="H340" s="1" t="s">
        <v>55</v>
      </c>
      <c r="J340" s="1" t="s">
        <v>44</v>
      </c>
      <c r="K340" s="1" t="s">
        <v>26</v>
      </c>
      <c r="L340" s="1" t="s">
        <v>27</v>
      </c>
      <c r="N340" s="1" t="s">
        <v>174</v>
      </c>
      <c r="O340" s="1" t="s">
        <v>29</v>
      </c>
      <c r="P340" s="1" t="s">
        <v>175</v>
      </c>
      <c r="Q340" s="1" t="s">
        <v>176</v>
      </c>
      <c r="R340" s="1">
        <v>7.0</v>
      </c>
      <c r="S340" s="1"/>
    </row>
    <row r="341" ht="15.75" customHeight="1">
      <c r="A341" s="1" t="s">
        <v>860</v>
      </c>
      <c r="B341" s="1" t="s">
        <v>861</v>
      </c>
      <c r="C341" s="1" t="s">
        <v>174</v>
      </c>
      <c r="E341" s="1">
        <v>28.6457333</v>
      </c>
      <c r="F341" s="1">
        <v>77.1262126</v>
      </c>
      <c r="G341" s="1" t="s">
        <v>54</v>
      </c>
      <c r="H341" s="1" t="s">
        <v>55</v>
      </c>
      <c r="J341" s="1" t="s">
        <v>44</v>
      </c>
      <c r="K341" s="1" t="s">
        <v>26</v>
      </c>
      <c r="L341" s="1" t="s">
        <v>27</v>
      </c>
      <c r="N341" s="1" t="s">
        <v>174</v>
      </c>
      <c r="O341" s="1" t="s">
        <v>29</v>
      </c>
      <c r="P341" s="1" t="s">
        <v>276</v>
      </c>
      <c r="Q341" s="1" t="s">
        <v>277</v>
      </c>
      <c r="R341" s="1">
        <v>10.0</v>
      </c>
      <c r="S341" s="1"/>
    </row>
    <row r="342" ht="15.75" customHeight="1">
      <c r="A342" s="1" t="s">
        <v>862</v>
      </c>
      <c r="B342" s="1" t="s">
        <v>863</v>
      </c>
      <c r="C342" s="1" t="s">
        <v>174</v>
      </c>
      <c r="E342" s="1">
        <v>28.6829953</v>
      </c>
      <c r="F342" s="1">
        <v>77.20542859999999</v>
      </c>
      <c r="G342" s="1" t="s">
        <v>54</v>
      </c>
      <c r="H342" s="1" t="s">
        <v>55</v>
      </c>
      <c r="J342" s="1" t="s">
        <v>44</v>
      </c>
      <c r="K342" s="1" t="s">
        <v>26</v>
      </c>
      <c r="L342" s="1" t="s">
        <v>27</v>
      </c>
      <c r="N342" s="1" t="s">
        <v>174</v>
      </c>
      <c r="O342" s="1" t="s">
        <v>29</v>
      </c>
      <c r="P342" s="1" t="s">
        <v>175</v>
      </c>
      <c r="Q342" s="1" t="s">
        <v>176</v>
      </c>
      <c r="R342" s="1">
        <v>8.0</v>
      </c>
      <c r="S342" s="1"/>
    </row>
    <row r="343" ht="15.75" customHeight="1">
      <c r="A343" s="1" t="s">
        <v>864</v>
      </c>
      <c r="B343" s="1" t="s">
        <v>865</v>
      </c>
      <c r="C343" s="1" t="s">
        <v>174</v>
      </c>
      <c r="E343" s="1">
        <v>28.6286926</v>
      </c>
      <c r="F343" s="1">
        <v>77.07620059999999</v>
      </c>
      <c r="G343" s="1" t="s">
        <v>54</v>
      </c>
      <c r="H343" s="1" t="s">
        <v>55</v>
      </c>
      <c r="J343" s="1" t="s">
        <v>44</v>
      </c>
      <c r="K343" s="1" t="s">
        <v>26</v>
      </c>
      <c r="L343" s="1" t="s">
        <v>27</v>
      </c>
      <c r="N343" s="1" t="s">
        <v>174</v>
      </c>
      <c r="O343" s="1" t="s">
        <v>29</v>
      </c>
      <c r="P343" s="1" t="s">
        <v>175</v>
      </c>
      <c r="Q343" s="1" t="s">
        <v>176</v>
      </c>
      <c r="R343" s="1">
        <v>14.0</v>
      </c>
      <c r="S343" s="1"/>
    </row>
    <row r="344" ht="15.75" customHeight="1">
      <c r="A344" s="1" t="s">
        <v>866</v>
      </c>
      <c r="B344" s="1" t="s">
        <v>867</v>
      </c>
      <c r="C344" s="1" t="s">
        <v>174</v>
      </c>
      <c r="E344" s="1">
        <v>28.634153</v>
      </c>
      <c r="F344" s="1">
        <v>77.2213305</v>
      </c>
      <c r="G344" s="1" t="s">
        <v>54</v>
      </c>
      <c r="H344" s="1" t="s">
        <v>55</v>
      </c>
      <c r="J344" s="1" t="s">
        <v>44</v>
      </c>
      <c r="K344" s="1" t="s">
        <v>26</v>
      </c>
      <c r="L344" s="1" t="s">
        <v>27</v>
      </c>
      <c r="N344" s="1" t="s">
        <v>174</v>
      </c>
      <c r="O344" s="1" t="s">
        <v>29</v>
      </c>
      <c r="P344" s="1" t="s">
        <v>276</v>
      </c>
      <c r="Q344" s="1" t="s">
        <v>277</v>
      </c>
      <c r="R344" s="1">
        <v>9.0</v>
      </c>
      <c r="S344" s="1"/>
    </row>
    <row r="345" ht="15.75" customHeight="1">
      <c r="A345" s="1" t="s">
        <v>868</v>
      </c>
      <c r="B345" s="1" t="s">
        <v>869</v>
      </c>
      <c r="C345" s="1" t="s">
        <v>174</v>
      </c>
      <c r="E345" s="1">
        <v>28.5563716</v>
      </c>
      <c r="F345" s="1">
        <v>77.241393</v>
      </c>
      <c r="G345" s="1" t="s">
        <v>54</v>
      </c>
      <c r="H345" s="1" t="s">
        <v>55</v>
      </c>
      <c r="J345" s="1" t="s">
        <v>118</v>
      </c>
      <c r="K345" s="1" t="s">
        <v>26</v>
      </c>
      <c r="L345" s="1" t="s">
        <v>27</v>
      </c>
      <c r="N345" s="1" t="s">
        <v>174</v>
      </c>
      <c r="O345" s="1" t="s">
        <v>57</v>
      </c>
      <c r="P345" s="1" t="s">
        <v>870</v>
      </c>
      <c r="Q345" s="1" t="s">
        <v>871</v>
      </c>
      <c r="R345" s="1">
        <v>10.0</v>
      </c>
      <c r="S345" s="1"/>
    </row>
    <row r="346" ht="15.75" customHeight="1">
      <c r="A346" s="1" t="s">
        <v>872</v>
      </c>
      <c r="B346" s="1" t="s">
        <v>873</v>
      </c>
      <c r="C346" s="1" t="s">
        <v>174</v>
      </c>
      <c r="E346" s="1">
        <v>28.5969771</v>
      </c>
      <c r="F346" s="1">
        <v>77.04217489999999</v>
      </c>
      <c r="G346" s="1" t="s">
        <v>54</v>
      </c>
      <c r="H346" s="1" t="s">
        <v>55</v>
      </c>
      <c r="J346" s="1" t="s">
        <v>56</v>
      </c>
      <c r="K346" s="1" t="s">
        <v>26</v>
      </c>
      <c r="L346" s="1" t="s">
        <v>27</v>
      </c>
      <c r="N346" s="1" t="s">
        <v>174</v>
      </c>
      <c r="O346" s="1" t="s">
        <v>57</v>
      </c>
      <c r="P346" s="1" t="s">
        <v>276</v>
      </c>
      <c r="Q346" s="1" t="s">
        <v>277</v>
      </c>
      <c r="R346" s="1">
        <v>5.0</v>
      </c>
      <c r="S346" s="1"/>
    </row>
    <row r="347" ht="15.75" customHeight="1">
      <c r="A347" s="1" t="s">
        <v>874</v>
      </c>
      <c r="B347" s="1" t="s">
        <v>875</v>
      </c>
      <c r="C347" s="1" t="s">
        <v>174</v>
      </c>
      <c r="E347" s="1">
        <v>28.69503499999999</v>
      </c>
      <c r="F347" s="1">
        <v>77.2159382</v>
      </c>
      <c r="G347" s="1" t="s">
        <v>54</v>
      </c>
      <c r="H347" s="1" t="s">
        <v>55</v>
      </c>
      <c r="J347" s="1" t="s">
        <v>56</v>
      </c>
      <c r="K347" s="1" t="s">
        <v>26</v>
      </c>
      <c r="L347" s="1" t="s">
        <v>27</v>
      </c>
      <c r="N347" s="1" t="s">
        <v>174</v>
      </c>
      <c r="O347" s="1" t="s">
        <v>57</v>
      </c>
      <c r="P347" s="1" t="s">
        <v>276</v>
      </c>
      <c r="Q347" s="1" t="s">
        <v>277</v>
      </c>
      <c r="R347" s="1">
        <v>10.0</v>
      </c>
      <c r="S347" s="1"/>
    </row>
    <row r="348" ht="15.75" customHeight="1">
      <c r="A348" s="1" t="s">
        <v>876</v>
      </c>
      <c r="B348" s="1" t="s">
        <v>877</v>
      </c>
      <c r="C348" s="1" t="s">
        <v>174</v>
      </c>
      <c r="E348" s="1">
        <v>28.6437344</v>
      </c>
      <c r="F348" s="1">
        <v>77.1880268</v>
      </c>
      <c r="G348" s="1" t="s">
        <v>54</v>
      </c>
      <c r="H348" s="1" t="s">
        <v>55</v>
      </c>
      <c r="J348" s="1" t="s">
        <v>118</v>
      </c>
      <c r="K348" s="1" t="s">
        <v>26</v>
      </c>
      <c r="L348" s="1" t="s">
        <v>27</v>
      </c>
      <c r="N348" s="1" t="s">
        <v>174</v>
      </c>
      <c r="O348" s="1" t="s">
        <v>57</v>
      </c>
      <c r="P348" s="1" t="s">
        <v>175</v>
      </c>
      <c r="Q348" s="1" t="s">
        <v>176</v>
      </c>
      <c r="R348" s="1">
        <v>6.0</v>
      </c>
      <c r="S348" s="1"/>
    </row>
    <row r="349" ht="15.75" customHeight="1">
      <c r="A349" s="1" t="s">
        <v>878</v>
      </c>
      <c r="B349" s="1" t="s">
        <v>879</v>
      </c>
      <c r="C349" s="1" t="s">
        <v>848</v>
      </c>
      <c r="E349" s="1">
        <v>26.9153317</v>
      </c>
      <c r="F349" s="1">
        <v>75.74906419999999</v>
      </c>
      <c r="G349" s="1" t="s">
        <v>54</v>
      </c>
      <c r="H349" s="1" t="s">
        <v>55</v>
      </c>
      <c r="J349" s="1" t="s">
        <v>118</v>
      </c>
      <c r="K349" s="1" t="s">
        <v>26</v>
      </c>
      <c r="L349" s="1" t="s">
        <v>27</v>
      </c>
      <c r="N349" s="1" t="s">
        <v>849</v>
      </c>
      <c r="O349" s="1" t="s">
        <v>29</v>
      </c>
      <c r="P349" s="1" t="s">
        <v>850</v>
      </c>
      <c r="Q349" s="1" t="s">
        <v>851</v>
      </c>
      <c r="R349" s="1">
        <v>1.0</v>
      </c>
      <c r="S349" s="1"/>
    </row>
    <row r="350" ht="15.75" customHeight="1">
      <c r="A350" s="1" t="s">
        <v>880</v>
      </c>
      <c r="B350" s="1" t="s">
        <v>881</v>
      </c>
      <c r="C350" s="1" t="s">
        <v>848</v>
      </c>
      <c r="E350" s="1">
        <v>26.8702926</v>
      </c>
      <c r="F350" s="1">
        <v>75.7968882</v>
      </c>
      <c r="G350" s="1" t="s">
        <v>54</v>
      </c>
      <c r="H350" s="1" t="s">
        <v>55</v>
      </c>
      <c r="J350" s="1" t="s">
        <v>56</v>
      </c>
      <c r="K350" s="1" t="s">
        <v>26</v>
      </c>
      <c r="L350" s="1" t="s">
        <v>27</v>
      </c>
      <c r="N350" s="1" t="s">
        <v>849</v>
      </c>
      <c r="O350" s="1" t="s">
        <v>57</v>
      </c>
      <c r="P350" s="1" t="s">
        <v>850</v>
      </c>
      <c r="Q350" s="1" t="s">
        <v>851</v>
      </c>
      <c r="R350" s="1">
        <v>1.0</v>
      </c>
      <c r="S350" s="1"/>
    </row>
    <row r="351" ht="15.75" customHeight="1">
      <c r="A351" s="1" t="s">
        <v>882</v>
      </c>
      <c r="B351" s="1" t="s">
        <v>883</v>
      </c>
      <c r="C351" s="1" t="s">
        <v>174</v>
      </c>
      <c r="E351" s="1">
        <v>28.70363429999999</v>
      </c>
      <c r="F351" s="1">
        <v>77.2623158</v>
      </c>
      <c r="G351" s="1" t="s">
        <v>54</v>
      </c>
      <c r="H351" s="1" t="s">
        <v>55</v>
      </c>
      <c r="J351" s="1" t="s">
        <v>56</v>
      </c>
      <c r="K351" s="1" t="s">
        <v>26</v>
      </c>
      <c r="L351" s="1" t="s">
        <v>27</v>
      </c>
      <c r="N351" s="1" t="s">
        <v>174</v>
      </c>
      <c r="O351" s="1" t="s">
        <v>57</v>
      </c>
      <c r="P351" s="1" t="s">
        <v>276</v>
      </c>
      <c r="Q351" s="1" t="s">
        <v>277</v>
      </c>
      <c r="R351" s="1">
        <v>2.0</v>
      </c>
      <c r="S351" s="1"/>
    </row>
    <row r="352" ht="15.75" customHeight="1">
      <c r="A352" s="1" t="s">
        <v>884</v>
      </c>
      <c r="B352" s="1" t="s">
        <v>885</v>
      </c>
      <c r="C352" s="1" t="s">
        <v>886</v>
      </c>
      <c r="E352" s="1">
        <v>29.89457209999999</v>
      </c>
      <c r="F352" s="1">
        <v>73.89676229999999</v>
      </c>
      <c r="G352" s="1" t="s">
        <v>54</v>
      </c>
      <c r="H352" s="1" t="s">
        <v>55</v>
      </c>
      <c r="J352" s="1" t="s">
        <v>56</v>
      </c>
      <c r="K352" s="1" t="s">
        <v>26</v>
      </c>
      <c r="L352" s="1" t="s">
        <v>27</v>
      </c>
      <c r="N352" s="1" t="s">
        <v>849</v>
      </c>
      <c r="O352" s="1" t="s">
        <v>57</v>
      </c>
      <c r="P352" s="1" t="s">
        <v>887</v>
      </c>
      <c r="Q352" s="1" t="s">
        <v>888</v>
      </c>
      <c r="R352" s="1">
        <v>0.0</v>
      </c>
      <c r="S352" s="1"/>
    </row>
    <row r="353" ht="15.75" customHeight="1">
      <c r="A353" s="1" t="s">
        <v>889</v>
      </c>
      <c r="B353" s="1" t="s">
        <v>890</v>
      </c>
      <c r="C353" s="1" t="s">
        <v>174</v>
      </c>
      <c r="E353" s="1">
        <v>28.5654574</v>
      </c>
      <c r="F353" s="1">
        <v>77.2440756</v>
      </c>
      <c r="G353" s="1" t="s">
        <v>54</v>
      </c>
      <c r="H353" s="1" t="s">
        <v>55</v>
      </c>
      <c r="J353" s="1" t="s">
        <v>56</v>
      </c>
      <c r="K353" s="1" t="s">
        <v>26</v>
      </c>
      <c r="L353" s="1" t="s">
        <v>27</v>
      </c>
      <c r="N353" s="1" t="s">
        <v>174</v>
      </c>
      <c r="O353" s="1" t="s">
        <v>57</v>
      </c>
      <c r="P353" s="1" t="s">
        <v>870</v>
      </c>
      <c r="Q353" s="1" t="s">
        <v>871</v>
      </c>
      <c r="R353" s="1">
        <v>7.0</v>
      </c>
      <c r="S353" s="1"/>
    </row>
    <row r="354" ht="15.75" customHeight="1">
      <c r="A354" s="1" t="s">
        <v>891</v>
      </c>
      <c r="B354" s="1" t="s">
        <v>892</v>
      </c>
      <c r="C354" s="1" t="s">
        <v>174</v>
      </c>
      <c r="E354" s="1">
        <v>28.5352629</v>
      </c>
      <c r="F354" s="1">
        <v>77.2103162</v>
      </c>
      <c r="G354" s="1" t="s">
        <v>54</v>
      </c>
      <c r="H354" s="1" t="s">
        <v>55</v>
      </c>
      <c r="J354" s="1" t="s">
        <v>56</v>
      </c>
      <c r="K354" s="1" t="s">
        <v>26</v>
      </c>
      <c r="L354" s="1" t="s">
        <v>27</v>
      </c>
      <c r="N354" s="1" t="s">
        <v>174</v>
      </c>
      <c r="O354" s="1" t="s">
        <v>57</v>
      </c>
      <c r="P354" s="1" t="s">
        <v>175</v>
      </c>
      <c r="Q354" s="1" t="s">
        <v>176</v>
      </c>
      <c r="R354" s="1">
        <v>3.0</v>
      </c>
      <c r="S354" s="1"/>
    </row>
    <row r="355" ht="15.75" customHeight="1">
      <c r="A355" s="1" t="s">
        <v>893</v>
      </c>
      <c r="B355" s="1" t="s">
        <v>894</v>
      </c>
      <c r="C355" s="1" t="s">
        <v>174</v>
      </c>
      <c r="E355" s="1">
        <v>28.6548929</v>
      </c>
      <c r="F355" s="1">
        <v>77.18908019999999</v>
      </c>
      <c r="G355" s="1" t="s">
        <v>54</v>
      </c>
      <c r="H355" s="1" t="s">
        <v>55</v>
      </c>
      <c r="J355" s="1" t="s">
        <v>56</v>
      </c>
      <c r="K355" s="1" t="s">
        <v>26</v>
      </c>
      <c r="L355" s="1" t="s">
        <v>27</v>
      </c>
      <c r="N355" s="1" t="s">
        <v>174</v>
      </c>
      <c r="O355" s="1" t="s">
        <v>57</v>
      </c>
      <c r="P355" s="1" t="s">
        <v>175</v>
      </c>
      <c r="Q355" s="1" t="s">
        <v>176</v>
      </c>
      <c r="R355" s="1">
        <v>6.0</v>
      </c>
      <c r="S355" s="1"/>
    </row>
    <row r="356" ht="15.75" customHeight="1">
      <c r="A356" s="1" t="s">
        <v>895</v>
      </c>
      <c r="B356" s="1" t="s">
        <v>896</v>
      </c>
      <c r="C356" s="1" t="s">
        <v>174</v>
      </c>
      <c r="E356" s="1">
        <v>28.58486</v>
      </c>
      <c r="F356" s="1">
        <v>77.0715816</v>
      </c>
      <c r="G356" s="1" t="s">
        <v>54</v>
      </c>
      <c r="H356" s="1" t="s">
        <v>55</v>
      </c>
      <c r="J356" s="1" t="s">
        <v>56</v>
      </c>
      <c r="K356" s="1" t="s">
        <v>26</v>
      </c>
      <c r="L356" s="1" t="s">
        <v>27</v>
      </c>
      <c r="N356" s="1" t="s">
        <v>174</v>
      </c>
      <c r="O356" s="1" t="s">
        <v>57</v>
      </c>
      <c r="P356" s="1" t="s">
        <v>276</v>
      </c>
      <c r="Q356" s="1" t="s">
        <v>277</v>
      </c>
      <c r="R356" s="1">
        <v>5.0</v>
      </c>
      <c r="S356" s="1"/>
    </row>
    <row r="357" ht="15.75" customHeight="1">
      <c r="A357" s="1" t="s">
        <v>897</v>
      </c>
      <c r="B357" s="1" t="s">
        <v>898</v>
      </c>
      <c r="C357" s="1" t="s">
        <v>899</v>
      </c>
      <c r="E357" s="1">
        <v>24.6081083</v>
      </c>
      <c r="F357" s="1">
        <v>73.7001495</v>
      </c>
      <c r="G357" s="1" t="s">
        <v>54</v>
      </c>
      <c r="H357" s="1" t="s">
        <v>55</v>
      </c>
      <c r="J357" s="1" t="s">
        <v>56</v>
      </c>
      <c r="K357" s="1" t="s">
        <v>26</v>
      </c>
      <c r="L357" s="1" t="s">
        <v>27</v>
      </c>
      <c r="N357" s="1" t="s">
        <v>900</v>
      </c>
      <c r="O357" s="1" t="s">
        <v>57</v>
      </c>
      <c r="P357" s="1" t="s">
        <v>850</v>
      </c>
      <c r="Q357" s="1" t="s">
        <v>851</v>
      </c>
      <c r="R357" s="1">
        <v>0.0</v>
      </c>
      <c r="S357" s="1"/>
    </row>
    <row r="358" ht="15.75" customHeight="1">
      <c r="A358" s="1" t="s">
        <v>901</v>
      </c>
      <c r="B358" s="1" t="s">
        <v>902</v>
      </c>
      <c r="C358" s="1" t="s">
        <v>848</v>
      </c>
      <c r="E358" s="1">
        <v>26.8055338</v>
      </c>
      <c r="F358" s="1">
        <v>75.8074209</v>
      </c>
      <c r="G358" s="1" t="s">
        <v>54</v>
      </c>
      <c r="H358" s="1" t="s">
        <v>55</v>
      </c>
      <c r="J358" s="1" t="s">
        <v>56</v>
      </c>
      <c r="K358" s="1" t="s">
        <v>26</v>
      </c>
      <c r="L358" s="1" t="s">
        <v>27</v>
      </c>
      <c r="N358" s="1" t="s">
        <v>849</v>
      </c>
      <c r="O358" s="1" t="s">
        <v>57</v>
      </c>
      <c r="P358" s="1" t="s">
        <v>887</v>
      </c>
      <c r="Q358" s="1" t="s">
        <v>888</v>
      </c>
      <c r="R358" s="1">
        <v>1.0</v>
      </c>
      <c r="S358" s="1"/>
    </row>
    <row r="359" ht="15.75" customHeight="1">
      <c r="A359" s="1" t="s">
        <v>903</v>
      </c>
      <c r="B359" s="1" t="s">
        <v>904</v>
      </c>
      <c r="C359" s="1" t="s">
        <v>174</v>
      </c>
      <c r="E359" s="1">
        <v>28.6582349</v>
      </c>
      <c r="F359" s="1">
        <v>77.1432671</v>
      </c>
      <c r="G359" s="1" t="s">
        <v>54</v>
      </c>
      <c r="H359" s="1" t="s">
        <v>55</v>
      </c>
      <c r="J359" s="1" t="s">
        <v>56</v>
      </c>
      <c r="K359" s="1" t="s">
        <v>26</v>
      </c>
      <c r="L359" s="1" t="s">
        <v>27</v>
      </c>
      <c r="N359" s="1" t="s">
        <v>174</v>
      </c>
      <c r="O359" s="1" t="s">
        <v>57</v>
      </c>
      <c r="P359" s="1" t="s">
        <v>276</v>
      </c>
      <c r="Q359" s="1" t="s">
        <v>277</v>
      </c>
      <c r="R359" s="1">
        <v>4.0</v>
      </c>
      <c r="S359" s="1"/>
    </row>
    <row r="360" ht="15.75" customHeight="1">
      <c r="A360" s="1" t="s">
        <v>905</v>
      </c>
      <c r="B360" s="1" t="s">
        <v>906</v>
      </c>
      <c r="C360" s="1" t="s">
        <v>174</v>
      </c>
      <c r="E360" s="1">
        <v>28.6457326</v>
      </c>
      <c r="F360" s="1">
        <v>77.126212</v>
      </c>
      <c r="G360" s="1" t="s">
        <v>54</v>
      </c>
      <c r="H360" s="1" t="s">
        <v>55</v>
      </c>
      <c r="J360" s="1" t="s">
        <v>56</v>
      </c>
      <c r="K360" s="1" t="s">
        <v>26</v>
      </c>
      <c r="L360" s="1" t="s">
        <v>27</v>
      </c>
      <c r="N360" s="1" t="s">
        <v>174</v>
      </c>
      <c r="O360" s="1" t="s">
        <v>57</v>
      </c>
      <c r="P360" s="1" t="s">
        <v>276</v>
      </c>
      <c r="Q360" s="1" t="s">
        <v>277</v>
      </c>
      <c r="R360" s="1">
        <v>2.0</v>
      </c>
      <c r="S360" s="1"/>
    </row>
    <row r="361" ht="15.75" customHeight="1">
      <c r="A361" s="1" t="s">
        <v>907</v>
      </c>
      <c r="B361" s="1" t="s">
        <v>908</v>
      </c>
      <c r="C361" s="1" t="s">
        <v>848</v>
      </c>
      <c r="E361" s="1">
        <v>26.8982048</v>
      </c>
      <c r="F361" s="1">
        <v>75.82250189999999</v>
      </c>
      <c r="G361" s="1" t="s">
        <v>54</v>
      </c>
      <c r="H361" s="1" t="s">
        <v>55</v>
      </c>
      <c r="J361" s="1" t="s">
        <v>56</v>
      </c>
      <c r="K361" s="1" t="s">
        <v>26</v>
      </c>
      <c r="L361" s="1" t="s">
        <v>27</v>
      </c>
      <c r="N361" s="1" t="s">
        <v>849</v>
      </c>
      <c r="O361" s="1" t="s">
        <v>57</v>
      </c>
      <c r="P361" s="1" t="s">
        <v>887</v>
      </c>
      <c r="Q361" s="1" t="s">
        <v>888</v>
      </c>
      <c r="R361" s="1">
        <v>1.0</v>
      </c>
      <c r="S361" s="1"/>
    </row>
    <row r="362" ht="15.75" customHeight="1">
      <c r="A362" s="1" t="s">
        <v>909</v>
      </c>
      <c r="B362" s="1" t="s">
        <v>910</v>
      </c>
      <c r="C362" s="1" t="s">
        <v>911</v>
      </c>
      <c r="E362" s="1">
        <v>28.1945349</v>
      </c>
      <c r="F362" s="1">
        <v>76.8123725</v>
      </c>
      <c r="G362" s="1" t="s">
        <v>54</v>
      </c>
      <c r="H362" s="1" t="s">
        <v>55</v>
      </c>
      <c r="J362" s="1" t="s">
        <v>56</v>
      </c>
      <c r="K362" s="1" t="s">
        <v>26</v>
      </c>
      <c r="L362" s="1" t="s">
        <v>27</v>
      </c>
      <c r="N362" s="1" t="s">
        <v>849</v>
      </c>
      <c r="O362" s="1" t="s">
        <v>57</v>
      </c>
      <c r="P362" s="1" t="s">
        <v>887</v>
      </c>
      <c r="Q362" s="1" t="s">
        <v>888</v>
      </c>
      <c r="R362" s="1">
        <v>0.0</v>
      </c>
      <c r="S362" s="1"/>
    </row>
    <row r="363" ht="15.75" customHeight="1">
      <c r="A363" s="1" t="s">
        <v>912</v>
      </c>
      <c r="B363" s="1" t="s">
        <v>913</v>
      </c>
      <c r="C363" s="1" t="s">
        <v>914</v>
      </c>
      <c r="E363" s="1">
        <v>25.1434537</v>
      </c>
      <c r="F363" s="1">
        <v>75.8566182</v>
      </c>
      <c r="G363" s="1" t="s">
        <v>54</v>
      </c>
      <c r="H363" s="1" t="s">
        <v>55</v>
      </c>
      <c r="J363" s="1" t="s">
        <v>56</v>
      </c>
      <c r="K363" s="1" t="s">
        <v>26</v>
      </c>
      <c r="L363" s="1" t="s">
        <v>27</v>
      </c>
      <c r="N363" s="1" t="s">
        <v>849</v>
      </c>
      <c r="O363" s="1" t="s">
        <v>57</v>
      </c>
      <c r="P363" s="1" t="s">
        <v>850</v>
      </c>
      <c r="Q363" s="1" t="s">
        <v>851</v>
      </c>
      <c r="R363" s="1">
        <v>0.0</v>
      </c>
      <c r="S363" s="1"/>
    </row>
    <row r="364" ht="15.75" customHeight="1">
      <c r="A364" s="1" t="s">
        <v>915</v>
      </c>
      <c r="B364" s="1" t="s">
        <v>916</v>
      </c>
      <c r="C364" s="1" t="s">
        <v>174</v>
      </c>
      <c r="E364" s="1">
        <v>28.6548761</v>
      </c>
      <c r="F364" s="1">
        <v>77.1890974</v>
      </c>
      <c r="G364" s="1" t="s">
        <v>54</v>
      </c>
      <c r="H364" s="1" t="s">
        <v>55</v>
      </c>
      <c r="J364" s="1" t="s">
        <v>221</v>
      </c>
      <c r="K364" s="1" t="s">
        <v>26</v>
      </c>
      <c r="L364" s="1" t="s">
        <v>27</v>
      </c>
      <c r="N364" s="1" t="s">
        <v>174</v>
      </c>
      <c r="O364" s="1" t="s">
        <v>57</v>
      </c>
      <c r="P364" s="1" t="s">
        <v>276</v>
      </c>
      <c r="Q364" s="1" t="s">
        <v>277</v>
      </c>
      <c r="R364" s="1">
        <v>2.0</v>
      </c>
      <c r="S364" s="1"/>
    </row>
    <row r="365" ht="15.75" customHeight="1">
      <c r="A365" s="1" t="s">
        <v>917</v>
      </c>
      <c r="B365" s="1" t="s">
        <v>918</v>
      </c>
      <c r="C365" s="1" t="s">
        <v>899</v>
      </c>
      <c r="E365" s="1">
        <v>24.5806077</v>
      </c>
      <c r="F365" s="1">
        <v>73.6968754</v>
      </c>
      <c r="G365" s="1" t="s">
        <v>54</v>
      </c>
      <c r="H365" s="1" t="s">
        <v>55</v>
      </c>
      <c r="J365" s="1" t="s">
        <v>56</v>
      </c>
      <c r="K365" s="1" t="s">
        <v>26</v>
      </c>
      <c r="L365" s="1" t="s">
        <v>27</v>
      </c>
      <c r="N365" s="1" t="s">
        <v>900</v>
      </c>
      <c r="O365" s="1" t="s">
        <v>57</v>
      </c>
      <c r="P365" s="1" t="s">
        <v>887</v>
      </c>
      <c r="Q365" s="1" t="s">
        <v>888</v>
      </c>
      <c r="R365" s="1">
        <v>0.0</v>
      </c>
      <c r="S365" s="1"/>
    </row>
    <row r="366" ht="15.75" customHeight="1">
      <c r="A366" s="1" t="s">
        <v>919</v>
      </c>
      <c r="B366" s="1" t="s">
        <v>920</v>
      </c>
      <c r="C366" s="1" t="s">
        <v>174</v>
      </c>
      <c r="E366" s="1">
        <v>28.5555446</v>
      </c>
      <c r="F366" s="1">
        <v>77.0843833</v>
      </c>
      <c r="G366" s="1" t="s">
        <v>54</v>
      </c>
      <c r="H366" s="1" t="s">
        <v>55</v>
      </c>
      <c r="J366" s="1" t="s">
        <v>221</v>
      </c>
      <c r="K366" s="1" t="s">
        <v>26</v>
      </c>
      <c r="L366" s="1" t="s">
        <v>27</v>
      </c>
      <c r="N366" s="1" t="s">
        <v>174</v>
      </c>
      <c r="O366" s="1" t="s">
        <v>57</v>
      </c>
      <c r="P366" s="1" t="s">
        <v>175</v>
      </c>
      <c r="Q366" s="1" t="s">
        <v>176</v>
      </c>
      <c r="R366" s="1">
        <v>0.0</v>
      </c>
      <c r="S366" s="1"/>
    </row>
    <row r="367" ht="15.75" customHeight="1">
      <c r="A367" s="1" t="s">
        <v>921</v>
      </c>
      <c r="B367" s="1" t="s">
        <v>922</v>
      </c>
      <c r="C367" s="1" t="s">
        <v>259</v>
      </c>
      <c r="E367" s="1">
        <v>28.5054697</v>
      </c>
      <c r="F367" s="1">
        <v>77.09643129999999</v>
      </c>
      <c r="G367" s="1" t="s">
        <v>54</v>
      </c>
      <c r="H367" s="1" t="s">
        <v>55</v>
      </c>
      <c r="J367" s="1" t="s">
        <v>118</v>
      </c>
      <c r="K367" s="1" t="s">
        <v>26</v>
      </c>
      <c r="L367" s="1" t="s">
        <v>27</v>
      </c>
      <c r="N367" s="1" t="s">
        <v>163</v>
      </c>
      <c r="O367" s="1" t="s">
        <v>29</v>
      </c>
      <c r="P367" s="1" t="s">
        <v>923</v>
      </c>
      <c r="Q367" s="1" t="s">
        <v>924</v>
      </c>
      <c r="R367" s="1">
        <v>10.0</v>
      </c>
      <c r="S367" s="1"/>
    </row>
    <row r="368" ht="15.75" customHeight="1">
      <c r="A368" s="1" t="s">
        <v>925</v>
      </c>
      <c r="B368" s="1" t="s">
        <v>926</v>
      </c>
      <c r="C368" s="1" t="s">
        <v>259</v>
      </c>
      <c r="E368" s="1">
        <v>28.4025415</v>
      </c>
      <c r="F368" s="1">
        <v>76.9471222</v>
      </c>
      <c r="G368" s="1" t="s">
        <v>54</v>
      </c>
      <c r="H368" s="1" t="s">
        <v>55</v>
      </c>
      <c r="J368" s="1" t="s">
        <v>118</v>
      </c>
      <c r="K368" s="1" t="s">
        <v>26</v>
      </c>
      <c r="L368" s="1" t="s">
        <v>27</v>
      </c>
      <c r="N368" s="1" t="s">
        <v>163</v>
      </c>
      <c r="O368" s="1" t="s">
        <v>29</v>
      </c>
      <c r="P368" s="1" t="s">
        <v>927</v>
      </c>
      <c r="Q368" s="1" t="s">
        <v>928</v>
      </c>
      <c r="R368" s="1">
        <v>5.0</v>
      </c>
      <c r="S368" s="1"/>
    </row>
    <row r="369" ht="15.75" customHeight="1">
      <c r="A369" s="1" t="s">
        <v>929</v>
      </c>
      <c r="B369" s="1" t="s">
        <v>930</v>
      </c>
      <c r="C369" s="1" t="s">
        <v>162</v>
      </c>
      <c r="E369" s="1">
        <v>28.470163</v>
      </c>
      <c r="F369" s="1">
        <v>77.3070879</v>
      </c>
      <c r="G369" s="1" t="s">
        <v>54</v>
      </c>
      <c r="H369" s="1" t="s">
        <v>55</v>
      </c>
      <c r="J369" s="1" t="s">
        <v>118</v>
      </c>
      <c r="K369" s="1" t="s">
        <v>26</v>
      </c>
      <c r="L369" s="1" t="s">
        <v>27</v>
      </c>
      <c r="N369" s="1" t="s">
        <v>163</v>
      </c>
      <c r="O369" s="1" t="s">
        <v>29</v>
      </c>
      <c r="P369" s="1" t="s">
        <v>931</v>
      </c>
      <c r="Q369" s="1" t="s">
        <v>932</v>
      </c>
      <c r="R369" s="1">
        <v>9.0</v>
      </c>
      <c r="S369" s="1"/>
    </row>
    <row r="370" ht="15.75" customHeight="1">
      <c r="A370" s="1" t="s">
        <v>933</v>
      </c>
      <c r="B370" s="1" t="s">
        <v>934</v>
      </c>
      <c r="C370" s="1" t="s">
        <v>259</v>
      </c>
      <c r="E370" s="1">
        <v>28.4154573</v>
      </c>
      <c r="F370" s="1">
        <v>77.0392646</v>
      </c>
      <c r="G370" s="1" t="s">
        <v>54</v>
      </c>
      <c r="H370" s="1" t="s">
        <v>55</v>
      </c>
      <c r="J370" s="1" t="s">
        <v>118</v>
      </c>
      <c r="K370" s="1" t="s">
        <v>26</v>
      </c>
      <c r="L370" s="1" t="s">
        <v>27</v>
      </c>
      <c r="N370" s="1" t="s">
        <v>163</v>
      </c>
      <c r="O370" s="1" t="s">
        <v>29</v>
      </c>
      <c r="P370" s="1" t="s">
        <v>923</v>
      </c>
      <c r="Q370" s="1" t="s">
        <v>924</v>
      </c>
      <c r="R370" s="1">
        <v>4.0</v>
      </c>
      <c r="S370" s="1"/>
    </row>
    <row r="371" ht="15.75" customHeight="1">
      <c r="A371" s="1" t="s">
        <v>935</v>
      </c>
      <c r="B371" s="1" t="s">
        <v>936</v>
      </c>
      <c r="C371" s="1" t="s">
        <v>937</v>
      </c>
      <c r="E371" s="1">
        <v>31.31515319999999</v>
      </c>
      <c r="F371" s="1">
        <v>75.578282</v>
      </c>
      <c r="G371" s="1" t="s">
        <v>54</v>
      </c>
      <c r="H371" s="1" t="s">
        <v>55</v>
      </c>
      <c r="J371" s="1" t="s">
        <v>56</v>
      </c>
      <c r="K371" s="1" t="s">
        <v>26</v>
      </c>
      <c r="L371" s="1" t="s">
        <v>27</v>
      </c>
      <c r="N371" s="1" t="s">
        <v>123</v>
      </c>
      <c r="O371" s="1" t="s">
        <v>57</v>
      </c>
      <c r="P371" s="1" t="s">
        <v>938</v>
      </c>
      <c r="Q371" s="1" t="s">
        <v>939</v>
      </c>
      <c r="R371" s="1">
        <v>0.0</v>
      </c>
      <c r="S371" s="1"/>
    </row>
    <row r="372" ht="15.75" customHeight="1">
      <c r="A372" s="1" t="s">
        <v>940</v>
      </c>
      <c r="B372" s="1" t="s">
        <v>941</v>
      </c>
      <c r="C372" s="1" t="s">
        <v>174</v>
      </c>
      <c r="E372" s="1">
        <v>28.6557272</v>
      </c>
      <c r="F372" s="1">
        <v>77.2764834</v>
      </c>
      <c r="G372" s="1" t="s">
        <v>54</v>
      </c>
      <c r="H372" s="1" t="s">
        <v>55</v>
      </c>
      <c r="J372" s="1" t="s">
        <v>56</v>
      </c>
      <c r="K372" s="1" t="s">
        <v>26</v>
      </c>
      <c r="L372" s="1" t="s">
        <v>27</v>
      </c>
      <c r="N372" s="1" t="s">
        <v>174</v>
      </c>
      <c r="O372" s="1" t="s">
        <v>57</v>
      </c>
      <c r="P372" s="1" t="s">
        <v>175</v>
      </c>
      <c r="Q372" s="1" t="s">
        <v>176</v>
      </c>
      <c r="R372" s="1">
        <v>5.0</v>
      </c>
      <c r="S372" s="1"/>
    </row>
    <row r="373" ht="15.75" customHeight="1">
      <c r="A373" s="1" t="s">
        <v>942</v>
      </c>
      <c r="B373" s="1" t="s">
        <v>943</v>
      </c>
      <c r="C373" s="1" t="s">
        <v>259</v>
      </c>
      <c r="E373" s="1">
        <v>28.4686715</v>
      </c>
      <c r="F373" s="1">
        <v>77.0376136</v>
      </c>
      <c r="G373" s="1" t="s">
        <v>54</v>
      </c>
      <c r="H373" s="1" t="s">
        <v>55</v>
      </c>
      <c r="J373" s="1" t="s">
        <v>56</v>
      </c>
      <c r="K373" s="1" t="s">
        <v>26</v>
      </c>
      <c r="L373" s="1" t="s">
        <v>27</v>
      </c>
      <c r="N373" s="1" t="s">
        <v>163</v>
      </c>
      <c r="O373" s="1" t="s">
        <v>57</v>
      </c>
      <c r="P373" s="1" t="s">
        <v>927</v>
      </c>
      <c r="Q373" s="1" t="s">
        <v>928</v>
      </c>
      <c r="R373" s="1">
        <v>7.0</v>
      </c>
      <c r="S373" s="1"/>
    </row>
    <row r="374" ht="15.75" customHeight="1">
      <c r="A374" s="1" t="s">
        <v>944</v>
      </c>
      <c r="B374" s="1" t="s">
        <v>945</v>
      </c>
      <c r="C374" s="1" t="s">
        <v>946</v>
      </c>
      <c r="E374" s="1">
        <v>30.90207839999999</v>
      </c>
      <c r="F374" s="1">
        <v>75.8336758</v>
      </c>
      <c r="G374" s="1" t="s">
        <v>54</v>
      </c>
      <c r="H374" s="1" t="s">
        <v>55</v>
      </c>
      <c r="J374" s="1" t="s">
        <v>56</v>
      </c>
      <c r="K374" s="1" t="s">
        <v>26</v>
      </c>
      <c r="L374" s="1" t="s">
        <v>27</v>
      </c>
      <c r="N374" s="1" t="s">
        <v>123</v>
      </c>
      <c r="O374" s="1" t="s">
        <v>57</v>
      </c>
      <c r="P374" s="1" t="s">
        <v>938</v>
      </c>
      <c r="Q374" s="1" t="s">
        <v>939</v>
      </c>
      <c r="R374" s="1">
        <v>0.0</v>
      </c>
      <c r="S374" s="1"/>
    </row>
    <row r="375" ht="15.75" customHeight="1">
      <c r="A375" s="1" t="s">
        <v>947</v>
      </c>
      <c r="B375" s="1" t="s">
        <v>948</v>
      </c>
      <c r="C375" s="1" t="s">
        <v>259</v>
      </c>
      <c r="E375" s="1">
        <v>28.4755663</v>
      </c>
      <c r="F375" s="1">
        <v>77.0934317</v>
      </c>
      <c r="G375" s="1" t="s">
        <v>54</v>
      </c>
      <c r="H375" s="1" t="s">
        <v>55</v>
      </c>
      <c r="J375" s="1" t="s">
        <v>44</v>
      </c>
      <c r="K375" s="1" t="s">
        <v>26</v>
      </c>
      <c r="L375" s="1" t="s">
        <v>27</v>
      </c>
      <c r="N375" s="1" t="s">
        <v>163</v>
      </c>
      <c r="O375" s="1" t="s">
        <v>29</v>
      </c>
      <c r="P375" s="1" t="s">
        <v>927</v>
      </c>
      <c r="Q375" s="1" t="s">
        <v>928</v>
      </c>
      <c r="R375" s="1">
        <v>8.0</v>
      </c>
      <c r="S375" s="1"/>
    </row>
    <row r="376" ht="15.75" customHeight="1">
      <c r="A376" s="1" t="s">
        <v>949</v>
      </c>
      <c r="B376" s="1" t="s">
        <v>950</v>
      </c>
      <c r="C376" s="1" t="s">
        <v>174</v>
      </c>
      <c r="E376" s="1">
        <v>28.70008259999999</v>
      </c>
      <c r="F376" s="1">
        <v>77.117889</v>
      </c>
      <c r="G376" s="1" t="s">
        <v>54</v>
      </c>
      <c r="H376" s="1" t="s">
        <v>55</v>
      </c>
      <c r="J376" s="1" t="s">
        <v>44</v>
      </c>
      <c r="K376" s="1" t="s">
        <v>26</v>
      </c>
      <c r="L376" s="1" t="s">
        <v>27</v>
      </c>
      <c r="N376" s="1" t="s">
        <v>174</v>
      </c>
      <c r="O376" s="1" t="s">
        <v>29</v>
      </c>
      <c r="P376" s="1" t="s">
        <v>951</v>
      </c>
      <c r="Q376" s="1" t="s">
        <v>952</v>
      </c>
      <c r="R376" s="1">
        <v>8.0</v>
      </c>
      <c r="S376" s="1"/>
    </row>
    <row r="377" ht="15.75" customHeight="1">
      <c r="A377" s="1" t="s">
        <v>953</v>
      </c>
      <c r="B377" s="1" t="s">
        <v>954</v>
      </c>
      <c r="C377" s="1" t="s">
        <v>259</v>
      </c>
      <c r="E377" s="1">
        <v>28.463805</v>
      </c>
      <c r="F377" s="1">
        <v>77.0649522</v>
      </c>
      <c r="G377" s="1" t="s">
        <v>54</v>
      </c>
      <c r="H377" s="1" t="s">
        <v>55</v>
      </c>
      <c r="J377" s="1" t="s">
        <v>44</v>
      </c>
      <c r="K377" s="1" t="s">
        <v>26</v>
      </c>
      <c r="L377" s="1" t="s">
        <v>27</v>
      </c>
      <c r="N377" s="1" t="s">
        <v>163</v>
      </c>
      <c r="O377" s="1" t="s">
        <v>29</v>
      </c>
      <c r="P377" s="1" t="s">
        <v>923</v>
      </c>
      <c r="Q377" s="1" t="s">
        <v>924</v>
      </c>
      <c r="R377" s="1">
        <v>11.0</v>
      </c>
      <c r="S377" s="1"/>
    </row>
    <row r="378" ht="15.75" customHeight="1">
      <c r="A378" s="1" t="s">
        <v>955</v>
      </c>
      <c r="B378" s="1" t="s">
        <v>956</v>
      </c>
      <c r="C378" s="1" t="s">
        <v>174</v>
      </c>
      <c r="E378" s="1">
        <v>28.7150103</v>
      </c>
      <c r="F378" s="1">
        <v>77.116387</v>
      </c>
      <c r="G378" s="1" t="s">
        <v>54</v>
      </c>
      <c r="H378" s="1" t="s">
        <v>55</v>
      </c>
      <c r="J378" s="1" t="s">
        <v>44</v>
      </c>
      <c r="K378" s="1" t="s">
        <v>26</v>
      </c>
      <c r="L378" s="1" t="s">
        <v>27</v>
      </c>
      <c r="N378" s="1" t="s">
        <v>174</v>
      </c>
      <c r="O378" s="1" t="s">
        <v>29</v>
      </c>
      <c r="P378" s="1" t="s">
        <v>222</v>
      </c>
      <c r="Q378" s="1" t="s">
        <v>223</v>
      </c>
      <c r="R378" s="1">
        <v>7.0</v>
      </c>
      <c r="S378" s="1"/>
    </row>
    <row r="379" ht="15.75" customHeight="1">
      <c r="A379" s="1" t="s">
        <v>957</v>
      </c>
      <c r="B379" s="1" t="s">
        <v>958</v>
      </c>
      <c r="C379" s="1" t="s">
        <v>174</v>
      </c>
      <c r="E379" s="1">
        <v>28.6610178</v>
      </c>
      <c r="F379" s="1">
        <v>77.2977061</v>
      </c>
      <c r="G379" s="1" t="s">
        <v>54</v>
      </c>
      <c r="H379" s="1" t="s">
        <v>55</v>
      </c>
      <c r="J379" s="1" t="s">
        <v>118</v>
      </c>
      <c r="K379" s="1" t="s">
        <v>26</v>
      </c>
      <c r="L379" s="1" t="s">
        <v>27</v>
      </c>
      <c r="N379" s="1" t="s">
        <v>174</v>
      </c>
      <c r="O379" s="1" t="s">
        <v>57</v>
      </c>
      <c r="P379" s="1" t="s">
        <v>222</v>
      </c>
      <c r="Q379" s="1" t="s">
        <v>223</v>
      </c>
      <c r="R379" s="1">
        <v>5.0</v>
      </c>
      <c r="S379" s="1"/>
    </row>
    <row r="380" ht="15.75" customHeight="1">
      <c r="A380" s="1" t="s">
        <v>959</v>
      </c>
      <c r="B380" s="1" t="s">
        <v>960</v>
      </c>
      <c r="C380" s="1" t="s">
        <v>174</v>
      </c>
      <c r="E380" s="1">
        <v>28.7013699</v>
      </c>
      <c r="F380" s="1">
        <v>77.1353012</v>
      </c>
      <c r="G380" s="1" t="s">
        <v>54</v>
      </c>
      <c r="H380" s="1" t="s">
        <v>55</v>
      </c>
      <c r="J380" s="1" t="s">
        <v>44</v>
      </c>
      <c r="K380" s="1" t="s">
        <v>26</v>
      </c>
      <c r="L380" s="1" t="s">
        <v>27</v>
      </c>
      <c r="N380" s="1" t="s">
        <v>174</v>
      </c>
      <c r="O380" s="1" t="s">
        <v>29</v>
      </c>
      <c r="P380" s="1" t="s">
        <v>222</v>
      </c>
      <c r="Q380" s="1" t="s">
        <v>223</v>
      </c>
      <c r="R380" s="1">
        <v>7.0</v>
      </c>
      <c r="S380" s="1"/>
    </row>
    <row r="381" ht="15.75" customHeight="1">
      <c r="A381" s="1" t="s">
        <v>961</v>
      </c>
      <c r="B381" s="1" t="s">
        <v>962</v>
      </c>
      <c r="C381" s="1" t="s">
        <v>174</v>
      </c>
      <c r="E381" s="1">
        <v>28.68972419999999</v>
      </c>
      <c r="F381" s="1">
        <v>77.28644659999999</v>
      </c>
      <c r="G381" s="1" t="s">
        <v>54</v>
      </c>
      <c r="H381" s="1" t="s">
        <v>55</v>
      </c>
      <c r="J381" s="1" t="s">
        <v>118</v>
      </c>
      <c r="K381" s="1" t="s">
        <v>26</v>
      </c>
      <c r="L381" s="1" t="s">
        <v>27</v>
      </c>
      <c r="N381" s="1" t="s">
        <v>174</v>
      </c>
      <c r="O381" s="1" t="s">
        <v>57</v>
      </c>
      <c r="P381" s="1" t="s">
        <v>963</v>
      </c>
      <c r="Q381" s="1" t="s">
        <v>964</v>
      </c>
      <c r="R381" s="1">
        <v>3.0</v>
      </c>
      <c r="S381" s="1"/>
    </row>
    <row r="382" ht="15.75" customHeight="1">
      <c r="A382" s="1" t="s">
        <v>965</v>
      </c>
      <c r="B382" s="1" t="s">
        <v>966</v>
      </c>
      <c r="C382" s="1" t="s">
        <v>259</v>
      </c>
      <c r="E382" s="1">
        <v>28.4347407</v>
      </c>
      <c r="F382" s="1">
        <v>77.06847139999999</v>
      </c>
      <c r="G382" s="1" t="s">
        <v>54</v>
      </c>
      <c r="H382" s="1" t="s">
        <v>55</v>
      </c>
      <c r="J382" s="1" t="s">
        <v>118</v>
      </c>
      <c r="K382" s="1" t="s">
        <v>26</v>
      </c>
      <c r="L382" s="1" t="s">
        <v>27</v>
      </c>
      <c r="N382" s="1" t="s">
        <v>163</v>
      </c>
      <c r="O382" s="1" t="s">
        <v>29</v>
      </c>
      <c r="P382" s="1" t="s">
        <v>923</v>
      </c>
      <c r="Q382" s="1" t="s">
        <v>924</v>
      </c>
      <c r="R382" s="1">
        <v>5.0</v>
      </c>
      <c r="S382" s="1"/>
    </row>
    <row r="383" ht="15.75" customHeight="1">
      <c r="A383" s="1" t="s">
        <v>967</v>
      </c>
      <c r="B383" s="1" t="s">
        <v>968</v>
      </c>
      <c r="C383" s="1" t="s">
        <v>174</v>
      </c>
      <c r="E383" s="1">
        <v>28.639456</v>
      </c>
      <c r="F383" s="1">
        <v>77.2917932</v>
      </c>
      <c r="G383" s="1" t="s">
        <v>54</v>
      </c>
      <c r="H383" s="1" t="s">
        <v>55</v>
      </c>
      <c r="J383" s="1" t="s">
        <v>118</v>
      </c>
      <c r="K383" s="1" t="s">
        <v>26</v>
      </c>
      <c r="L383" s="1" t="s">
        <v>27</v>
      </c>
      <c r="N383" s="1" t="s">
        <v>174</v>
      </c>
      <c r="O383" s="1" t="s">
        <v>57</v>
      </c>
      <c r="P383" s="1" t="s">
        <v>222</v>
      </c>
      <c r="Q383" s="1" t="s">
        <v>223</v>
      </c>
      <c r="R383" s="1">
        <v>8.0</v>
      </c>
      <c r="S383" s="1"/>
    </row>
    <row r="384" ht="15.75" customHeight="1">
      <c r="A384" s="1" t="s">
        <v>969</v>
      </c>
      <c r="B384" s="1" t="s">
        <v>970</v>
      </c>
      <c r="C384" s="1" t="s">
        <v>259</v>
      </c>
      <c r="E384" s="1">
        <v>28.3912652</v>
      </c>
      <c r="F384" s="1">
        <v>77.03037499999999</v>
      </c>
      <c r="G384" s="1" t="s">
        <v>54</v>
      </c>
      <c r="H384" s="1" t="s">
        <v>55</v>
      </c>
      <c r="J384" s="1" t="s">
        <v>118</v>
      </c>
      <c r="K384" s="1" t="s">
        <v>26</v>
      </c>
      <c r="L384" s="1" t="s">
        <v>27</v>
      </c>
      <c r="N384" s="1" t="s">
        <v>163</v>
      </c>
      <c r="O384" s="1" t="s">
        <v>29</v>
      </c>
      <c r="P384" s="1" t="s">
        <v>923</v>
      </c>
      <c r="Q384" s="1" t="s">
        <v>924</v>
      </c>
      <c r="R384" s="1">
        <v>4.0</v>
      </c>
      <c r="S384" s="1"/>
    </row>
    <row r="385" ht="15.75" customHeight="1">
      <c r="A385" s="1" t="s">
        <v>971</v>
      </c>
      <c r="B385" s="1" t="s">
        <v>972</v>
      </c>
      <c r="C385" s="1" t="s">
        <v>946</v>
      </c>
      <c r="E385" s="1">
        <v>30.9061169</v>
      </c>
      <c r="F385" s="1">
        <v>75.89406029999999</v>
      </c>
      <c r="G385" s="1" t="s">
        <v>54</v>
      </c>
      <c r="H385" s="1" t="s">
        <v>55</v>
      </c>
      <c r="J385" s="1" t="s">
        <v>56</v>
      </c>
      <c r="K385" s="1" t="s">
        <v>26</v>
      </c>
      <c r="L385" s="1" t="s">
        <v>27</v>
      </c>
      <c r="N385" s="1" t="s">
        <v>123</v>
      </c>
      <c r="O385" s="1" t="s">
        <v>57</v>
      </c>
      <c r="P385" s="1" t="s">
        <v>973</v>
      </c>
      <c r="Q385" s="1" t="s">
        <v>974</v>
      </c>
      <c r="R385" s="1">
        <v>0.0</v>
      </c>
      <c r="S385" s="1"/>
    </row>
    <row r="386" ht="15.75" customHeight="1">
      <c r="A386" s="1" t="s">
        <v>975</v>
      </c>
      <c r="B386" s="1" t="s">
        <v>976</v>
      </c>
      <c r="C386" s="1" t="s">
        <v>977</v>
      </c>
      <c r="E386" s="1">
        <v>30.6213902</v>
      </c>
      <c r="F386" s="1">
        <v>76.8239834</v>
      </c>
      <c r="G386" s="1" t="s">
        <v>54</v>
      </c>
      <c r="H386" s="1" t="s">
        <v>55</v>
      </c>
      <c r="J386" s="1" t="s">
        <v>56</v>
      </c>
      <c r="K386" s="1" t="s">
        <v>26</v>
      </c>
      <c r="L386" s="1" t="s">
        <v>27</v>
      </c>
      <c r="N386" s="1" t="s">
        <v>123</v>
      </c>
      <c r="O386" s="1" t="s">
        <v>57</v>
      </c>
      <c r="P386" s="1" t="s">
        <v>973</v>
      </c>
      <c r="Q386" s="1" t="s">
        <v>974</v>
      </c>
      <c r="R386" s="1">
        <v>1.0</v>
      </c>
      <c r="S386" s="1"/>
    </row>
    <row r="387" ht="15.75" customHeight="1">
      <c r="A387" s="1" t="s">
        <v>978</v>
      </c>
      <c r="B387" s="1" t="s">
        <v>979</v>
      </c>
      <c r="C387" s="1" t="s">
        <v>980</v>
      </c>
      <c r="E387" s="1">
        <v>30.3405344</v>
      </c>
      <c r="F387" s="1">
        <v>76.4317761</v>
      </c>
      <c r="G387" s="1" t="s">
        <v>54</v>
      </c>
      <c r="H387" s="1" t="s">
        <v>55</v>
      </c>
      <c r="J387" s="1" t="s">
        <v>56</v>
      </c>
      <c r="K387" s="1" t="s">
        <v>26</v>
      </c>
      <c r="L387" s="1" t="s">
        <v>27</v>
      </c>
      <c r="N387" s="1" t="s">
        <v>123</v>
      </c>
      <c r="O387" s="1" t="s">
        <v>57</v>
      </c>
      <c r="P387" s="1" t="s">
        <v>973</v>
      </c>
      <c r="Q387" s="1" t="s">
        <v>974</v>
      </c>
      <c r="R387" s="1">
        <v>0.0</v>
      </c>
      <c r="S387" s="1"/>
    </row>
    <row r="388" ht="15.75" customHeight="1">
      <c r="A388" s="1" t="s">
        <v>981</v>
      </c>
      <c r="B388" s="1" t="s">
        <v>982</v>
      </c>
      <c r="C388" s="1" t="s">
        <v>259</v>
      </c>
      <c r="E388" s="1">
        <v>28.3974697</v>
      </c>
      <c r="F388" s="1">
        <v>77.0714668</v>
      </c>
      <c r="G388" s="1" t="s">
        <v>54</v>
      </c>
      <c r="H388" s="1" t="s">
        <v>55</v>
      </c>
      <c r="J388" s="1" t="s">
        <v>118</v>
      </c>
      <c r="K388" s="1" t="s">
        <v>26</v>
      </c>
      <c r="L388" s="1" t="s">
        <v>27</v>
      </c>
      <c r="N388" s="1" t="s">
        <v>163</v>
      </c>
      <c r="O388" s="1" t="s">
        <v>29</v>
      </c>
      <c r="P388" s="1" t="s">
        <v>923</v>
      </c>
      <c r="Q388" s="1" t="s">
        <v>924</v>
      </c>
      <c r="R388" s="1">
        <v>5.0</v>
      </c>
      <c r="S388" s="1"/>
    </row>
    <row r="389" ht="15.75" customHeight="1">
      <c r="A389" s="1" t="s">
        <v>983</v>
      </c>
      <c r="B389" s="1" t="s">
        <v>984</v>
      </c>
      <c r="C389" s="1" t="s">
        <v>259</v>
      </c>
      <c r="E389" s="1">
        <v>28.381957</v>
      </c>
      <c r="F389" s="1">
        <v>77.054852</v>
      </c>
      <c r="G389" s="1" t="s">
        <v>54</v>
      </c>
      <c r="H389" s="1" t="s">
        <v>55</v>
      </c>
      <c r="J389" s="1" t="s">
        <v>56</v>
      </c>
      <c r="K389" s="1" t="s">
        <v>26</v>
      </c>
      <c r="L389" s="1" t="s">
        <v>27</v>
      </c>
      <c r="N389" s="1" t="s">
        <v>163</v>
      </c>
      <c r="O389" s="1" t="s">
        <v>57</v>
      </c>
      <c r="P389" s="1" t="s">
        <v>923</v>
      </c>
      <c r="Q389" s="1" t="s">
        <v>924</v>
      </c>
      <c r="R389" s="1">
        <v>3.0</v>
      </c>
      <c r="S389" s="1"/>
    </row>
    <row r="390" ht="15.75" customHeight="1">
      <c r="A390" s="1" t="s">
        <v>985</v>
      </c>
      <c r="B390" s="1" t="s">
        <v>986</v>
      </c>
      <c r="C390" s="1" t="s">
        <v>987</v>
      </c>
      <c r="E390" s="1">
        <v>29.37610829999999</v>
      </c>
      <c r="F390" s="1">
        <v>76.98375999999999</v>
      </c>
      <c r="G390" s="1" t="s">
        <v>54</v>
      </c>
      <c r="H390" s="1" t="s">
        <v>55</v>
      </c>
      <c r="J390" s="1" t="s">
        <v>56</v>
      </c>
      <c r="K390" s="1" t="s">
        <v>26</v>
      </c>
      <c r="L390" s="1" t="s">
        <v>27</v>
      </c>
      <c r="N390" s="1" t="s">
        <v>163</v>
      </c>
      <c r="O390" s="1" t="s">
        <v>57</v>
      </c>
      <c r="P390" s="1" t="s">
        <v>973</v>
      </c>
      <c r="Q390" s="1" t="s">
        <v>974</v>
      </c>
      <c r="R390" s="1">
        <v>0.0</v>
      </c>
      <c r="S390" s="1"/>
    </row>
    <row r="391" ht="15.75" customHeight="1">
      <c r="A391" s="1" t="s">
        <v>988</v>
      </c>
      <c r="B391" s="1" t="s">
        <v>989</v>
      </c>
      <c r="C391" s="1" t="s">
        <v>990</v>
      </c>
      <c r="E391" s="1">
        <v>32.276539</v>
      </c>
      <c r="F391" s="1">
        <v>75.6991063</v>
      </c>
      <c r="G391" s="1" t="s">
        <v>54</v>
      </c>
      <c r="H391" s="1" t="s">
        <v>55</v>
      </c>
      <c r="J391" s="1" t="s">
        <v>56</v>
      </c>
      <c r="K391" s="1" t="s">
        <v>26</v>
      </c>
      <c r="L391" s="1" t="s">
        <v>27</v>
      </c>
      <c r="N391" s="1" t="s">
        <v>123</v>
      </c>
      <c r="O391" s="1" t="s">
        <v>57</v>
      </c>
      <c r="P391" s="1" t="s">
        <v>973</v>
      </c>
      <c r="Q391" s="1" t="s">
        <v>974</v>
      </c>
      <c r="R391" s="1">
        <v>0.0</v>
      </c>
      <c r="S391" s="1"/>
    </row>
    <row r="392" ht="15.75" customHeight="1">
      <c r="A392" s="1" t="s">
        <v>991</v>
      </c>
      <c r="B392" s="1" t="s">
        <v>992</v>
      </c>
      <c r="C392" s="1" t="s">
        <v>993</v>
      </c>
      <c r="E392" s="1">
        <v>30.1387093</v>
      </c>
      <c r="F392" s="1">
        <v>77.292441</v>
      </c>
      <c r="G392" s="1" t="s">
        <v>54</v>
      </c>
      <c r="H392" s="1" t="s">
        <v>55</v>
      </c>
      <c r="J392" s="1" t="s">
        <v>56</v>
      </c>
      <c r="K392" s="1" t="s">
        <v>26</v>
      </c>
      <c r="L392" s="1" t="s">
        <v>27</v>
      </c>
      <c r="N392" s="1" t="s">
        <v>163</v>
      </c>
      <c r="O392" s="1" t="s">
        <v>57</v>
      </c>
      <c r="P392" s="1" t="s">
        <v>973</v>
      </c>
      <c r="Q392" s="1" t="s">
        <v>974</v>
      </c>
      <c r="R392" s="1">
        <v>0.0</v>
      </c>
      <c r="S392" s="1"/>
    </row>
    <row r="393" ht="15.75" customHeight="1">
      <c r="A393" s="1" t="s">
        <v>994</v>
      </c>
      <c r="B393" s="1" t="s">
        <v>995</v>
      </c>
      <c r="C393" s="1" t="s">
        <v>980</v>
      </c>
      <c r="E393" s="1">
        <v>30.343796</v>
      </c>
      <c r="F393" s="1">
        <v>76.3792996</v>
      </c>
      <c r="G393" s="1" t="s">
        <v>54</v>
      </c>
      <c r="H393" s="1" t="s">
        <v>55</v>
      </c>
      <c r="J393" s="1" t="s">
        <v>56</v>
      </c>
      <c r="K393" s="1" t="s">
        <v>26</v>
      </c>
      <c r="L393" s="1" t="s">
        <v>27</v>
      </c>
      <c r="N393" s="1" t="s">
        <v>123</v>
      </c>
      <c r="O393" s="1" t="s">
        <v>57</v>
      </c>
      <c r="P393" s="1" t="s">
        <v>973</v>
      </c>
      <c r="Q393" s="1" t="s">
        <v>974</v>
      </c>
      <c r="R393" s="1">
        <v>0.0</v>
      </c>
      <c r="S393" s="1"/>
    </row>
    <row r="394" ht="15.75" customHeight="1">
      <c r="A394" s="1" t="s">
        <v>996</v>
      </c>
      <c r="B394" s="1" t="s">
        <v>997</v>
      </c>
      <c r="C394" s="1" t="s">
        <v>162</v>
      </c>
      <c r="E394" s="1">
        <v>28.4002943</v>
      </c>
      <c r="F394" s="1">
        <v>77.29872449999999</v>
      </c>
      <c r="G394" s="1" t="s">
        <v>54</v>
      </c>
      <c r="H394" s="1" t="s">
        <v>55</v>
      </c>
      <c r="J394" s="1" t="s">
        <v>56</v>
      </c>
      <c r="K394" s="1" t="s">
        <v>26</v>
      </c>
      <c r="L394" s="1" t="s">
        <v>27</v>
      </c>
      <c r="N394" s="1" t="s">
        <v>163</v>
      </c>
      <c r="O394" s="1" t="s">
        <v>57</v>
      </c>
      <c r="P394" s="1" t="s">
        <v>998</v>
      </c>
      <c r="Q394" s="1" t="s">
        <v>999</v>
      </c>
      <c r="R394" s="1">
        <v>6.0</v>
      </c>
      <c r="S394" s="1"/>
    </row>
    <row r="395" ht="15.75" customHeight="1">
      <c r="A395" s="1" t="s">
        <v>1000</v>
      </c>
      <c r="B395" s="1" t="s">
        <v>1001</v>
      </c>
      <c r="C395" s="1" t="s">
        <v>1002</v>
      </c>
      <c r="E395" s="1">
        <v>30.8212587</v>
      </c>
      <c r="F395" s="1">
        <v>75.19530689999999</v>
      </c>
      <c r="G395" s="1" t="s">
        <v>54</v>
      </c>
      <c r="H395" s="1" t="s">
        <v>55</v>
      </c>
      <c r="J395" s="1" t="s">
        <v>56</v>
      </c>
      <c r="K395" s="1" t="s">
        <v>26</v>
      </c>
      <c r="L395" s="1" t="s">
        <v>27</v>
      </c>
      <c r="N395" s="1" t="s">
        <v>123</v>
      </c>
      <c r="O395" s="1" t="s">
        <v>57</v>
      </c>
      <c r="P395" s="1" t="s">
        <v>973</v>
      </c>
      <c r="Q395" s="1" t="s">
        <v>974</v>
      </c>
      <c r="R395" s="1">
        <v>0.0</v>
      </c>
      <c r="S395" s="1"/>
    </row>
    <row r="396" ht="15.75" customHeight="1">
      <c r="A396" s="1" t="s">
        <v>1003</v>
      </c>
      <c r="B396" s="1" t="s">
        <v>1004</v>
      </c>
      <c r="C396" s="1" t="s">
        <v>1005</v>
      </c>
      <c r="E396" s="1">
        <v>30.2246021</v>
      </c>
      <c r="F396" s="1">
        <v>74.9372052</v>
      </c>
      <c r="G396" s="1" t="s">
        <v>54</v>
      </c>
      <c r="H396" s="1" t="s">
        <v>55</v>
      </c>
      <c r="J396" s="1" t="s">
        <v>56</v>
      </c>
      <c r="K396" s="1" t="s">
        <v>26</v>
      </c>
      <c r="L396" s="1" t="s">
        <v>27</v>
      </c>
      <c r="N396" s="1" t="s">
        <v>123</v>
      </c>
      <c r="O396" s="1" t="s">
        <v>57</v>
      </c>
      <c r="P396" s="1" t="s">
        <v>973</v>
      </c>
      <c r="Q396" s="1" t="s">
        <v>974</v>
      </c>
      <c r="R396" s="1">
        <v>0.0</v>
      </c>
      <c r="S396" s="1"/>
    </row>
    <row r="397" ht="15.75" customHeight="1">
      <c r="A397" s="1" t="s">
        <v>1006</v>
      </c>
      <c r="B397" s="1" t="s">
        <v>1007</v>
      </c>
      <c r="C397" s="1" t="s">
        <v>1008</v>
      </c>
      <c r="E397" s="1">
        <v>31.528884</v>
      </c>
      <c r="F397" s="1">
        <v>75.921127</v>
      </c>
      <c r="G397" s="1" t="s">
        <v>54</v>
      </c>
      <c r="H397" s="1" t="s">
        <v>55</v>
      </c>
      <c r="J397" s="1" t="s">
        <v>56</v>
      </c>
      <c r="K397" s="1" t="s">
        <v>26</v>
      </c>
      <c r="L397" s="1" t="s">
        <v>27</v>
      </c>
      <c r="N397" s="1" t="s">
        <v>123</v>
      </c>
      <c r="O397" s="1" t="s">
        <v>57</v>
      </c>
      <c r="P397" s="1" t="s">
        <v>973</v>
      </c>
      <c r="Q397" s="1" t="s">
        <v>974</v>
      </c>
      <c r="R397" s="1">
        <v>0.0</v>
      </c>
      <c r="S397" s="1"/>
    </row>
    <row r="398" ht="15.75" customHeight="1">
      <c r="A398" s="1" t="s">
        <v>1009</v>
      </c>
      <c r="B398" s="1" t="s">
        <v>1010</v>
      </c>
      <c r="C398" s="1" t="s">
        <v>115</v>
      </c>
      <c r="E398" s="1">
        <v>31.4596363</v>
      </c>
      <c r="F398" s="1">
        <v>74.9221369</v>
      </c>
      <c r="G398" s="1" t="s">
        <v>54</v>
      </c>
      <c r="H398" s="1" t="s">
        <v>55</v>
      </c>
      <c r="J398" s="1" t="s">
        <v>221</v>
      </c>
      <c r="K398" s="1" t="s">
        <v>26</v>
      </c>
      <c r="L398" s="1" t="s">
        <v>27</v>
      </c>
      <c r="N398" s="1" t="s">
        <v>123</v>
      </c>
      <c r="O398" s="1" t="s">
        <v>57</v>
      </c>
      <c r="P398" s="1" t="s">
        <v>973</v>
      </c>
      <c r="Q398" s="1" t="s">
        <v>974</v>
      </c>
      <c r="R398" s="1">
        <v>0.0</v>
      </c>
      <c r="S398" s="1"/>
    </row>
    <row r="399" ht="15.75" customHeight="1">
      <c r="A399" s="1" t="s">
        <v>1011</v>
      </c>
      <c r="B399" s="1" t="s">
        <v>1012</v>
      </c>
      <c r="C399" s="1" t="s">
        <v>1013</v>
      </c>
      <c r="E399" s="1">
        <v>28.1360045</v>
      </c>
      <c r="F399" s="1">
        <v>77.33049729999999</v>
      </c>
      <c r="G399" s="1" t="s">
        <v>54</v>
      </c>
      <c r="H399" s="1" t="s">
        <v>55</v>
      </c>
      <c r="J399" s="1" t="s">
        <v>56</v>
      </c>
      <c r="K399" s="1" t="s">
        <v>26</v>
      </c>
      <c r="L399" s="1" t="s">
        <v>27</v>
      </c>
      <c r="N399" s="1" t="s">
        <v>163</v>
      </c>
      <c r="O399" s="1" t="s">
        <v>57</v>
      </c>
      <c r="P399" s="1" t="s">
        <v>973</v>
      </c>
      <c r="Q399" s="1" t="s">
        <v>974</v>
      </c>
      <c r="R399" s="1">
        <v>0.0</v>
      </c>
      <c r="S399" s="1"/>
    </row>
    <row r="400" ht="15.75" customHeight="1">
      <c r="A400" s="1" t="s">
        <v>1014</v>
      </c>
      <c r="B400" s="1" t="s">
        <v>1015</v>
      </c>
      <c r="C400" s="1" t="s">
        <v>1016</v>
      </c>
      <c r="E400" s="1">
        <v>28.9889985</v>
      </c>
      <c r="F400" s="1">
        <v>77.020314</v>
      </c>
      <c r="G400" s="1" t="s">
        <v>54</v>
      </c>
      <c r="H400" s="1" t="s">
        <v>55</v>
      </c>
      <c r="J400" s="1" t="s">
        <v>56</v>
      </c>
      <c r="K400" s="1" t="s">
        <v>26</v>
      </c>
      <c r="L400" s="1" t="s">
        <v>27</v>
      </c>
      <c r="N400" s="1" t="s">
        <v>163</v>
      </c>
      <c r="O400" s="1" t="s">
        <v>57</v>
      </c>
      <c r="P400" s="1" t="s">
        <v>973</v>
      </c>
      <c r="Q400" s="1" t="s">
        <v>974</v>
      </c>
      <c r="R400" s="1">
        <v>2.0</v>
      </c>
      <c r="S400" s="1"/>
    </row>
    <row r="401" ht="15.75" customHeight="1">
      <c r="A401" s="1" t="s">
        <v>1017</v>
      </c>
      <c r="B401" s="1" t="s">
        <v>1018</v>
      </c>
      <c r="C401" s="1" t="s">
        <v>1019</v>
      </c>
      <c r="E401" s="1">
        <v>30.2436696</v>
      </c>
      <c r="F401" s="1">
        <v>75.8424282</v>
      </c>
      <c r="G401" s="1" t="s">
        <v>54</v>
      </c>
      <c r="H401" s="1" t="s">
        <v>55</v>
      </c>
      <c r="J401" s="1" t="s">
        <v>221</v>
      </c>
      <c r="K401" s="1" t="s">
        <v>26</v>
      </c>
      <c r="L401" s="1" t="s">
        <v>27</v>
      </c>
      <c r="N401" s="1" t="s">
        <v>123</v>
      </c>
      <c r="O401" s="1" t="s">
        <v>57</v>
      </c>
      <c r="P401" s="1" t="s">
        <v>973</v>
      </c>
      <c r="Q401" s="1" t="s">
        <v>974</v>
      </c>
      <c r="R401" s="1">
        <v>0.0</v>
      </c>
      <c r="S401" s="1"/>
    </row>
    <row r="402" ht="15.75" customHeight="1">
      <c r="A402" s="1" t="s">
        <v>1020</v>
      </c>
      <c r="B402" s="1" t="s">
        <v>1021</v>
      </c>
      <c r="C402" s="1" t="s">
        <v>1022</v>
      </c>
      <c r="E402" s="1">
        <v>30.5158178</v>
      </c>
      <c r="F402" s="1">
        <v>75.8866086</v>
      </c>
      <c r="G402" s="1" t="s">
        <v>54</v>
      </c>
      <c r="H402" s="1" t="s">
        <v>55</v>
      </c>
      <c r="J402" s="1" t="s">
        <v>221</v>
      </c>
      <c r="K402" s="1" t="s">
        <v>26</v>
      </c>
      <c r="L402" s="1" t="s">
        <v>27</v>
      </c>
      <c r="N402" s="1" t="s">
        <v>123</v>
      </c>
      <c r="O402" s="1" t="s">
        <v>57</v>
      </c>
      <c r="P402" s="1" t="s">
        <v>973</v>
      </c>
      <c r="Q402" s="1" t="s">
        <v>974</v>
      </c>
      <c r="R402" s="1">
        <v>0.0</v>
      </c>
      <c r="S402" s="1"/>
    </row>
    <row r="403" ht="15.75" customHeight="1">
      <c r="A403" s="1" t="s">
        <v>1023</v>
      </c>
      <c r="B403" s="1" t="s">
        <v>1024</v>
      </c>
      <c r="C403" s="1" t="s">
        <v>1025</v>
      </c>
      <c r="E403" s="1">
        <v>30.4782851</v>
      </c>
      <c r="F403" s="1">
        <v>74.53118830000001</v>
      </c>
      <c r="G403" s="1" t="s">
        <v>54</v>
      </c>
      <c r="H403" s="1" t="s">
        <v>55</v>
      </c>
      <c r="J403" s="1" t="s">
        <v>221</v>
      </c>
      <c r="K403" s="1" t="s">
        <v>26</v>
      </c>
      <c r="L403" s="1" t="s">
        <v>27</v>
      </c>
      <c r="N403" s="1" t="s">
        <v>123</v>
      </c>
      <c r="O403" s="1" t="s">
        <v>57</v>
      </c>
      <c r="P403" s="1" t="s">
        <v>973</v>
      </c>
      <c r="Q403" s="1" t="s">
        <v>974</v>
      </c>
      <c r="R403" s="1">
        <v>0.0</v>
      </c>
      <c r="S403" s="1"/>
    </row>
    <row r="404" ht="15.75" customHeight="1">
      <c r="A404" s="1" t="s">
        <v>1026</v>
      </c>
      <c r="B404" s="1" t="s">
        <v>1027</v>
      </c>
      <c r="C404" s="1" t="s">
        <v>162</v>
      </c>
      <c r="E404" s="1">
        <v>28.3873525</v>
      </c>
      <c r="F404" s="1">
        <v>77.3111108</v>
      </c>
      <c r="G404" s="1" t="s">
        <v>54</v>
      </c>
      <c r="H404" s="1" t="s">
        <v>55</v>
      </c>
      <c r="J404" s="1" t="s">
        <v>56</v>
      </c>
      <c r="K404" s="1" t="s">
        <v>26</v>
      </c>
      <c r="L404" s="1" t="s">
        <v>27</v>
      </c>
      <c r="N404" s="1" t="s">
        <v>163</v>
      </c>
      <c r="O404" s="1" t="s">
        <v>57</v>
      </c>
      <c r="P404" s="1" t="s">
        <v>998</v>
      </c>
      <c r="Q404" s="1" t="s">
        <v>999</v>
      </c>
      <c r="R404" s="1">
        <v>1.0</v>
      </c>
      <c r="S404" s="1"/>
    </row>
    <row r="405" ht="15.75" customHeight="1">
      <c r="A405" s="1" t="s">
        <v>1028</v>
      </c>
      <c r="B405" s="1" t="s">
        <v>1029</v>
      </c>
      <c r="C405" s="1" t="s">
        <v>1030</v>
      </c>
      <c r="E405" s="1">
        <v>30.955471</v>
      </c>
      <c r="F405" s="1">
        <v>74.6115804</v>
      </c>
      <c r="G405" s="1" t="s">
        <v>54</v>
      </c>
      <c r="H405" s="1" t="s">
        <v>55</v>
      </c>
      <c r="J405" s="1" t="s">
        <v>56</v>
      </c>
      <c r="K405" s="1" t="s">
        <v>26</v>
      </c>
      <c r="L405" s="1" t="s">
        <v>27</v>
      </c>
      <c r="N405" s="1" t="s">
        <v>123</v>
      </c>
      <c r="O405" s="1" t="s">
        <v>57</v>
      </c>
      <c r="P405" s="1" t="s">
        <v>973</v>
      </c>
      <c r="Q405" s="1" t="s">
        <v>974</v>
      </c>
      <c r="R405" s="1">
        <v>0.0</v>
      </c>
      <c r="S405" s="1"/>
    </row>
    <row r="406" ht="15.75" customHeight="1">
      <c r="A406" s="1" t="s">
        <v>1031</v>
      </c>
      <c r="B406" s="1" t="s">
        <v>1032</v>
      </c>
      <c r="C406" s="1" t="s">
        <v>946</v>
      </c>
      <c r="E406" s="1">
        <v>30.90495599999999</v>
      </c>
      <c r="F406" s="1">
        <v>75.773653</v>
      </c>
      <c r="G406" s="1" t="s">
        <v>54</v>
      </c>
      <c r="H406" s="1" t="s">
        <v>55</v>
      </c>
      <c r="J406" s="1" t="s">
        <v>221</v>
      </c>
      <c r="K406" s="1" t="s">
        <v>26</v>
      </c>
      <c r="L406" s="1" t="s">
        <v>27</v>
      </c>
      <c r="N406" s="1" t="s">
        <v>123</v>
      </c>
      <c r="O406" s="1" t="s">
        <v>57</v>
      </c>
      <c r="P406" s="1" t="s">
        <v>973</v>
      </c>
      <c r="Q406" s="1" t="s">
        <v>974</v>
      </c>
      <c r="R406" s="1">
        <v>0.0</v>
      </c>
      <c r="S406" s="1"/>
    </row>
    <row r="407" ht="15.75" customHeight="1">
      <c r="A407" s="1" t="s">
        <v>1033</v>
      </c>
      <c r="B407" s="1" t="s">
        <v>1034</v>
      </c>
      <c r="C407" s="1" t="s">
        <v>1035</v>
      </c>
      <c r="E407" s="1">
        <v>26.1176742</v>
      </c>
      <c r="F407" s="1">
        <v>91.8060729</v>
      </c>
      <c r="G407" s="1" t="s">
        <v>54</v>
      </c>
      <c r="H407" s="1" t="s">
        <v>55</v>
      </c>
      <c r="J407" s="1" t="s">
        <v>56</v>
      </c>
      <c r="K407" s="1" t="s">
        <v>26</v>
      </c>
      <c r="L407" s="1" t="s">
        <v>27</v>
      </c>
      <c r="N407" s="1" t="s">
        <v>1036</v>
      </c>
      <c r="O407" s="1" t="s">
        <v>57</v>
      </c>
      <c r="P407" s="1" t="s">
        <v>1037</v>
      </c>
      <c r="Q407" s="1" t="s">
        <v>1038</v>
      </c>
      <c r="R407" s="1">
        <v>0.0</v>
      </c>
      <c r="S407" s="1"/>
    </row>
    <row r="408" ht="15.75" customHeight="1">
      <c r="A408" s="1" t="s">
        <v>1039</v>
      </c>
      <c r="B408" s="1" t="s">
        <v>1040</v>
      </c>
      <c r="C408" s="1" t="s">
        <v>1041</v>
      </c>
      <c r="E408" s="1">
        <v>23.2575454</v>
      </c>
      <c r="F408" s="1">
        <v>87.85037280000002</v>
      </c>
      <c r="G408" s="1" t="s">
        <v>54</v>
      </c>
      <c r="H408" s="1" t="s">
        <v>55</v>
      </c>
      <c r="J408" s="1" t="s">
        <v>56</v>
      </c>
      <c r="K408" s="1" t="s">
        <v>26</v>
      </c>
      <c r="L408" s="1" t="s">
        <v>27</v>
      </c>
      <c r="N408" s="1" t="s">
        <v>532</v>
      </c>
      <c r="O408" s="1" t="s">
        <v>57</v>
      </c>
      <c r="P408" s="1" t="s">
        <v>1037</v>
      </c>
      <c r="Q408" s="1" t="s">
        <v>1038</v>
      </c>
      <c r="R408" s="1">
        <v>0.0</v>
      </c>
      <c r="S408" s="1"/>
    </row>
    <row r="409" ht="15.75" customHeight="1">
      <c r="A409" s="1" t="s">
        <v>1042</v>
      </c>
      <c r="B409" s="1" t="s">
        <v>1043</v>
      </c>
      <c r="C409" s="1" t="s">
        <v>1044</v>
      </c>
      <c r="E409" s="1">
        <v>25.5712924</v>
      </c>
      <c r="F409" s="1">
        <v>91.8966356</v>
      </c>
      <c r="G409" s="1" t="s">
        <v>54</v>
      </c>
      <c r="H409" s="1" t="s">
        <v>55</v>
      </c>
      <c r="J409" s="1" t="s">
        <v>56</v>
      </c>
      <c r="K409" s="1" t="s">
        <v>26</v>
      </c>
      <c r="L409" s="1" t="s">
        <v>27</v>
      </c>
      <c r="N409" s="1" t="s">
        <v>1045</v>
      </c>
      <c r="O409" s="1" t="s">
        <v>57</v>
      </c>
      <c r="P409" s="1" t="s">
        <v>1037</v>
      </c>
      <c r="Q409" s="1" t="s">
        <v>1038</v>
      </c>
      <c r="R409" s="1">
        <v>0.0</v>
      </c>
      <c r="S409" s="1"/>
    </row>
    <row r="410" ht="15.75" customHeight="1">
      <c r="A410" s="1" t="s">
        <v>1046</v>
      </c>
      <c r="B410" s="1" t="s">
        <v>1047</v>
      </c>
      <c r="C410" s="1" t="s">
        <v>1048</v>
      </c>
      <c r="E410" s="1">
        <v>23.6949587</v>
      </c>
      <c r="F410" s="1">
        <v>86.94903110000001</v>
      </c>
      <c r="G410" s="1" t="s">
        <v>54</v>
      </c>
      <c r="H410" s="1" t="s">
        <v>55</v>
      </c>
      <c r="J410" s="1" t="s">
        <v>56</v>
      </c>
      <c r="K410" s="1" t="s">
        <v>26</v>
      </c>
      <c r="L410" s="1" t="s">
        <v>27</v>
      </c>
      <c r="N410" s="1" t="s">
        <v>532</v>
      </c>
      <c r="O410" s="1" t="s">
        <v>29</v>
      </c>
      <c r="P410" s="1" t="s">
        <v>1037</v>
      </c>
      <c r="Q410" s="1" t="s">
        <v>1038</v>
      </c>
      <c r="R410" s="1">
        <v>0.0</v>
      </c>
      <c r="S410" s="1"/>
    </row>
    <row r="411" ht="15.75" customHeight="1">
      <c r="A411" s="1" t="s">
        <v>1049</v>
      </c>
      <c r="B411" s="1" t="s">
        <v>1050</v>
      </c>
      <c r="C411" s="1" t="s">
        <v>1035</v>
      </c>
      <c r="E411" s="1">
        <v>26.1377382</v>
      </c>
      <c r="F411" s="1">
        <v>91.8113748</v>
      </c>
      <c r="G411" s="1" t="s">
        <v>54</v>
      </c>
      <c r="H411" s="1" t="s">
        <v>55</v>
      </c>
      <c r="J411" s="1" t="s">
        <v>56</v>
      </c>
      <c r="K411" s="1" t="s">
        <v>26</v>
      </c>
      <c r="L411" s="1" t="s">
        <v>27</v>
      </c>
      <c r="N411" s="1" t="s">
        <v>1036</v>
      </c>
      <c r="O411" s="1" t="s">
        <v>57</v>
      </c>
      <c r="P411" s="1" t="s">
        <v>1037</v>
      </c>
      <c r="Q411" s="1" t="s">
        <v>1038</v>
      </c>
      <c r="R411" s="1">
        <v>0.0</v>
      </c>
      <c r="S411" s="1"/>
    </row>
    <row r="412" ht="15.75" customHeight="1">
      <c r="A412" s="1" t="s">
        <v>1051</v>
      </c>
      <c r="B412" s="1" t="s">
        <v>1052</v>
      </c>
      <c r="C412" s="1" t="s">
        <v>1053</v>
      </c>
      <c r="E412" s="1">
        <v>26.6313005</v>
      </c>
      <c r="F412" s="1">
        <v>92.79717500000001</v>
      </c>
      <c r="G412" s="1" t="s">
        <v>54</v>
      </c>
      <c r="H412" s="1" t="s">
        <v>55</v>
      </c>
      <c r="J412" s="1" t="s">
        <v>56</v>
      </c>
      <c r="K412" s="1" t="s">
        <v>26</v>
      </c>
      <c r="L412" s="1" t="s">
        <v>27</v>
      </c>
      <c r="N412" s="1" t="s">
        <v>1036</v>
      </c>
      <c r="O412" s="1" t="s">
        <v>57</v>
      </c>
      <c r="P412" s="1" t="s">
        <v>1037</v>
      </c>
      <c r="Q412" s="1" t="s">
        <v>1038</v>
      </c>
      <c r="R412" s="1">
        <v>0.0</v>
      </c>
      <c r="S412" s="1"/>
    </row>
    <row r="413" ht="15.75" customHeight="1">
      <c r="A413" s="1" t="s">
        <v>1054</v>
      </c>
      <c r="B413" s="1" t="s">
        <v>1055</v>
      </c>
      <c r="C413" s="1" t="s">
        <v>1056</v>
      </c>
      <c r="E413" s="1">
        <v>26.326467</v>
      </c>
      <c r="F413" s="1">
        <v>89.45245500000001</v>
      </c>
      <c r="G413" s="1" t="s">
        <v>54</v>
      </c>
      <c r="H413" s="1" t="s">
        <v>55</v>
      </c>
      <c r="J413" s="1" t="s">
        <v>56</v>
      </c>
      <c r="K413" s="1" t="s">
        <v>26</v>
      </c>
      <c r="L413" s="1" t="s">
        <v>27</v>
      </c>
      <c r="N413" s="1" t="s">
        <v>532</v>
      </c>
      <c r="O413" s="1" t="s">
        <v>57</v>
      </c>
      <c r="P413" s="1" t="s">
        <v>1037</v>
      </c>
      <c r="Q413" s="1" t="s">
        <v>1038</v>
      </c>
      <c r="R413" s="1">
        <v>0.0</v>
      </c>
      <c r="S413" s="1"/>
    </row>
    <row r="414" ht="15.75" customHeight="1">
      <c r="A414" s="1" t="s">
        <v>1057</v>
      </c>
      <c r="B414" s="1" t="s">
        <v>1058</v>
      </c>
      <c r="C414" s="1" t="s">
        <v>1059</v>
      </c>
      <c r="E414" s="1">
        <v>22.7382714</v>
      </c>
      <c r="F414" s="1">
        <v>88.3508221</v>
      </c>
      <c r="G414" s="1" t="s">
        <v>54</v>
      </c>
      <c r="H414" s="1" t="s">
        <v>55</v>
      </c>
      <c r="J414" s="1" t="s">
        <v>221</v>
      </c>
      <c r="P414" s="1" t="s">
        <v>1037</v>
      </c>
      <c r="Q414" s="1" t="s">
        <v>1038</v>
      </c>
      <c r="R414" s="1">
        <v>2.0</v>
      </c>
      <c r="S414" s="1"/>
    </row>
    <row r="415" ht="15.75" customHeight="1">
      <c r="A415" s="1" t="s">
        <v>1060</v>
      </c>
      <c r="B415" s="1" t="s">
        <v>1061</v>
      </c>
      <c r="C415" s="1" t="s">
        <v>1062</v>
      </c>
      <c r="E415" s="1">
        <v>26.7023809</v>
      </c>
      <c r="F415" s="1">
        <v>88.4180413</v>
      </c>
      <c r="G415" s="1" t="s">
        <v>54</v>
      </c>
      <c r="H415" s="1" t="s">
        <v>55</v>
      </c>
      <c r="J415" s="1" t="s">
        <v>56</v>
      </c>
      <c r="K415" s="1" t="s">
        <v>26</v>
      </c>
      <c r="L415" s="1" t="s">
        <v>27</v>
      </c>
      <c r="N415" s="1" t="s">
        <v>532</v>
      </c>
      <c r="O415" s="1" t="s">
        <v>29</v>
      </c>
      <c r="P415" s="1" t="s">
        <v>1037</v>
      </c>
      <c r="Q415" s="1" t="s">
        <v>1038</v>
      </c>
      <c r="R415" s="1">
        <v>0.0</v>
      </c>
      <c r="S415" s="1"/>
    </row>
    <row r="416" ht="15.75" customHeight="1">
      <c r="A416" s="1" t="s">
        <v>1063</v>
      </c>
      <c r="B416" s="1" t="s">
        <v>1064</v>
      </c>
      <c r="C416" s="1" t="s">
        <v>1065</v>
      </c>
      <c r="E416" s="1">
        <v>26.5300324</v>
      </c>
      <c r="F416" s="1">
        <v>88.7190894</v>
      </c>
      <c r="G416" s="1" t="s">
        <v>54</v>
      </c>
      <c r="H416" s="1" t="s">
        <v>55</v>
      </c>
      <c r="J416" s="1" t="s">
        <v>56</v>
      </c>
      <c r="K416" s="1" t="s">
        <v>26</v>
      </c>
      <c r="L416" s="1" t="s">
        <v>27</v>
      </c>
      <c r="N416" s="1" t="s">
        <v>532</v>
      </c>
      <c r="O416" s="1" t="s">
        <v>29</v>
      </c>
      <c r="P416" s="1" t="s">
        <v>1037</v>
      </c>
      <c r="Q416" s="1" t="s">
        <v>1038</v>
      </c>
      <c r="R416" s="1">
        <v>0.0</v>
      </c>
      <c r="S416" s="1"/>
    </row>
    <row r="417" ht="15.75" customHeight="1">
      <c r="A417" s="1" t="s">
        <v>1066</v>
      </c>
      <c r="B417" s="1" t="s">
        <v>1067</v>
      </c>
      <c r="C417" s="1" t="s">
        <v>1062</v>
      </c>
      <c r="E417" s="1">
        <v>26.7450642</v>
      </c>
      <c r="F417" s="1">
        <v>88.4371062</v>
      </c>
      <c r="G417" s="1" t="s">
        <v>54</v>
      </c>
      <c r="H417" s="1" t="s">
        <v>55</v>
      </c>
      <c r="J417" s="1" t="s">
        <v>221</v>
      </c>
      <c r="K417" s="1" t="s">
        <v>26</v>
      </c>
      <c r="L417" s="1" t="s">
        <v>27</v>
      </c>
      <c r="N417" s="1" t="s">
        <v>532</v>
      </c>
      <c r="O417" s="1" t="s">
        <v>57</v>
      </c>
      <c r="P417" s="1" t="s">
        <v>1037</v>
      </c>
      <c r="Q417" s="1" t="s">
        <v>1038</v>
      </c>
      <c r="R417" s="1">
        <v>0.0</v>
      </c>
      <c r="S417" s="1"/>
    </row>
    <row r="418" ht="15.75" customHeight="1">
      <c r="A418" s="1" t="s">
        <v>1068</v>
      </c>
      <c r="B418" s="1" t="s">
        <v>1069</v>
      </c>
      <c r="C418" s="1" t="s">
        <v>1070</v>
      </c>
      <c r="E418" s="1">
        <v>22.7180598</v>
      </c>
      <c r="F418" s="1">
        <v>88.3736541</v>
      </c>
      <c r="G418" s="1" t="s">
        <v>54</v>
      </c>
      <c r="H418" s="1" t="s">
        <v>55</v>
      </c>
      <c r="J418" s="1" t="s">
        <v>56</v>
      </c>
      <c r="K418" s="1" t="s">
        <v>26</v>
      </c>
      <c r="L418" s="1" t="s">
        <v>27</v>
      </c>
      <c r="N418" s="1" t="s">
        <v>532</v>
      </c>
      <c r="O418" s="1" t="s">
        <v>57</v>
      </c>
      <c r="P418" s="1" t="s">
        <v>1037</v>
      </c>
      <c r="Q418" s="1" t="s">
        <v>1038</v>
      </c>
      <c r="R418" s="1">
        <v>1.0</v>
      </c>
      <c r="S418" s="1"/>
    </row>
    <row r="419" ht="15.75" customHeight="1">
      <c r="A419" s="1" t="s">
        <v>1071</v>
      </c>
      <c r="B419" s="1" t="s">
        <v>1072</v>
      </c>
      <c r="C419" s="1" t="s">
        <v>1073</v>
      </c>
      <c r="E419" s="1">
        <v>23.4067884</v>
      </c>
      <c r="F419" s="1">
        <v>88.48732559999999</v>
      </c>
      <c r="G419" s="1" t="s">
        <v>54</v>
      </c>
      <c r="H419" s="1" t="s">
        <v>55</v>
      </c>
      <c r="J419" s="1" t="s">
        <v>56</v>
      </c>
      <c r="K419" s="1" t="s">
        <v>26</v>
      </c>
      <c r="L419" s="1" t="s">
        <v>27</v>
      </c>
      <c r="N419" s="1" t="s">
        <v>532</v>
      </c>
      <c r="O419" s="1" t="s">
        <v>57</v>
      </c>
      <c r="P419" s="1" t="s">
        <v>1037</v>
      </c>
      <c r="Q419" s="1" t="s">
        <v>1038</v>
      </c>
      <c r="R419" s="1">
        <v>0.0</v>
      </c>
      <c r="S419" s="1"/>
    </row>
    <row r="420" ht="15.75" customHeight="1">
      <c r="A420" s="1" t="s">
        <v>1074</v>
      </c>
      <c r="B420" s="1" t="s">
        <v>1075</v>
      </c>
      <c r="C420" s="1" t="s">
        <v>1044</v>
      </c>
      <c r="E420" s="1">
        <v>25.5707661</v>
      </c>
      <c r="F420" s="1">
        <v>91.88375049999999</v>
      </c>
      <c r="G420" s="1" t="s">
        <v>54</v>
      </c>
      <c r="H420" s="1" t="s">
        <v>55</v>
      </c>
      <c r="J420" s="1" t="s">
        <v>56</v>
      </c>
      <c r="K420" s="1" t="s">
        <v>26</v>
      </c>
      <c r="L420" s="1" t="s">
        <v>27</v>
      </c>
      <c r="N420" s="1" t="s">
        <v>1045</v>
      </c>
      <c r="O420" s="1" t="s">
        <v>57</v>
      </c>
      <c r="P420" s="1" t="s">
        <v>1037</v>
      </c>
      <c r="Q420" s="1" t="s">
        <v>1038</v>
      </c>
      <c r="R420" s="1">
        <v>0.0</v>
      </c>
      <c r="S420" s="1"/>
    </row>
    <row r="421" ht="15.75" customHeight="1">
      <c r="A421" s="1" t="s">
        <v>1076</v>
      </c>
      <c r="B421" s="1" t="s">
        <v>1077</v>
      </c>
      <c r="C421" s="1" t="s">
        <v>1078</v>
      </c>
      <c r="E421" s="1">
        <v>12.9381988</v>
      </c>
      <c r="F421" s="1">
        <v>77.62745869999999</v>
      </c>
      <c r="G421" s="1" t="s">
        <v>54</v>
      </c>
      <c r="H421" s="1" t="s">
        <v>55</v>
      </c>
      <c r="J421" s="1" t="s">
        <v>25</v>
      </c>
      <c r="K421" s="1" t="s">
        <v>26</v>
      </c>
      <c r="L421" s="1" t="s">
        <v>27</v>
      </c>
      <c r="N421" s="1" t="s">
        <v>743</v>
      </c>
      <c r="O421" s="1" t="s">
        <v>29</v>
      </c>
      <c r="P421" s="1" t="s">
        <v>1079</v>
      </c>
      <c r="Q421" s="1" t="s">
        <v>1080</v>
      </c>
      <c r="R421" s="1">
        <v>15.0</v>
      </c>
      <c r="S421" s="1"/>
    </row>
    <row r="422" ht="15.75" customHeight="1">
      <c r="A422" s="1" t="s">
        <v>1081</v>
      </c>
      <c r="B422" s="1" t="s">
        <v>1082</v>
      </c>
      <c r="C422" s="1" t="s">
        <v>1083</v>
      </c>
      <c r="E422" s="1">
        <v>15.5356417</v>
      </c>
      <c r="F422" s="1">
        <v>73.8232601</v>
      </c>
      <c r="G422" s="1" t="s">
        <v>54</v>
      </c>
      <c r="H422" s="1" t="s">
        <v>55</v>
      </c>
      <c r="J422" s="1" t="s">
        <v>25</v>
      </c>
      <c r="K422" s="1" t="s">
        <v>26</v>
      </c>
      <c r="L422" s="1" t="s">
        <v>27</v>
      </c>
      <c r="N422" s="1" t="s">
        <v>1084</v>
      </c>
      <c r="O422" s="1" t="s">
        <v>29</v>
      </c>
      <c r="P422" s="1" t="s">
        <v>1079</v>
      </c>
      <c r="Q422" s="1" t="s">
        <v>1080</v>
      </c>
      <c r="R422" s="1">
        <v>0.0</v>
      </c>
      <c r="S422" s="1"/>
    </row>
    <row r="423" ht="15.75" customHeight="1">
      <c r="A423" s="1" t="s">
        <v>1085</v>
      </c>
      <c r="B423" s="1" t="s">
        <v>1086</v>
      </c>
      <c r="C423" s="1" t="s">
        <v>1078</v>
      </c>
      <c r="E423" s="1">
        <v>13.0257962</v>
      </c>
      <c r="F423" s="1">
        <v>77.64099279999999</v>
      </c>
      <c r="G423" s="1" t="s">
        <v>54</v>
      </c>
      <c r="H423" s="1" t="s">
        <v>55</v>
      </c>
      <c r="J423" s="1" t="s">
        <v>44</v>
      </c>
      <c r="K423" s="1" t="s">
        <v>26</v>
      </c>
      <c r="L423" s="1" t="s">
        <v>27</v>
      </c>
      <c r="N423" s="1" t="s">
        <v>743</v>
      </c>
      <c r="O423" s="1" t="s">
        <v>29</v>
      </c>
      <c r="P423" s="1" t="s">
        <v>1079</v>
      </c>
      <c r="Q423" s="1" t="s">
        <v>1080</v>
      </c>
      <c r="R423" s="1">
        <v>4.0</v>
      </c>
      <c r="S423" s="1"/>
    </row>
    <row r="424" ht="15.75" customHeight="1">
      <c r="A424" s="1" t="s">
        <v>1087</v>
      </c>
      <c r="B424" s="1" t="s">
        <v>1088</v>
      </c>
      <c r="C424" s="1" t="s">
        <v>185</v>
      </c>
      <c r="E424" s="1">
        <v>17.4814601</v>
      </c>
      <c r="F424" s="1">
        <v>78.5541435</v>
      </c>
      <c r="G424" s="1" t="s">
        <v>54</v>
      </c>
      <c r="H424" s="1" t="s">
        <v>55</v>
      </c>
      <c r="J424" s="1" t="s">
        <v>56</v>
      </c>
      <c r="K424" s="1" t="s">
        <v>26</v>
      </c>
      <c r="L424" s="1" t="s">
        <v>27</v>
      </c>
      <c r="N424" s="1" t="s">
        <v>186</v>
      </c>
      <c r="O424" s="1" t="s">
        <v>57</v>
      </c>
      <c r="P424" s="1" t="s">
        <v>187</v>
      </c>
      <c r="Q424" s="1" t="s">
        <v>188</v>
      </c>
      <c r="R424" s="1">
        <v>4.0</v>
      </c>
      <c r="S424" s="1"/>
    </row>
    <row r="425" ht="15.75" customHeight="1">
      <c r="A425" s="1" t="s">
        <v>1089</v>
      </c>
      <c r="B425" s="1" t="s">
        <v>1090</v>
      </c>
      <c r="C425" s="1" t="s">
        <v>1078</v>
      </c>
      <c r="E425" s="1">
        <v>13.0714551</v>
      </c>
      <c r="F425" s="1">
        <v>77.5913908</v>
      </c>
      <c r="G425" s="1" t="s">
        <v>54</v>
      </c>
      <c r="H425" s="1" t="s">
        <v>55</v>
      </c>
      <c r="J425" s="1" t="s">
        <v>118</v>
      </c>
      <c r="K425" s="1" t="s">
        <v>26</v>
      </c>
      <c r="L425" s="1" t="s">
        <v>27</v>
      </c>
      <c r="N425" s="1" t="s">
        <v>743</v>
      </c>
      <c r="O425" s="1" t="s">
        <v>29</v>
      </c>
      <c r="P425" s="1" t="s">
        <v>1079</v>
      </c>
      <c r="Q425" s="1" t="s">
        <v>1080</v>
      </c>
      <c r="R425" s="1">
        <v>4.0</v>
      </c>
      <c r="S425" s="1"/>
    </row>
    <row r="426" ht="15.75" customHeight="1">
      <c r="A426" s="1" t="s">
        <v>1091</v>
      </c>
      <c r="B426" s="1" t="s">
        <v>1092</v>
      </c>
      <c r="C426" s="1" t="s">
        <v>1093</v>
      </c>
      <c r="E426" s="1">
        <v>15.4670538</v>
      </c>
      <c r="F426" s="1">
        <v>73.8180493</v>
      </c>
      <c r="G426" s="1" t="s">
        <v>54</v>
      </c>
      <c r="H426" s="1" t="s">
        <v>55</v>
      </c>
      <c r="J426" s="1" t="s">
        <v>56</v>
      </c>
      <c r="K426" s="1" t="s">
        <v>26</v>
      </c>
      <c r="L426" s="1" t="s">
        <v>27</v>
      </c>
      <c r="N426" s="1" t="s">
        <v>1084</v>
      </c>
      <c r="O426" s="1" t="s">
        <v>57</v>
      </c>
      <c r="P426" s="1" t="s">
        <v>1079</v>
      </c>
      <c r="Q426" s="1" t="s">
        <v>1080</v>
      </c>
      <c r="R426" s="1">
        <v>0.0</v>
      </c>
      <c r="S426" s="1"/>
    </row>
    <row r="427" ht="15.75" customHeight="1">
      <c r="A427" s="1" t="s">
        <v>1094</v>
      </c>
      <c r="B427" s="1" t="s">
        <v>1095</v>
      </c>
      <c r="C427" s="1" t="s">
        <v>1096</v>
      </c>
      <c r="E427" s="1">
        <v>11.6738298</v>
      </c>
      <c r="F427" s="1">
        <v>78.1359149</v>
      </c>
      <c r="G427" s="1" t="s">
        <v>54</v>
      </c>
      <c r="H427" s="1" t="s">
        <v>55</v>
      </c>
      <c r="J427" s="1" t="s">
        <v>56</v>
      </c>
      <c r="K427" s="1" t="s">
        <v>26</v>
      </c>
      <c r="L427" s="1" t="s">
        <v>27</v>
      </c>
      <c r="N427" s="1" t="s">
        <v>1097</v>
      </c>
      <c r="O427" s="1" t="s">
        <v>29</v>
      </c>
      <c r="P427" s="1" t="s">
        <v>1098</v>
      </c>
      <c r="Q427" s="1" t="s">
        <v>1099</v>
      </c>
      <c r="R427" s="1">
        <v>0.0</v>
      </c>
      <c r="S427" s="1"/>
    </row>
    <row r="428" ht="15.75" customHeight="1">
      <c r="A428" s="1" t="s">
        <v>1100</v>
      </c>
      <c r="B428" s="1" t="s">
        <v>1101</v>
      </c>
      <c r="C428" s="1" t="s">
        <v>1078</v>
      </c>
      <c r="E428" s="1">
        <v>13.0921446</v>
      </c>
      <c r="F428" s="1">
        <v>77.5939446</v>
      </c>
      <c r="G428" s="1" t="s">
        <v>54</v>
      </c>
      <c r="H428" s="1" t="s">
        <v>55</v>
      </c>
      <c r="J428" s="1" t="s">
        <v>56</v>
      </c>
      <c r="K428" s="1" t="s">
        <v>26</v>
      </c>
      <c r="L428" s="1" t="s">
        <v>27</v>
      </c>
      <c r="N428" s="1" t="s">
        <v>743</v>
      </c>
      <c r="O428" s="1" t="s">
        <v>57</v>
      </c>
      <c r="P428" s="1" t="s">
        <v>1079</v>
      </c>
      <c r="Q428" s="1" t="s">
        <v>1080</v>
      </c>
      <c r="R428" s="1">
        <v>1.0</v>
      </c>
      <c r="S428" s="1"/>
    </row>
    <row r="429" ht="15.75" customHeight="1">
      <c r="A429" s="1" t="s">
        <v>1102</v>
      </c>
      <c r="B429" s="1" t="s">
        <v>1103</v>
      </c>
      <c r="C429" s="1" t="s">
        <v>1104</v>
      </c>
      <c r="E429" s="1">
        <v>13.3393967</v>
      </c>
      <c r="F429" s="1">
        <v>77.111702</v>
      </c>
      <c r="G429" s="1" t="s">
        <v>54</v>
      </c>
      <c r="H429" s="1" t="s">
        <v>55</v>
      </c>
      <c r="J429" s="1" t="s">
        <v>56</v>
      </c>
      <c r="K429" s="1" t="s">
        <v>26</v>
      </c>
      <c r="L429" s="1" t="s">
        <v>27</v>
      </c>
      <c r="N429" s="1" t="s">
        <v>743</v>
      </c>
      <c r="O429" s="1" t="s">
        <v>57</v>
      </c>
      <c r="P429" s="1" t="s">
        <v>1079</v>
      </c>
      <c r="Q429" s="1" t="s">
        <v>1080</v>
      </c>
      <c r="R429" s="1">
        <v>0.0</v>
      </c>
      <c r="S429" s="1"/>
    </row>
    <row r="430" ht="15.75" customHeight="1">
      <c r="A430" s="1" t="s">
        <v>1105</v>
      </c>
      <c r="B430" s="1" t="s">
        <v>1106</v>
      </c>
      <c r="C430" s="1" t="s">
        <v>1107</v>
      </c>
      <c r="E430" s="1">
        <v>15.358957</v>
      </c>
      <c r="F430" s="1">
        <v>75.1272909</v>
      </c>
      <c r="G430" s="1" t="s">
        <v>54</v>
      </c>
      <c r="H430" s="1" t="s">
        <v>55</v>
      </c>
      <c r="J430" s="1" t="s">
        <v>56</v>
      </c>
      <c r="K430" s="1" t="s">
        <v>26</v>
      </c>
      <c r="L430" s="1" t="s">
        <v>27</v>
      </c>
      <c r="N430" s="1" t="s">
        <v>743</v>
      </c>
      <c r="O430" s="1" t="s">
        <v>57</v>
      </c>
      <c r="P430" s="1" t="s">
        <v>1079</v>
      </c>
      <c r="Q430" s="1" t="s">
        <v>1080</v>
      </c>
      <c r="R430" s="1">
        <v>1.0</v>
      </c>
      <c r="S430" s="1"/>
    </row>
    <row r="431" ht="15.75" customHeight="1">
      <c r="A431" s="1" t="s">
        <v>1108</v>
      </c>
      <c r="B431" s="1" t="s">
        <v>1109</v>
      </c>
      <c r="C431" s="1" t="s">
        <v>1078</v>
      </c>
      <c r="E431" s="1">
        <v>13.0647525</v>
      </c>
      <c r="F431" s="1">
        <v>77.6520841</v>
      </c>
      <c r="G431" s="1" t="s">
        <v>54</v>
      </c>
      <c r="H431" s="1" t="s">
        <v>55</v>
      </c>
      <c r="J431" s="1" t="s">
        <v>118</v>
      </c>
      <c r="K431" s="1" t="s">
        <v>26</v>
      </c>
      <c r="L431" s="1" t="s">
        <v>27</v>
      </c>
      <c r="N431" s="1" t="s">
        <v>743</v>
      </c>
      <c r="O431" s="1" t="s">
        <v>29</v>
      </c>
      <c r="P431" s="1" t="s">
        <v>1079</v>
      </c>
      <c r="Q431" s="1" t="s">
        <v>1080</v>
      </c>
      <c r="R431" s="1">
        <v>4.0</v>
      </c>
      <c r="S431" s="1"/>
    </row>
    <row r="432" ht="15.75" customHeight="1">
      <c r="A432" s="1" t="s">
        <v>1110</v>
      </c>
      <c r="B432" s="1" t="s">
        <v>1111</v>
      </c>
      <c r="C432" s="1" t="s">
        <v>1112</v>
      </c>
      <c r="E432" s="1">
        <v>13.1215672</v>
      </c>
      <c r="F432" s="1">
        <v>80.1487372</v>
      </c>
      <c r="G432" s="1" t="s">
        <v>54</v>
      </c>
      <c r="H432" s="1" t="s">
        <v>55</v>
      </c>
      <c r="J432" s="1" t="s">
        <v>56</v>
      </c>
      <c r="K432" s="1" t="s">
        <v>26</v>
      </c>
      <c r="L432" s="1" t="s">
        <v>27</v>
      </c>
      <c r="N432" s="1" t="s">
        <v>1097</v>
      </c>
      <c r="O432" s="1" t="s">
        <v>29</v>
      </c>
      <c r="P432" s="1" t="s">
        <v>1098</v>
      </c>
      <c r="Q432" s="1" t="s">
        <v>1099</v>
      </c>
      <c r="R432" s="1">
        <v>3.0</v>
      </c>
      <c r="S432" s="1"/>
    </row>
    <row r="433" ht="15.75" customHeight="1">
      <c r="A433" s="1" t="s">
        <v>1113</v>
      </c>
      <c r="B433" s="1" t="s">
        <v>1114</v>
      </c>
      <c r="C433" s="1" t="s">
        <v>1093</v>
      </c>
      <c r="E433" s="1">
        <v>15.3871098</v>
      </c>
      <c r="F433" s="1">
        <v>73.84595039999999</v>
      </c>
      <c r="G433" s="1" t="s">
        <v>54</v>
      </c>
      <c r="H433" s="1" t="s">
        <v>55</v>
      </c>
      <c r="J433" s="1" t="s">
        <v>56</v>
      </c>
      <c r="K433" s="1" t="s">
        <v>26</v>
      </c>
      <c r="L433" s="1" t="s">
        <v>27</v>
      </c>
      <c r="N433" s="1" t="s">
        <v>1084</v>
      </c>
      <c r="O433" s="1" t="s">
        <v>57</v>
      </c>
      <c r="P433" s="1" t="s">
        <v>1079</v>
      </c>
      <c r="Q433" s="1" t="s">
        <v>1080</v>
      </c>
      <c r="R433" s="1">
        <v>0.0</v>
      </c>
      <c r="S433" s="1"/>
    </row>
    <row r="434" ht="15.75" customHeight="1">
      <c r="A434" s="1" t="s">
        <v>1115</v>
      </c>
      <c r="B434" s="1" t="s">
        <v>1116</v>
      </c>
      <c r="C434" s="1" t="s">
        <v>1078</v>
      </c>
      <c r="E434" s="1">
        <v>12.9705897</v>
      </c>
      <c r="F434" s="1">
        <v>77.6410305</v>
      </c>
      <c r="G434" s="1" t="s">
        <v>54</v>
      </c>
      <c r="H434" s="1" t="s">
        <v>55</v>
      </c>
      <c r="J434" s="1" t="s">
        <v>25</v>
      </c>
      <c r="K434" s="1" t="s">
        <v>26</v>
      </c>
      <c r="L434" s="1" t="s">
        <v>27</v>
      </c>
      <c r="N434" s="1" t="s">
        <v>743</v>
      </c>
      <c r="O434" s="1" t="s">
        <v>29</v>
      </c>
      <c r="P434" s="1" t="s">
        <v>1079</v>
      </c>
      <c r="Q434" s="1" t="s">
        <v>1080</v>
      </c>
      <c r="R434" s="1">
        <v>12.0</v>
      </c>
      <c r="S434" s="1"/>
    </row>
    <row r="435" ht="15.75" customHeight="1">
      <c r="A435" s="1" t="s">
        <v>1117</v>
      </c>
      <c r="B435" s="1" t="s">
        <v>1118</v>
      </c>
      <c r="C435" s="1" t="s">
        <v>1112</v>
      </c>
      <c r="E435" s="1">
        <v>13.0843346</v>
      </c>
      <c r="F435" s="1">
        <v>80.2170951</v>
      </c>
      <c r="G435" s="1" t="s">
        <v>54</v>
      </c>
      <c r="H435" s="1" t="s">
        <v>55</v>
      </c>
      <c r="J435" s="1" t="s">
        <v>44</v>
      </c>
      <c r="K435" s="1" t="s">
        <v>26</v>
      </c>
      <c r="L435" s="1" t="s">
        <v>27</v>
      </c>
      <c r="N435" s="1" t="s">
        <v>1097</v>
      </c>
      <c r="O435" s="1" t="s">
        <v>29</v>
      </c>
      <c r="P435" s="1" t="s">
        <v>1098</v>
      </c>
      <c r="Q435" s="1" t="s">
        <v>1099</v>
      </c>
      <c r="R435" s="1">
        <v>12.0</v>
      </c>
      <c r="S435" s="1"/>
    </row>
    <row r="436" ht="15.75" customHeight="1">
      <c r="A436" s="1" t="s">
        <v>1119</v>
      </c>
      <c r="B436" s="1" t="s">
        <v>1120</v>
      </c>
      <c r="C436" s="1" t="s">
        <v>1121</v>
      </c>
      <c r="E436" s="1">
        <v>12.2941407</v>
      </c>
      <c r="F436" s="1">
        <v>76.6255209</v>
      </c>
      <c r="G436" s="1" t="s">
        <v>54</v>
      </c>
      <c r="H436" s="1" t="s">
        <v>55</v>
      </c>
      <c r="J436" s="1" t="s">
        <v>44</v>
      </c>
      <c r="K436" s="1" t="s">
        <v>26</v>
      </c>
      <c r="L436" s="1" t="s">
        <v>27</v>
      </c>
      <c r="N436" s="1" t="s">
        <v>743</v>
      </c>
      <c r="O436" s="1" t="s">
        <v>29</v>
      </c>
      <c r="P436" s="1" t="s">
        <v>1079</v>
      </c>
      <c r="Q436" s="1" t="s">
        <v>1080</v>
      </c>
      <c r="R436" s="1">
        <v>0.0</v>
      </c>
      <c r="S436" s="1"/>
    </row>
    <row r="437" ht="15.75" customHeight="1">
      <c r="A437" s="1" t="s">
        <v>1122</v>
      </c>
      <c r="B437" s="1" t="s">
        <v>1123</v>
      </c>
      <c r="C437" s="1" t="s">
        <v>1112</v>
      </c>
      <c r="E437" s="1">
        <v>13.0484886</v>
      </c>
      <c r="F437" s="1">
        <v>80.23301719999999</v>
      </c>
      <c r="G437" s="1" t="s">
        <v>54</v>
      </c>
      <c r="H437" s="1" t="s">
        <v>55</v>
      </c>
      <c r="J437" s="1" t="s">
        <v>25</v>
      </c>
      <c r="K437" s="1" t="s">
        <v>26</v>
      </c>
      <c r="L437" s="1" t="s">
        <v>27</v>
      </c>
      <c r="N437" s="1" t="s">
        <v>1097</v>
      </c>
      <c r="O437" s="1" t="s">
        <v>29</v>
      </c>
      <c r="P437" s="1" t="s">
        <v>1098</v>
      </c>
      <c r="Q437" s="1" t="s">
        <v>1099</v>
      </c>
      <c r="R437" s="1">
        <v>12.0</v>
      </c>
      <c r="S437" s="1"/>
    </row>
    <row r="438" ht="15.75" customHeight="1">
      <c r="A438" s="1" t="s">
        <v>1124</v>
      </c>
      <c r="B438" s="1" t="s">
        <v>1125</v>
      </c>
      <c r="C438" s="1" t="s">
        <v>1083</v>
      </c>
      <c r="E438" s="1">
        <v>15.6078395</v>
      </c>
      <c r="F438" s="1">
        <v>73.823405</v>
      </c>
      <c r="G438" s="1" t="s">
        <v>54</v>
      </c>
      <c r="H438" s="1" t="s">
        <v>55</v>
      </c>
      <c r="J438" s="1" t="s">
        <v>44</v>
      </c>
      <c r="K438" s="1" t="s">
        <v>26</v>
      </c>
      <c r="L438" s="1" t="s">
        <v>27</v>
      </c>
      <c r="N438" s="1" t="s">
        <v>1084</v>
      </c>
      <c r="O438" s="1" t="s">
        <v>29</v>
      </c>
      <c r="P438" s="1" t="s">
        <v>1079</v>
      </c>
      <c r="Q438" s="1" t="s">
        <v>1080</v>
      </c>
      <c r="R438" s="1">
        <v>0.0</v>
      </c>
      <c r="S438" s="1"/>
    </row>
    <row r="439" ht="15.75" customHeight="1">
      <c r="A439" s="1" t="s">
        <v>1126</v>
      </c>
      <c r="B439" s="1" t="s">
        <v>1127</v>
      </c>
      <c r="C439" s="1" t="s">
        <v>185</v>
      </c>
      <c r="E439" s="1">
        <v>17.4830248</v>
      </c>
      <c r="F439" s="1">
        <v>78.4145257</v>
      </c>
      <c r="G439" s="1" t="s">
        <v>54</v>
      </c>
      <c r="H439" s="1" t="s">
        <v>55</v>
      </c>
      <c r="J439" s="1" t="s">
        <v>44</v>
      </c>
      <c r="K439" s="1" t="s">
        <v>26</v>
      </c>
      <c r="L439" s="1" t="s">
        <v>27</v>
      </c>
      <c r="N439" s="1" t="s">
        <v>186</v>
      </c>
      <c r="O439" s="1" t="s">
        <v>29</v>
      </c>
      <c r="P439" s="1" t="s">
        <v>187</v>
      </c>
      <c r="Q439" s="1" t="s">
        <v>188</v>
      </c>
      <c r="R439" s="1">
        <v>9.0</v>
      </c>
      <c r="S439" s="1"/>
    </row>
    <row r="440" ht="15.75" customHeight="1">
      <c r="A440" s="1" t="s">
        <v>1128</v>
      </c>
      <c r="B440" s="1" t="s">
        <v>1129</v>
      </c>
      <c r="C440" s="1" t="s">
        <v>1078</v>
      </c>
      <c r="E440" s="1">
        <v>12.9570038</v>
      </c>
      <c r="F440" s="1">
        <v>77.7321532</v>
      </c>
      <c r="G440" s="1" t="s">
        <v>54</v>
      </c>
      <c r="H440" s="1" t="s">
        <v>55</v>
      </c>
      <c r="J440" s="1" t="s">
        <v>118</v>
      </c>
      <c r="K440" s="1" t="s">
        <v>26</v>
      </c>
      <c r="L440" s="1" t="s">
        <v>27</v>
      </c>
      <c r="N440" s="1" t="s">
        <v>743</v>
      </c>
      <c r="O440" s="1" t="s">
        <v>29</v>
      </c>
      <c r="P440" s="1" t="s">
        <v>1079</v>
      </c>
      <c r="Q440" s="1" t="s">
        <v>1080</v>
      </c>
      <c r="R440" s="1">
        <v>7.0</v>
      </c>
      <c r="S440" s="1"/>
    </row>
    <row r="441" ht="15.75" customHeight="1">
      <c r="A441" s="1" t="s">
        <v>1130</v>
      </c>
      <c r="B441" s="1" t="s">
        <v>1131</v>
      </c>
      <c r="C441" s="1" t="s">
        <v>1078</v>
      </c>
      <c r="E441" s="1">
        <v>12.9167386</v>
      </c>
      <c r="F441" s="1">
        <v>77.5912937</v>
      </c>
      <c r="G441" s="1" t="s">
        <v>54</v>
      </c>
      <c r="H441" s="1" t="s">
        <v>55</v>
      </c>
      <c r="J441" s="1" t="s">
        <v>44</v>
      </c>
      <c r="K441" s="1" t="s">
        <v>26</v>
      </c>
      <c r="L441" s="1" t="s">
        <v>27</v>
      </c>
      <c r="N441" s="1" t="s">
        <v>743</v>
      </c>
      <c r="O441" s="1" t="s">
        <v>29</v>
      </c>
      <c r="P441" s="1" t="s">
        <v>1079</v>
      </c>
      <c r="Q441" s="1" t="s">
        <v>1080</v>
      </c>
      <c r="R441" s="1">
        <v>11.0</v>
      </c>
      <c r="S441" s="1"/>
    </row>
    <row r="442" ht="15.75" customHeight="1">
      <c r="A442" s="1" t="s">
        <v>1132</v>
      </c>
      <c r="B442" s="1" t="s">
        <v>1133</v>
      </c>
      <c r="C442" s="1" t="s">
        <v>1078</v>
      </c>
      <c r="E442" s="1">
        <v>12.9959971</v>
      </c>
      <c r="F442" s="1">
        <v>77.69663129999999</v>
      </c>
      <c r="G442" s="1" t="s">
        <v>54</v>
      </c>
      <c r="H442" s="1" t="s">
        <v>55</v>
      </c>
      <c r="J442" s="1" t="s">
        <v>56</v>
      </c>
      <c r="K442" s="1" t="s">
        <v>26</v>
      </c>
      <c r="L442" s="1" t="s">
        <v>27</v>
      </c>
      <c r="N442" s="1" t="s">
        <v>743</v>
      </c>
      <c r="O442" s="1" t="s">
        <v>57</v>
      </c>
      <c r="P442" s="1" t="s">
        <v>1079</v>
      </c>
      <c r="Q442" s="1" t="s">
        <v>1080</v>
      </c>
      <c r="R442" s="1">
        <v>9.0</v>
      </c>
      <c r="S442" s="1"/>
    </row>
    <row r="443" ht="15.75" customHeight="1">
      <c r="A443" s="1" t="s">
        <v>1134</v>
      </c>
      <c r="B443" s="1" t="s">
        <v>1135</v>
      </c>
      <c r="C443" s="1" t="s">
        <v>1078</v>
      </c>
      <c r="E443" s="1">
        <v>12.9244623</v>
      </c>
      <c r="F443" s="1">
        <v>77.5529584</v>
      </c>
      <c r="G443" s="1" t="s">
        <v>54</v>
      </c>
      <c r="H443" s="1" t="s">
        <v>55</v>
      </c>
      <c r="J443" s="1" t="s">
        <v>118</v>
      </c>
      <c r="K443" s="1" t="s">
        <v>26</v>
      </c>
      <c r="L443" s="1" t="s">
        <v>27</v>
      </c>
      <c r="N443" s="1" t="s">
        <v>743</v>
      </c>
      <c r="O443" s="1" t="s">
        <v>29</v>
      </c>
      <c r="P443" s="1" t="s">
        <v>1079</v>
      </c>
      <c r="Q443" s="1" t="s">
        <v>1080</v>
      </c>
      <c r="R443" s="1">
        <v>11.0</v>
      </c>
      <c r="S443" s="1"/>
    </row>
    <row r="444" ht="15.75" customHeight="1">
      <c r="A444" s="1" t="s">
        <v>1136</v>
      </c>
      <c r="B444" s="1" t="s">
        <v>1137</v>
      </c>
      <c r="C444" s="1" t="s">
        <v>1138</v>
      </c>
      <c r="E444" s="1">
        <v>11.0140643</v>
      </c>
      <c r="F444" s="1">
        <v>76.9878993</v>
      </c>
      <c r="G444" s="1" t="s">
        <v>54</v>
      </c>
      <c r="H444" s="1" t="s">
        <v>55</v>
      </c>
      <c r="J444" s="1" t="s">
        <v>118</v>
      </c>
      <c r="K444" s="1" t="s">
        <v>26</v>
      </c>
      <c r="L444" s="1" t="s">
        <v>27</v>
      </c>
      <c r="N444" s="1" t="s">
        <v>1097</v>
      </c>
      <c r="O444" s="1" t="s">
        <v>29</v>
      </c>
      <c r="P444" s="1" t="s">
        <v>1098</v>
      </c>
      <c r="Q444" s="1" t="s">
        <v>1099</v>
      </c>
      <c r="R444" s="1">
        <v>1.0</v>
      </c>
      <c r="S444" s="1"/>
    </row>
    <row r="445" ht="15.75" customHeight="1">
      <c r="A445" s="1" t="s">
        <v>1139</v>
      </c>
      <c r="B445" s="1" t="s">
        <v>1140</v>
      </c>
      <c r="C445" s="1" t="s">
        <v>1112</v>
      </c>
      <c r="E445" s="1">
        <v>13.0674617</v>
      </c>
      <c r="F445" s="1">
        <v>80.2684908</v>
      </c>
      <c r="G445" s="1" t="s">
        <v>54</v>
      </c>
      <c r="H445" s="1" t="s">
        <v>55</v>
      </c>
      <c r="J445" s="1" t="s">
        <v>118</v>
      </c>
      <c r="K445" s="1" t="s">
        <v>26</v>
      </c>
      <c r="L445" s="1" t="s">
        <v>27</v>
      </c>
      <c r="N445" s="1" t="s">
        <v>1097</v>
      </c>
      <c r="O445" s="1" t="s">
        <v>29</v>
      </c>
      <c r="P445" s="1" t="s">
        <v>1098</v>
      </c>
      <c r="Q445" s="1" t="s">
        <v>1099</v>
      </c>
      <c r="R445" s="1">
        <v>8.0</v>
      </c>
      <c r="S445" s="1"/>
    </row>
    <row r="446" ht="15.75" customHeight="1">
      <c r="A446" s="1" t="s">
        <v>1141</v>
      </c>
      <c r="B446" s="1" t="s">
        <v>1142</v>
      </c>
      <c r="C446" s="1" t="s">
        <v>185</v>
      </c>
      <c r="E446" s="1">
        <v>17.4580954</v>
      </c>
      <c r="F446" s="1">
        <v>78.3645568</v>
      </c>
      <c r="G446" s="1" t="s">
        <v>54</v>
      </c>
      <c r="H446" s="1" t="s">
        <v>55</v>
      </c>
      <c r="J446" s="1" t="s">
        <v>56</v>
      </c>
      <c r="K446" s="1" t="s">
        <v>26</v>
      </c>
      <c r="L446" s="1" t="s">
        <v>27</v>
      </c>
      <c r="N446" s="1" t="s">
        <v>186</v>
      </c>
      <c r="O446" s="1" t="s">
        <v>57</v>
      </c>
      <c r="P446" s="1" t="s">
        <v>187</v>
      </c>
      <c r="Q446" s="1" t="s">
        <v>188</v>
      </c>
      <c r="R446" s="1">
        <v>6.0</v>
      </c>
      <c r="S446" s="1"/>
    </row>
    <row r="447" ht="15.75" customHeight="1">
      <c r="A447" s="1" t="s">
        <v>1143</v>
      </c>
      <c r="B447" s="1" t="s">
        <v>1144</v>
      </c>
      <c r="C447" s="1" t="s">
        <v>1112</v>
      </c>
      <c r="E447" s="1">
        <v>12.9434396</v>
      </c>
      <c r="F447" s="1">
        <v>80.134207</v>
      </c>
      <c r="G447" s="1" t="s">
        <v>54</v>
      </c>
      <c r="H447" s="1" t="s">
        <v>55</v>
      </c>
      <c r="J447" s="1" t="s">
        <v>44</v>
      </c>
      <c r="K447" s="1" t="s">
        <v>26</v>
      </c>
      <c r="L447" s="1" t="s">
        <v>27</v>
      </c>
      <c r="N447" s="1" t="s">
        <v>1097</v>
      </c>
      <c r="O447" s="1" t="s">
        <v>29</v>
      </c>
      <c r="P447" s="1" t="s">
        <v>1098</v>
      </c>
      <c r="Q447" s="1" t="s">
        <v>1099</v>
      </c>
      <c r="R447" s="1">
        <v>10.0</v>
      </c>
      <c r="S447" s="1"/>
    </row>
    <row r="448" ht="15.75" customHeight="1">
      <c r="A448" s="1" t="s">
        <v>1145</v>
      </c>
      <c r="B448" s="1" t="s">
        <v>1146</v>
      </c>
      <c r="C448" s="1" t="s">
        <v>1078</v>
      </c>
      <c r="E448" s="1">
        <v>12.9432042</v>
      </c>
      <c r="F448" s="1">
        <v>77.6979238</v>
      </c>
      <c r="G448" s="1" t="s">
        <v>54</v>
      </c>
      <c r="H448" s="1" t="s">
        <v>55</v>
      </c>
      <c r="J448" s="1" t="s">
        <v>118</v>
      </c>
      <c r="K448" s="1" t="s">
        <v>26</v>
      </c>
      <c r="L448" s="1" t="s">
        <v>27</v>
      </c>
      <c r="N448" s="1" t="s">
        <v>743</v>
      </c>
      <c r="O448" s="1" t="s">
        <v>29</v>
      </c>
      <c r="P448" s="1" t="s">
        <v>1079</v>
      </c>
      <c r="Q448" s="1" t="s">
        <v>1080</v>
      </c>
      <c r="R448" s="1">
        <v>11.0</v>
      </c>
      <c r="S448" s="1"/>
    </row>
    <row r="449" ht="15.75" customHeight="1">
      <c r="A449" s="1" t="s">
        <v>1147</v>
      </c>
      <c r="B449" s="1" t="s">
        <v>1148</v>
      </c>
      <c r="C449" s="1" t="s">
        <v>1078</v>
      </c>
      <c r="E449" s="1">
        <v>12.861522</v>
      </c>
      <c r="F449" s="1">
        <v>77.59002269999999</v>
      </c>
      <c r="G449" s="1" t="s">
        <v>54</v>
      </c>
      <c r="H449" s="1" t="s">
        <v>55</v>
      </c>
      <c r="J449" s="1" t="s">
        <v>118</v>
      </c>
      <c r="K449" s="1" t="s">
        <v>26</v>
      </c>
      <c r="L449" s="1" t="s">
        <v>27</v>
      </c>
      <c r="N449" s="1" t="s">
        <v>743</v>
      </c>
      <c r="O449" s="1" t="s">
        <v>29</v>
      </c>
      <c r="P449" s="1" t="s">
        <v>1079</v>
      </c>
      <c r="Q449" s="1" t="s">
        <v>1080</v>
      </c>
      <c r="R449" s="1">
        <v>10.0</v>
      </c>
      <c r="S449" s="1"/>
    </row>
    <row r="450" ht="15.75" customHeight="1">
      <c r="A450" s="1" t="s">
        <v>1149</v>
      </c>
      <c r="B450" s="1" t="s">
        <v>1150</v>
      </c>
      <c r="C450" s="1" t="s">
        <v>1151</v>
      </c>
      <c r="E450" s="1">
        <v>9.9682856</v>
      </c>
      <c r="F450" s="1">
        <v>78.1375134</v>
      </c>
      <c r="G450" s="1" t="s">
        <v>54</v>
      </c>
      <c r="H450" s="1" t="s">
        <v>55</v>
      </c>
      <c r="J450" s="1" t="s">
        <v>56</v>
      </c>
      <c r="K450" s="1" t="s">
        <v>26</v>
      </c>
      <c r="L450" s="1" t="s">
        <v>27</v>
      </c>
      <c r="N450" s="1" t="s">
        <v>1097</v>
      </c>
      <c r="O450" s="1" t="s">
        <v>29</v>
      </c>
      <c r="P450" s="1" t="s">
        <v>1098</v>
      </c>
      <c r="Q450" s="1" t="s">
        <v>1099</v>
      </c>
      <c r="R450" s="1">
        <v>0.0</v>
      </c>
      <c r="S450" s="1"/>
    </row>
    <row r="451" ht="15.75" customHeight="1">
      <c r="A451" s="1" t="s">
        <v>1152</v>
      </c>
      <c r="B451" s="1" t="s">
        <v>1153</v>
      </c>
      <c r="C451" s="1" t="s">
        <v>1154</v>
      </c>
      <c r="E451" s="1">
        <v>16.8430585</v>
      </c>
      <c r="F451" s="1">
        <v>75.7119761</v>
      </c>
      <c r="G451" s="1" t="s">
        <v>54</v>
      </c>
      <c r="H451" s="1" t="s">
        <v>55</v>
      </c>
      <c r="J451" s="1" t="s">
        <v>56</v>
      </c>
      <c r="K451" s="1" t="s">
        <v>26</v>
      </c>
      <c r="L451" s="1" t="s">
        <v>27</v>
      </c>
      <c r="N451" s="1" t="s">
        <v>743</v>
      </c>
      <c r="O451" s="1" t="s">
        <v>57</v>
      </c>
      <c r="P451" s="1" t="s">
        <v>1079</v>
      </c>
      <c r="Q451" s="1" t="s">
        <v>1080</v>
      </c>
      <c r="R451" s="1">
        <v>0.0</v>
      </c>
      <c r="S451" s="1"/>
    </row>
    <row r="452" ht="15.75" customHeight="1">
      <c r="A452" s="1" t="s">
        <v>1155</v>
      </c>
      <c r="B452" s="1" t="s">
        <v>1156</v>
      </c>
      <c r="C452" s="1" t="s">
        <v>1078</v>
      </c>
      <c r="E452" s="1">
        <v>12.9077599</v>
      </c>
      <c r="F452" s="1">
        <v>77.60111189999999</v>
      </c>
      <c r="G452" s="1" t="s">
        <v>54</v>
      </c>
      <c r="H452" s="1" t="s">
        <v>55</v>
      </c>
      <c r="J452" s="1" t="s">
        <v>56</v>
      </c>
      <c r="K452" s="1" t="s">
        <v>26</v>
      </c>
      <c r="L452" s="1" t="s">
        <v>27</v>
      </c>
      <c r="N452" s="1" t="s">
        <v>743</v>
      </c>
      <c r="O452" s="1" t="s">
        <v>57</v>
      </c>
      <c r="P452" s="1" t="s">
        <v>1079</v>
      </c>
      <c r="Q452" s="1" t="s">
        <v>1080</v>
      </c>
      <c r="R452" s="1">
        <v>10.0</v>
      </c>
      <c r="S452" s="1"/>
    </row>
    <row r="453" ht="15.75" customHeight="1">
      <c r="A453" s="1" t="s">
        <v>1157</v>
      </c>
      <c r="B453" s="1" t="s">
        <v>1158</v>
      </c>
      <c r="C453" s="1" t="s">
        <v>1078</v>
      </c>
      <c r="E453" s="1">
        <v>12.8761679</v>
      </c>
      <c r="F453" s="1">
        <v>77.59561440000002</v>
      </c>
      <c r="G453" s="1" t="s">
        <v>54</v>
      </c>
      <c r="H453" s="1" t="s">
        <v>55</v>
      </c>
      <c r="J453" s="1" t="s">
        <v>118</v>
      </c>
      <c r="K453" s="1" t="s">
        <v>26</v>
      </c>
      <c r="L453" s="1" t="s">
        <v>27</v>
      </c>
      <c r="N453" s="1" t="s">
        <v>743</v>
      </c>
      <c r="O453" s="1" t="s">
        <v>29</v>
      </c>
      <c r="P453" s="1" t="s">
        <v>1079</v>
      </c>
      <c r="Q453" s="1" t="s">
        <v>1080</v>
      </c>
      <c r="R453" s="1">
        <v>12.0</v>
      </c>
      <c r="S453" s="1"/>
    </row>
    <row r="454" ht="15.75" customHeight="1">
      <c r="A454" s="1" t="s">
        <v>1159</v>
      </c>
      <c r="B454" s="1" t="s">
        <v>1160</v>
      </c>
      <c r="C454" s="1" t="s">
        <v>185</v>
      </c>
      <c r="E454" s="1">
        <v>17.4359738</v>
      </c>
      <c r="F454" s="1">
        <v>78.4010086</v>
      </c>
      <c r="G454" s="1" t="s">
        <v>54</v>
      </c>
      <c r="H454" s="1" t="s">
        <v>55</v>
      </c>
      <c r="J454" s="1" t="s">
        <v>56</v>
      </c>
      <c r="K454" s="1" t="s">
        <v>26</v>
      </c>
      <c r="L454" s="1" t="s">
        <v>27</v>
      </c>
      <c r="N454" s="1" t="s">
        <v>186</v>
      </c>
      <c r="O454" s="1" t="s">
        <v>57</v>
      </c>
      <c r="P454" s="1" t="s">
        <v>187</v>
      </c>
      <c r="Q454" s="1" t="s">
        <v>188</v>
      </c>
      <c r="R454" s="1">
        <v>5.0</v>
      </c>
      <c r="S454" s="1"/>
    </row>
    <row r="455" ht="15.75" customHeight="1">
      <c r="A455" s="1" t="s">
        <v>1161</v>
      </c>
      <c r="B455" s="1" t="s">
        <v>1162</v>
      </c>
      <c r="C455" s="1" t="s">
        <v>1163</v>
      </c>
      <c r="E455" s="1">
        <v>15.8371124</v>
      </c>
      <c r="F455" s="1">
        <v>74.5071804</v>
      </c>
      <c r="G455" s="1" t="s">
        <v>54</v>
      </c>
      <c r="H455" s="1" t="s">
        <v>55</v>
      </c>
      <c r="J455" s="1" t="s">
        <v>56</v>
      </c>
      <c r="K455" s="1" t="s">
        <v>26</v>
      </c>
      <c r="L455" s="1" t="s">
        <v>27</v>
      </c>
      <c r="N455" s="1" t="s">
        <v>743</v>
      </c>
      <c r="O455" s="1" t="s">
        <v>57</v>
      </c>
      <c r="P455" s="1" t="s">
        <v>1079</v>
      </c>
      <c r="Q455" s="1" t="s">
        <v>1080</v>
      </c>
      <c r="R455" s="1">
        <v>3.0</v>
      </c>
      <c r="S455" s="1"/>
    </row>
    <row r="456" ht="15.75" customHeight="1">
      <c r="A456" s="1" t="s">
        <v>1164</v>
      </c>
      <c r="B456" s="1" t="s">
        <v>1165</v>
      </c>
      <c r="C456" s="1" t="s">
        <v>185</v>
      </c>
      <c r="E456" s="1">
        <v>17.4634462</v>
      </c>
      <c r="F456" s="1">
        <v>78.3674642</v>
      </c>
      <c r="G456" s="1" t="s">
        <v>54</v>
      </c>
      <c r="H456" s="1" t="s">
        <v>55</v>
      </c>
      <c r="J456" s="1" t="s">
        <v>56</v>
      </c>
      <c r="K456" s="1" t="s">
        <v>26</v>
      </c>
      <c r="L456" s="1" t="s">
        <v>27</v>
      </c>
      <c r="N456" s="1" t="s">
        <v>186</v>
      </c>
      <c r="O456" s="1" t="s">
        <v>57</v>
      </c>
      <c r="P456" s="1" t="s">
        <v>187</v>
      </c>
      <c r="Q456" s="1" t="s">
        <v>188</v>
      </c>
      <c r="R456" s="1">
        <v>5.0</v>
      </c>
      <c r="S456" s="1"/>
    </row>
    <row r="457" ht="15.75" customHeight="1">
      <c r="A457" s="1" t="s">
        <v>1166</v>
      </c>
      <c r="B457" s="1" t="s">
        <v>1167</v>
      </c>
      <c r="C457" s="1" t="s">
        <v>185</v>
      </c>
      <c r="E457" s="1">
        <v>17.3437072</v>
      </c>
      <c r="F457" s="1">
        <v>78.5349629</v>
      </c>
      <c r="G457" s="1" t="s">
        <v>54</v>
      </c>
      <c r="H457" s="1" t="s">
        <v>55</v>
      </c>
      <c r="J457" s="1" t="s">
        <v>56</v>
      </c>
      <c r="K457" s="1" t="s">
        <v>26</v>
      </c>
      <c r="L457" s="1" t="s">
        <v>27</v>
      </c>
      <c r="N457" s="1" t="s">
        <v>186</v>
      </c>
      <c r="O457" s="1" t="s">
        <v>57</v>
      </c>
      <c r="P457" s="1" t="s">
        <v>187</v>
      </c>
      <c r="Q457" s="1" t="s">
        <v>188</v>
      </c>
      <c r="R457" s="1">
        <v>2.0</v>
      </c>
      <c r="S457" s="1"/>
    </row>
    <row r="458" ht="15.75" customHeight="1">
      <c r="A458" s="1" t="s">
        <v>1168</v>
      </c>
      <c r="B458" s="1" t="s">
        <v>1169</v>
      </c>
      <c r="C458" s="1" t="s">
        <v>1078</v>
      </c>
      <c r="E458" s="1">
        <v>12.9397699</v>
      </c>
      <c r="F458" s="1">
        <v>77.58495549999999</v>
      </c>
      <c r="G458" s="1" t="s">
        <v>54</v>
      </c>
      <c r="H458" s="1" t="s">
        <v>55</v>
      </c>
      <c r="J458" s="1" t="s">
        <v>56</v>
      </c>
      <c r="K458" s="1" t="s">
        <v>26</v>
      </c>
      <c r="L458" s="1" t="s">
        <v>27</v>
      </c>
      <c r="N458" s="1" t="s">
        <v>743</v>
      </c>
      <c r="O458" s="1" t="s">
        <v>57</v>
      </c>
      <c r="P458" s="1" t="s">
        <v>1079</v>
      </c>
      <c r="Q458" s="1" t="s">
        <v>1080</v>
      </c>
      <c r="R458" s="1">
        <v>11.0</v>
      </c>
      <c r="S458" s="1"/>
    </row>
    <row r="459" ht="15.75" customHeight="1">
      <c r="A459" s="1" t="s">
        <v>1170</v>
      </c>
      <c r="B459" s="1" t="s">
        <v>1171</v>
      </c>
      <c r="C459" s="1" t="s">
        <v>185</v>
      </c>
      <c r="E459" s="1">
        <v>17.4587559</v>
      </c>
      <c r="F459" s="1">
        <v>78.5004033</v>
      </c>
      <c r="G459" s="1" t="s">
        <v>54</v>
      </c>
      <c r="H459" s="1" t="s">
        <v>55</v>
      </c>
      <c r="J459" s="1" t="s">
        <v>56</v>
      </c>
      <c r="K459" s="1" t="s">
        <v>26</v>
      </c>
      <c r="L459" s="1" t="s">
        <v>27</v>
      </c>
      <c r="N459" s="1" t="s">
        <v>186</v>
      </c>
      <c r="O459" s="1" t="s">
        <v>57</v>
      </c>
      <c r="P459" s="1" t="s">
        <v>187</v>
      </c>
      <c r="Q459" s="1" t="s">
        <v>188</v>
      </c>
      <c r="R459" s="1">
        <v>3.0</v>
      </c>
      <c r="S459" s="1"/>
    </row>
    <row r="460" ht="15.75" customHeight="1">
      <c r="A460" s="1" t="s">
        <v>1172</v>
      </c>
      <c r="B460" s="1" t="s">
        <v>1173</v>
      </c>
      <c r="C460" s="1" t="s">
        <v>1174</v>
      </c>
      <c r="E460" s="1">
        <v>14.4309506</v>
      </c>
      <c r="F460" s="1">
        <v>79.9773853</v>
      </c>
      <c r="G460" s="1" t="s">
        <v>54</v>
      </c>
      <c r="H460" s="1" t="s">
        <v>55</v>
      </c>
      <c r="J460" s="1" t="s">
        <v>56</v>
      </c>
      <c r="K460" s="1" t="s">
        <v>26</v>
      </c>
      <c r="L460" s="1" t="s">
        <v>27</v>
      </c>
      <c r="N460" s="1" t="s">
        <v>464</v>
      </c>
      <c r="O460" s="1" t="s">
        <v>57</v>
      </c>
      <c r="P460" s="1" t="s">
        <v>187</v>
      </c>
      <c r="Q460" s="1" t="s">
        <v>188</v>
      </c>
      <c r="R460" s="1">
        <v>0.0</v>
      </c>
      <c r="S460" s="1"/>
    </row>
    <row r="461" ht="15.75" customHeight="1">
      <c r="A461" s="1" t="s">
        <v>1175</v>
      </c>
      <c r="B461" s="1" t="s">
        <v>1176</v>
      </c>
      <c r="C461" s="1" t="s">
        <v>185</v>
      </c>
      <c r="E461" s="1">
        <v>17.4176607</v>
      </c>
      <c r="F461" s="1">
        <v>78.3632064</v>
      </c>
      <c r="G461" s="1" t="s">
        <v>54</v>
      </c>
      <c r="H461" s="1" t="s">
        <v>55</v>
      </c>
      <c r="J461" s="1" t="s">
        <v>56</v>
      </c>
      <c r="K461" s="1" t="s">
        <v>26</v>
      </c>
      <c r="L461" s="1" t="s">
        <v>27</v>
      </c>
      <c r="N461" s="1" t="s">
        <v>186</v>
      </c>
      <c r="O461" s="1" t="s">
        <v>57</v>
      </c>
      <c r="P461" s="1" t="s">
        <v>187</v>
      </c>
      <c r="Q461" s="1" t="s">
        <v>188</v>
      </c>
      <c r="R461" s="1">
        <v>2.0</v>
      </c>
      <c r="S461" s="1"/>
    </row>
    <row r="462" ht="15.75" customHeight="1">
      <c r="A462" s="1" t="s">
        <v>1177</v>
      </c>
      <c r="B462" s="1" t="s">
        <v>1178</v>
      </c>
      <c r="C462" s="1" t="s">
        <v>1078</v>
      </c>
      <c r="E462" s="1">
        <v>12.9038541</v>
      </c>
      <c r="F462" s="1">
        <v>77.70372499999999</v>
      </c>
      <c r="G462" s="1" t="s">
        <v>54</v>
      </c>
      <c r="H462" s="1" t="s">
        <v>55</v>
      </c>
      <c r="J462" s="1" t="s">
        <v>56</v>
      </c>
      <c r="K462" s="1" t="s">
        <v>26</v>
      </c>
      <c r="L462" s="1" t="s">
        <v>27</v>
      </c>
      <c r="N462" s="1" t="s">
        <v>743</v>
      </c>
      <c r="O462" s="1" t="s">
        <v>57</v>
      </c>
      <c r="P462" s="1" t="s">
        <v>1079</v>
      </c>
      <c r="Q462" s="1" t="s">
        <v>1080</v>
      </c>
      <c r="R462" s="1">
        <v>8.0</v>
      </c>
      <c r="S462" s="1"/>
    </row>
    <row r="463" ht="15.75" customHeight="1">
      <c r="A463" s="1" t="s">
        <v>1179</v>
      </c>
      <c r="B463" s="1" t="s">
        <v>1180</v>
      </c>
      <c r="C463" s="1" t="s">
        <v>185</v>
      </c>
      <c r="E463" s="1">
        <v>17.4222208</v>
      </c>
      <c r="F463" s="1">
        <v>78.4552403</v>
      </c>
      <c r="G463" s="1" t="s">
        <v>54</v>
      </c>
      <c r="H463" s="1" t="s">
        <v>55</v>
      </c>
      <c r="J463" s="1" t="s">
        <v>56</v>
      </c>
      <c r="K463" s="1" t="s">
        <v>26</v>
      </c>
      <c r="L463" s="1" t="s">
        <v>27</v>
      </c>
      <c r="N463" s="1" t="s">
        <v>186</v>
      </c>
      <c r="O463" s="1" t="s">
        <v>57</v>
      </c>
      <c r="P463" s="1" t="s">
        <v>187</v>
      </c>
      <c r="Q463" s="1" t="s">
        <v>188</v>
      </c>
      <c r="R463" s="1">
        <v>3.0</v>
      </c>
      <c r="S463" s="1"/>
    </row>
    <row r="464" ht="15.75" customHeight="1">
      <c r="A464" s="1" t="s">
        <v>1181</v>
      </c>
      <c r="B464" s="1" t="s">
        <v>1182</v>
      </c>
      <c r="C464" s="1" t="s">
        <v>472</v>
      </c>
      <c r="E464" s="1">
        <v>17.0013285</v>
      </c>
      <c r="F464" s="1">
        <v>81.7923337</v>
      </c>
      <c r="G464" s="1" t="s">
        <v>54</v>
      </c>
      <c r="H464" s="1" t="s">
        <v>55</v>
      </c>
      <c r="J464" s="1" t="s">
        <v>56</v>
      </c>
      <c r="K464" s="1" t="s">
        <v>26</v>
      </c>
      <c r="L464" s="1" t="s">
        <v>27</v>
      </c>
      <c r="N464" s="1" t="s">
        <v>464</v>
      </c>
      <c r="O464" s="1" t="s">
        <v>57</v>
      </c>
      <c r="P464" s="1" t="s">
        <v>187</v>
      </c>
      <c r="Q464" s="1" t="s">
        <v>188</v>
      </c>
      <c r="R464" s="1">
        <v>0.0</v>
      </c>
      <c r="S464" s="1"/>
    </row>
    <row r="465" ht="15.75" customHeight="1">
      <c r="A465" s="1" t="s">
        <v>1183</v>
      </c>
      <c r="B465" s="1" t="s">
        <v>1184</v>
      </c>
      <c r="C465" s="1" t="s">
        <v>1185</v>
      </c>
      <c r="E465" s="1">
        <v>13.9445088</v>
      </c>
      <c r="F465" s="1">
        <v>75.57406069999999</v>
      </c>
      <c r="G465" s="1" t="s">
        <v>54</v>
      </c>
      <c r="H465" s="1" t="s">
        <v>55</v>
      </c>
      <c r="J465" s="1" t="s">
        <v>56</v>
      </c>
      <c r="K465" s="1" t="s">
        <v>26</v>
      </c>
      <c r="L465" s="1" t="s">
        <v>27</v>
      </c>
      <c r="N465" s="1" t="s">
        <v>743</v>
      </c>
      <c r="O465" s="1" t="s">
        <v>57</v>
      </c>
      <c r="P465" s="1" t="s">
        <v>1079</v>
      </c>
      <c r="Q465" s="1" t="s">
        <v>1080</v>
      </c>
      <c r="R465" s="1">
        <v>0.0</v>
      </c>
      <c r="S465" s="1"/>
    </row>
    <row r="466" ht="15.75" customHeight="1">
      <c r="A466" s="1" t="s">
        <v>1186</v>
      </c>
      <c r="B466" s="1" t="s">
        <v>1187</v>
      </c>
      <c r="C466" s="1" t="s">
        <v>1188</v>
      </c>
      <c r="E466" s="1">
        <v>17.250541</v>
      </c>
      <c r="F466" s="1">
        <v>80.15572619999999</v>
      </c>
      <c r="G466" s="1" t="s">
        <v>54</v>
      </c>
      <c r="H466" s="1" t="s">
        <v>55</v>
      </c>
      <c r="J466" s="1" t="s">
        <v>56</v>
      </c>
      <c r="K466" s="1" t="s">
        <v>26</v>
      </c>
      <c r="L466" s="1" t="s">
        <v>27</v>
      </c>
      <c r="N466" s="1" t="s">
        <v>186</v>
      </c>
      <c r="O466" s="1" t="s">
        <v>57</v>
      </c>
      <c r="P466" s="1" t="s">
        <v>187</v>
      </c>
      <c r="Q466" s="1" t="s">
        <v>188</v>
      </c>
      <c r="R466" s="1">
        <v>0.0</v>
      </c>
      <c r="S466" s="1"/>
    </row>
    <row r="467" ht="15.75" customHeight="1">
      <c r="A467" s="1" t="s">
        <v>1189</v>
      </c>
      <c r="B467" s="1" t="s">
        <v>1190</v>
      </c>
      <c r="C467" s="1" t="s">
        <v>1078</v>
      </c>
      <c r="E467" s="1">
        <v>13.0153483</v>
      </c>
      <c r="F467" s="1">
        <v>77.701942</v>
      </c>
      <c r="G467" s="1" t="s">
        <v>54</v>
      </c>
      <c r="H467" s="1" t="s">
        <v>55</v>
      </c>
      <c r="J467" s="1" t="s">
        <v>56</v>
      </c>
      <c r="K467" s="1" t="s">
        <v>26</v>
      </c>
      <c r="L467" s="1" t="s">
        <v>27</v>
      </c>
      <c r="N467" s="1" t="s">
        <v>743</v>
      </c>
      <c r="O467" s="1" t="s">
        <v>57</v>
      </c>
      <c r="P467" s="1" t="s">
        <v>1079</v>
      </c>
      <c r="Q467" s="1" t="s">
        <v>1080</v>
      </c>
      <c r="R467" s="1">
        <v>6.0</v>
      </c>
      <c r="S467" s="1"/>
    </row>
    <row r="468" ht="15.75" customHeight="1">
      <c r="A468" s="1" t="s">
        <v>1191</v>
      </c>
      <c r="B468" s="1" t="s">
        <v>1192</v>
      </c>
      <c r="C468" s="1" t="s">
        <v>1078</v>
      </c>
      <c r="E468" s="1">
        <v>12.9608551</v>
      </c>
      <c r="F468" s="1">
        <v>77.5070963</v>
      </c>
      <c r="G468" s="1" t="s">
        <v>54</v>
      </c>
      <c r="H468" s="1" t="s">
        <v>55</v>
      </c>
      <c r="J468" s="1" t="s">
        <v>56</v>
      </c>
      <c r="K468" s="1" t="s">
        <v>26</v>
      </c>
      <c r="L468" s="1" t="s">
        <v>27</v>
      </c>
      <c r="N468" s="1" t="s">
        <v>743</v>
      </c>
      <c r="O468" s="1" t="s">
        <v>57</v>
      </c>
      <c r="P468" s="1" t="s">
        <v>1079</v>
      </c>
      <c r="Q468" s="1" t="s">
        <v>1080</v>
      </c>
      <c r="R468" s="1">
        <v>4.0</v>
      </c>
      <c r="S468" s="1"/>
    </row>
    <row r="469" ht="15.75" customHeight="1">
      <c r="A469" s="1" t="s">
        <v>1193</v>
      </c>
      <c r="B469" s="1" t="s">
        <v>1194</v>
      </c>
      <c r="C469" s="1" t="s">
        <v>1078</v>
      </c>
      <c r="E469" s="1">
        <v>13.0320267</v>
      </c>
      <c r="F469" s="1">
        <v>77.56986479999999</v>
      </c>
      <c r="G469" s="1" t="s">
        <v>54</v>
      </c>
      <c r="H469" s="1" t="s">
        <v>55</v>
      </c>
      <c r="J469" s="1" t="s">
        <v>56</v>
      </c>
      <c r="K469" s="1" t="s">
        <v>26</v>
      </c>
      <c r="L469" s="1" t="s">
        <v>27</v>
      </c>
      <c r="N469" s="1" t="s">
        <v>743</v>
      </c>
      <c r="O469" s="1" t="s">
        <v>57</v>
      </c>
      <c r="P469" s="1" t="s">
        <v>1079</v>
      </c>
      <c r="Q469" s="1" t="s">
        <v>1080</v>
      </c>
      <c r="R469" s="1">
        <v>4.0</v>
      </c>
      <c r="S469" s="1"/>
    </row>
    <row r="470" ht="15.75" customHeight="1">
      <c r="A470" s="1" t="s">
        <v>1195</v>
      </c>
      <c r="B470" s="1" t="s">
        <v>1196</v>
      </c>
      <c r="C470" s="1" t="s">
        <v>1121</v>
      </c>
      <c r="E470" s="1">
        <v>12.3248047</v>
      </c>
      <c r="F470" s="1">
        <v>76.63147529999999</v>
      </c>
      <c r="G470" s="1" t="s">
        <v>54</v>
      </c>
      <c r="H470" s="1" t="s">
        <v>55</v>
      </c>
      <c r="J470" s="1" t="s">
        <v>118</v>
      </c>
      <c r="K470" s="1" t="s">
        <v>26</v>
      </c>
      <c r="L470" s="1" t="s">
        <v>27</v>
      </c>
      <c r="N470" s="1" t="s">
        <v>743</v>
      </c>
      <c r="O470" s="1" t="s">
        <v>29</v>
      </c>
      <c r="P470" s="1" t="s">
        <v>1079</v>
      </c>
      <c r="Q470" s="1" t="s">
        <v>1080</v>
      </c>
      <c r="R470" s="1">
        <v>0.0</v>
      </c>
      <c r="S470" s="1"/>
    </row>
    <row r="471" ht="15.75" customHeight="1">
      <c r="A471" s="1" t="s">
        <v>1197</v>
      </c>
      <c r="B471" s="1" t="s">
        <v>1198</v>
      </c>
      <c r="C471" s="1" t="s">
        <v>1078</v>
      </c>
      <c r="E471" s="1">
        <v>13.0041414</v>
      </c>
      <c r="F471" s="1">
        <v>77.5519367</v>
      </c>
      <c r="G471" s="1" t="s">
        <v>54</v>
      </c>
      <c r="H471" s="1" t="s">
        <v>55</v>
      </c>
      <c r="J471" s="1" t="s">
        <v>56</v>
      </c>
      <c r="K471" s="1" t="s">
        <v>26</v>
      </c>
      <c r="L471" s="1" t="s">
        <v>27</v>
      </c>
      <c r="N471" s="1" t="s">
        <v>743</v>
      </c>
      <c r="O471" s="1" t="s">
        <v>57</v>
      </c>
      <c r="P471" s="1" t="s">
        <v>1079</v>
      </c>
      <c r="Q471" s="1" t="s">
        <v>1080</v>
      </c>
      <c r="R471" s="1">
        <v>7.0</v>
      </c>
      <c r="S471" s="1"/>
    </row>
    <row r="472" ht="15.75" customHeight="1">
      <c r="A472" s="1" t="s">
        <v>1199</v>
      </c>
      <c r="B472" s="1" t="s">
        <v>1200</v>
      </c>
      <c r="C472" s="1" t="s">
        <v>185</v>
      </c>
      <c r="E472" s="1">
        <v>17.5320146</v>
      </c>
      <c r="F472" s="1">
        <v>78.487837</v>
      </c>
      <c r="G472" s="1" t="s">
        <v>54</v>
      </c>
      <c r="H472" s="1" t="s">
        <v>55</v>
      </c>
      <c r="J472" s="1" t="s">
        <v>56</v>
      </c>
      <c r="K472" s="1" t="s">
        <v>26</v>
      </c>
      <c r="L472" s="1" t="s">
        <v>27</v>
      </c>
      <c r="N472" s="1" t="s">
        <v>186</v>
      </c>
      <c r="O472" s="1" t="s">
        <v>57</v>
      </c>
      <c r="P472" s="1" t="s">
        <v>187</v>
      </c>
      <c r="Q472" s="1" t="s">
        <v>188</v>
      </c>
      <c r="R472" s="1">
        <v>2.0</v>
      </c>
      <c r="S472" s="1"/>
    </row>
    <row r="473" ht="15.75" customHeight="1">
      <c r="A473" s="1" t="s">
        <v>1201</v>
      </c>
      <c r="B473" s="1" t="s">
        <v>1202</v>
      </c>
      <c r="C473" s="1" t="s">
        <v>1107</v>
      </c>
      <c r="E473" s="1">
        <v>15.3507652</v>
      </c>
      <c r="F473" s="1">
        <v>75.1115932</v>
      </c>
      <c r="G473" s="1" t="s">
        <v>54</v>
      </c>
      <c r="H473" s="1" t="s">
        <v>55</v>
      </c>
      <c r="J473" s="1" t="s">
        <v>56</v>
      </c>
      <c r="K473" s="1" t="s">
        <v>26</v>
      </c>
      <c r="L473" s="1" t="s">
        <v>27</v>
      </c>
      <c r="N473" s="1" t="s">
        <v>743</v>
      </c>
      <c r="O473" s="1" t="s">
        <v>57</v>
      </c>
      <c r="P473" s="1" t="s">
        <v>1079</v>
      </c>
      <c r="Q473" s="1" t="s">
        <v>1080</v>
      </c>
      <c r="R473" s="1">
        <v>1.0</v>
      </c>
      <c r="S473" s="1"/>
    </row>
    <row r="474" ht="15.75" customHeight="1">
      <c r="A474" s="1" t="s">
        <v>1203</v>
      </c>
      <c r="B474" s="1" t="s">
        <v>1204</v>
      </c>
      <c r="C474" s="1" t="s">
        <v>185</v>
      </c>
      <c r="E474" s="1">
        <v>17.4432133</v>
      </c>
      <c r="F474" s="1">
        <v>78.5061487</v>
      </c>
      <c r="G474" s="1" t="s">
        <v>54</v>
      </c>
      <c r="H474" s="1" t="s">
        <v>55</v>
      </c>
      <c r="J474" s="1" t="s">
        <v>56</v>
      </c>
      <c r="K474" s="1" t="s">
        <v>26</v>
      </c>
      <c r="L474" s="1" t="s">
        <v>27</v>
      </c>
      <c r="N474" s="1" t="s">
        <v>186</v>
      </c>
      <c r="O474" s="1" t="s">
        <v>57</v>
      </c>
      <c r="P474" s="1" t="s">
        <v>187</v>
      </c>
      <c r="Q474" s="1" t="s">
        <v>188</v>
      </c>
      <c r="R474" s="1">
        <v>2.0</v>
      </c>
      <c r="S474" s="1"/>
    </row>
    <row r="475" ht="15.75" customHeight="1">
      <c r="A475" s="1" t="s">
        <v>1205</v>
      </c>
      <c r="B475" s="1" t="s">
        <v>1206</v>
      </c>
      <c r="C475" s="1" t="s">
        <v>185</v>
      </c>
      <c r="E475" s="1">
        <v>17.5124138</v>
      </c>
      <c r="F475" s="1">
        <v>78.38426869999999</v>
      </c>
      <c r="G475" s="1" t="s">
        <v>54</v>
      </c>
      <c r="H475" s="1" t="s">
        <v>55</v>
      </c>
      <c r="J475" s="1" t="s">
        <v>56</v>
      </c>
      <c r="K475" s="1" t="s">
        <v>26</v>
      </c>
      <c r="L475" s="1" t="s">
        <v>27</v>
      </c>
      <c r="N475" s="1" t="s">
        <v>186</v>
      </c>
      <c r="O475" s="1" t="s">
        <v>57</v>
      </c>
      <c r="P475" s="1" t="s">
        <v>187</v>
      </c>
      <c r="Q475" s="1" t="s">
        <v>188</v>
      </c>
      <c r="R475" s="1">
        <v>1.0</v>
      </c>
      <c r="S475" s="1"/>
    </row>
    <row r="476" ht="15.75" customHeight="1">
      <c r="A476" s="1" t="s">
        <v>1207</v>
      </c>
      <c r="B476" s="1" t="s">
        <v>1208</v>
      </c>
      <c r="C476" s="1" t="s">
        <v>1209</v>
      </c>
      <c r="E476" s="1">
        <v>10.0459306</v>
      </c>
      <c r="F476" s="1">
        <v>76.3177487</v>
      </c>
      <c r="G476" s="1" t="s">
        <v>54</v>
      </c>
      <c r="H476" s="1" t="s">
        <v>55</v>
      </c>
      <c r="J476" s="1" t="s">
        <v>56</v>
      </c>
      <c r="K476" s="1" t="s">
        <v>26</v>
      </c>
      <c r="L476" s="1" t="s">
        <v>27</v>
      </c>
      <c r="N476" s="1" t="s">
        <v>1210</v>
      </c>
      <c r="O476" s="1" t="s">
        <v>29</v>
      </c>
      <c r="P476" s="1" t="s">
        <v>1211</v>
      </c>
      <c r="Q476" s="1" t="s">
        <v>1212</v>
      </c>
      <c r="R476" s="1">
        <v>5.0</v>
      </c>
      <c r="S476" s="1"/>
    </row>
    <row r="477" ht="15.75" customHeight="1">
      <c r="A477" s="1" t="s">
        <v>1213</v>
      </c>
      <c r="B477" s="1" t="s">
        <v>1214</v>
      </c>
      <c r="C477" s="1" t="s">
        <v>1112</v>
      </c>
      <c r="E477" s="1">
        <v>13.0856293</v>
      </c>
      <c r="F477" s="1">
        <v>80.1695593</v>
      </c>
      <c r="G477" s="1" t="s">
        <v>54</v>
      </c>
      <c r="H477" s="1" t="s">
        <v>55</v>
      </c>
      <c r="J477" s="1" t="s">
        <v>56</v>
      </c>
      <c r="K477" s="1" t="s">
        <v>26</v>
      </c>
      <c r="L477" s="1" t="s">
        <v>27</v>
      </c>
      <c r="N477" s="1" t="s">
        <v>1097</v>
      </c>
      <c r="O477" s="1" t="s">
        <v>29</v>
      </c>
      <c r="P477" s="1" t="s">
        <v>1098</v>
      </c>
      <c r="Q477" s="1" t="s">
        <v>1099</v>
      </c>
      <c r="R477" s="1">
        <v>4.0</v>
      </c>
      <c r="S477" s="1"/>
    </row>
    <row r="478" ht="15.75" customHeight="1">
      <c r="A478" s="1" t="s">
        <v>1215</v>
      </c>
      <c r="B478" s="1" t="s">
        <v>1216</v>
      </c>
      <c r="C478" s="1" t="s">
        <v>185</v>
      </c>
      <c r="E478" s="1">
        <v>17.385737</v>
      </c>
      <c r="F478" s="1">
        <v>78.3345645</v>
      </c>
      <c r="G478" s="1" t="s">
        <v>54</v>
      </c>
      <c r="H478" s="1" t="s">
        <v>55</v>
      </c>
      <c r="J478" s="1" t="s">
        <v>56</v>
      </c>
      <c r="K478" s="1" t="s">
        <v>26</v>
      </c>
      <c r="L478" s="1" t="s">
        <v>27</v>
      </c>
      <c r="N478" s="1" t="s">
        <v>186</v>
      </c>
      <c r="O478" s="1" t="s">
        <v>57</v>
      </c>
      <c r="P478" s="1" t="s">
        <v>187</v>
      </c>
      <c r="Q478" s="1" t="s">
        <v>188</v>
      </c>
      <c r="R478" s="1">
        <v>1.0</v>
      </c>
      <c r="S478" s="1"/>
    </row>
    <row r="479" ht="15.75" customHeight="1">
      <c r="A479" s="1" t="s">
        <v>1217</v>
      </c>
      <c r="B479" s="1" t="s">
        <v>1218</v>
      </c>
      <c r="C479" s="1" t="s">
        <v>1112</v>
      </c>
      <c r="E479" s="1">
        <v>12.856483</v>
      </c>
      <c r="F479" s="1">
        <v>80.069013</v>
      </c>
      <c r="G479" s="1" t="s">
        <v>54</v>
      </c>
      <c r="H479" s="1" t="s">
        <v>55</v>
      </c>
      <c r="J479" s="1" t="s">
        <v>56</v>
      </c>
      <c r="K479" s="1" t="s">
        <v>26</v>
      </c>
      <c r="L479" s="1" t="s">
        <v>27</v>
      </c>
      <c r="N479" s="1" t="s">
        <v>1097</v>
      </c>
      <c r="O479" s="1" t="s">
        <v>29</v>
      </c>
      <c r="P479" s="1" t="s">
        <v>1098</v>
      </c>
      <c r="Q479" s="1" t="s">
        <v>1099</v>
      </c>
      <c r="R479" s="1">
        <v>1.0</v>
      </c>
      <c r="S479" s="1"/>
    </row>
    <row r="480" ht="15.75" customHeight="1">
      <c r="A480" s="1" t="s">
        <v>1219</v>
      </c>
      <c r="B480" s="1" t="s">
        <v>1220</v>
      </c>
      <c r="C480" s="1" t="s">
        <v>1078</v>
      </c>
      <c r="E480" s="1">
        <v>12.9882284</v>
      </c>
      <c r="F480" s="1">
        <v>77.5376592</v>
      </c>
      <c r="G480" s="1" t="s">
        <v>54</v>
      </c>
      <c r="H480" s="1" t="s">
        <v>55</v>
      </c>
      <c r="J480" s="1" t="s">
        <v>56</v>
      </c>
      <c r="K480" s="1" t="s">
        <v>26</v>
      </c>
      <c r="L480" s="1" t="s">
        <v>27</v>
      </c>
      <c r="N480" s="1" t="s">
        <v>743</v>
      </c>
      <c r="O480" s="1" t="s">
        <v>57</v>
      </c>
      <c r="P480" s="1" t="s">
        <v>1079</v>
      </c>
      <c r="Q480" s="1" t="s">
        <v>1080</v>
      </c>
      <c r="R480" s="1">
        <v>5.0</v>
      </c>
      <c r="S480" s="1"/>
    </row>
    <row r="481" ht="15.75" customHeight="1">
      <c r="A481" s="1" t="s">
        <v>1221</v>
      </c>
      <c r="B481" s="1" t="s">
        <v>1222</v>
      </c>
      <c r="C481" s="1" t="s">
        <v>1112</v>
      </c>
      <c r="E481" s="1">
        <v>13.1136948</v>
      </c>
      <c r="F481" s="1">
        <v>80.10272669999999</v>
      </c>
      <c r="G481" s="1" t="s">
        <v>54</v>
      </c>
      <c r="H481" s="1" t="s">
        <v>55</v>
      </c>
      <c r="J481" s="1" t="s">
        <v>56</v>
      </c>
      <c r="K481" s="1" t="s">
        <v>26</v>
      </c>
      <c r="L481" s="1" t="s">
        <v>27</v>
      </c>
      <c r="N481" s="1" t="s">
        <v>1097</v>
      </c>
      <c r="O481" s="1" t="s">
        <v>57</v>
      </c>
      <c r="P481" s="1" t="s">
        <v>1098</v>
      </c>
      <c r="Q481" s="1" t="s">
        <v>1099</v>
      </c>
      <c r="R481" s="1">
        <v>2.0</v>
      </c>
      <c r="S481" s="1"/>
    </row>
    <row r="482" ht="15.75" customHeight="1">
      <c r="A482" s="1" t="s">
        <v>1223</v>
      </c>
      <c r="B482" s="1" t="s">
        <v>1224</v>
      </c>
      <c r="C482" s="1" t="s">
        <v>1225</v>
      </c>
      <c r="E482" s="1">
        <v>17.7436298</v>
      </c>
      <c r="F482" s="1">
        <v>83.2605678</v>
      </c>
      <c r="G482" s="1" t="s">
        <v>54</v>
      </c>
      <c r="H482" s="1" t="s">
        <v>55</v>
      </c>
      <c r="J482" s="1" t="s">
        <v>56</v>
      </c>
      <c r="K482" s="1" t="s">
        <v>26</v>
      </c>
      <c r="L482" s="1" t="s">
        <v>27</v>
      </c>
      <c r="N482" s="1" t="s">
        <v>464</v>
      </c>
      <c r="O482" s="1" t="s">
        <v>57</v>
      </c>
      <c r="P482" s="1" t="s">
        <v>187</v>
      </c>
      <c r="Q482" s="1" t="s">
        <v>188</v>
      </c>
      <c r="R482" s="1">
        <v>0.0</v>
      </c>
      <c r="S482" s="1"/>
    </row>
    <row r="483" ht="15.75" customHeight="1">
      <c r="A483" s="1" t="s">
        <v>1226</v>
      </c>
      <c r="B483" s="1" t="s">
        <v>1227</v>
      </c>
      <c r="C483" s="1" t="s">
        <v>185</v>
      </c>
      <c r="E483" s="1">
        <v>17.3527094</v>
      </c>
      <c r="F483" s="1">
        <v>78.546666</v>
      </c>
      <c r="G483" s="1" t="s">
        <v>54</v>
      </c>
      <c r="H483" s="1" t="s">
        <v>55</v>
      </c>
      <c r="J483" s="1" t="s">
        <v>56</v>
      </c>
      <c r="K483" s="1" t="s">
        <v>26</v>
      </c>
      <c r="L483" s="1" t="s">
        <v>27</v>
      </c>
      <c r="N483" s="1" t="s">
        <v>186</v>
      </c>
      <c r="O483" s="1" t="s">
        <v>57</v>
      </c>
      <c r="P483" s="1" t="s">
        <v>187</v>
      </c>
      <c r="Q483" s="1" t="s">
        <v>188</v>
      </c>
      <c r="R483" s="1">
        <v>3.0</v>
      </c>
      <c r="S483" s="1"/>
    </row>
    <row r="484" ht="15.75" customHeight="1">
      <c r="A484" s="1" t="s">
        <v>1228</v>
      </c>
      <c r="B484" s="1" t="s">
        <v>1229</v>
      </c>
      <c r="C484" s="1" t="s">
        <v>1112</v>
      </c>
      <c r="E484" s="1">
        <v>13.0768409</v>
      </c>
      <c r="F484" s="1">
        <v>80.2392023</v>
      </c>
      <c r="G484" s="1" t="s">
        <v>54</v>
      </c>
      <c r="H484" s="1" t="s">
        <v>55</v>
      </c>
      <c r="J484" s="1" t="s">
        <v>56</v>
      </c>
      <c r="K484" s="1" t="s">
        <v>26</v>
      </c>
      <c r="L484" s="1" t="s">
        <v>27</v>
      </c>
      <c r="N484" s="1" t="s">
        <v>1097</v>
      </c>
      <c r="O484" s="1" t="s">
        <v>57</v>
      </c>
      <c r="P484" s="1" t="s">
        <v>1098</v>
      </c>
      <c r="Q484" s="1" t="s">
        <v>1099</v>
      </c>
      <c r="R484" s="1">
        <v>5.0</v>
      </c>
      <c r="S484" s="1"/>
    </row>
    <row r="485" ht="15.75" customHeight="1">
      <c r="A485" s="1" t="s">
        <v>1230</v>
      </c>
      <c r="B485" s="1" t="s">
        <v>1231</v>
      </c>
      <c r="C485" s="1" t="s">
        <v>1112</v>
      </c>
      <c r="E485" s="1">
        <v>13.0021145</v>
      </c>
      <c r="F485" s="1">
        <v>80.2567581</v>
      </c>
      <c r="G485" s="1" t="s">
        <v>54</v>
      </c>
      <c r="H485" s="1" t="s">
        <v>55</v>
      </c>
      <c r="J485" s="1" t="s">
        <v>56</v>
      </c>
      <c r="K485" s="1" t="s">
        <v>26</v>
      </c>
      <c r="L485" s="1" t="s">
        <v>27</v>
      </c>
      <c r="N485" s="1" t="s">
        <v>1097</v>
      </c>
      <c r="O485" s="1" t="s">
        <v>57</v>
      </c>
      <c r="P485" s="1" t="s">
        <v>1098</v>
      </c>
      <c r="Q485" s="1" t="s">
        <v>1099</v>
      </c>
      <c r="R485" s="1">
        <v>1.0</v>
      </c>
      <c r="S485" s="1"/>
    </row>
    <row r="486" ht="15.75" customHeight="1">
      <c r="A486" s="1" t="s">
        <v>1232</v>
      </c>
      <c r="B486" s="1" t="s">
        <v>1233</v>
      </c>
      <c r="C486" s="1" t="s">
        <v>185</v>
      </c>
      <c r="E486" s="1">
        <v>17.3411234</v>
      </c>
      <c r="F486" s="1">
        <v>78.5617401</v>
      </c>
      <c r="G486" s="1" t="s">
        <v>54</v>
      </c>
      <c r="H486" s="1" t="s">
        <v>55</v>
      </c>
      <c r="J486" s="1" t="s">
        <v>56</v>
      </c>
      <c r="K486" s="1" t="s">
        <v>26</v>
      </c>
      <c r="L486" s="1" t="s">
        <v>27</v>
      </c>
      <c r="N486" s="1" t="s">
        <v>186</v>
      </c>
      <c r="O486" s="1" t="s">
        <v>57</v>
      </c>
      <c r="P486" s="1" t="s">
        <v>187</v>
      </c>
      <c r="Q486" s="1" t="s">
        <v>188</v>
      </c>
      <c r="R486" s="1">
        <v>1.0</v>
      </c>
      <c r="S486" s="1"/>
    </row>
    <row r="487" ht="15.75" customHeight="1">
      <c r="A487" s="1" t="s">
        <v>1234</v>
      </c>
      <c r="B487" s="1" t="s">
        <v>1235</v>
      </c>
      <c r="C487" s="1" t="s">
        <v>185</v>
      </c>
      <c r="E487" s="1">
        <v>17.4833029</v>
      </c>
      <c r="F487" s="1">
        <v>78.3899722</v>
      </c>
      <c r="G487" s="1" t="s">
        <v>54</v>
      </c>
      <c r="H487" s="1" t="s">
        <v>55</v>
      </c>
      <c r="J487" s="1" t="s">
        <v>221</v>
      </c>
      <c r="K487" s="1" t="s">
        <v>26</v>
      </c>
      <c r="L487" s="1" t="s">
        <v>27</v>
      </c>
      <c r="N487" s="1" t="s">
        <v>186</v>
      </c>
      <c r="O487" s="1" t="s">
        <v>57</v>
      </c>
      <c r="P487" s="1" t="s">
        <v>187</v>
      </c>
      <c r="Q487" s="1" t="s">
        <v>188</v>
      </c>
      <c r="R487" s="1">
        <v>0.0</v>
      </c>
      <c r="S487" s="1"/>
    </row>
    <row r="488" ht="15.75" customHeight="1">
      <c r="A488" s="1" t="s">
        <v>1236</v>
      </c>
      <c r="B488" s="1" t="s">
        <v>1237</v>
      </c>
      <c r="C488" s="1" t="s">
        <v>1238</v>
      </c>
      <c r="E488" s="1">
        <v>13.0934365</v>
      </c>
      <c r="F488" s="1">
        <v>77.40609239999999</v>
      </c>
      <c r="G488" s="1" t="s">
        <v>54</v>
      </c>
      <c r="H488" s="1" t="s">
        <v>55</v>
      </c>
      <c r="J488" s="1" t="s">
        <v>56</v>
      </c>
      <c r="K488" s="1" t="s">
        <v>26</v>
      </c>
      <c r="L488" s="1" t="s">
        <v>27</v>
      </c>
      <c r="N488" s="1" t="s">
        <v>743</v>
      </c>
      <c r="O488" s="1" t="s">
        <v>57</v>
      </c>
      <c r="P488" s="1" t="s">
        <v>1079</v>
      </c>
      <c r="Q488" s="1" t="s">
        <v>1080</v>
      </c>
      <c r="R488" s="1">
        <v>6.0</v>
      </c>
      <c r="S488" s="1"/>
    </row>
    <row r="489" ht="15.75" customHeight="1">
      <c r="A489" s="1" t="s">
        <v>1239</v>
      </c>
      <c r="B489" s="1" t="s">
        <v>1240</v>
      </c>
      <c r="C489" s="1" t="s">
        <v>185</v>
      </c>
      <c r="E489" s="1">
        <v>17.5016647</v>
      </c>
      <c r="F489" s="1">
        <v>78.4783532</v>
      </c>
      <c r="G489" s="1" t="s">
        <v>54</v>
      </c>
      <c r="H489" s="1" t="s">
        <v>55</v>
      </c>
      <c r="J489" s="1" t="s">
        <v>221</v>
      </c>
      <c r="K489" s="1" t="s">
        <v>26</v>
      </c>
      <c r="L489" s="1" t="s">
        <v>27</v>
      </c>
      <c r="N489" s="1" t="s">
        <v>186</v>
      </c>
      <c r="O489" s="1" t="s">
        <v>57</v>
      </c>
      <c r="P489" s="1" t="s">
        <v>187</v>
      </c>
      <c r="Q489" s="1" t="s">
        <v>188</v>
      </c>
      <c r="R489" s="1">
        <v>2.0</v>
      </c>
      <c r="S489" s="1"/>
    </row>
    <row r="490" ht="15.75" customHeight="1">
      <c r="A490" s="1" t="s">
        <v>1241</v>
      </c>
      <c r="B490" s="1" t="s">
        <v>1242</v>
      </c>
      <c r="C490" s="1" t="s">
        <v>1078</v>
      </c>
      <c r="E490" s="1">
        <v>12.9122409</v>
      </c>
      <c r="F490" s="1">
        <v>77.6374743</v>
      </c>
      <c r="G490" s="1" t="s">
        <v>54</v>
      </c>
      <c r="H490" s="1" t="s">
        <v>55</v>
      </c>
      <c r="J490" s="1" t="s">
        <v>118</v>
      </c>
      <c r="K490" s="1" t="s">
        <v>26</v>
      </c>
      <c r="L490" s="1" t="s">
        <v>27</v>
      </c>
      <c r="N490" s="1" t="s">
        <v>743</v>
      </c>
      <c r="O490" s="1" t="s">
        <v>29</v>
      </c>
      <c r="P490" s="1" t="s">
        <v>1079</v>
      </c>
      <c r="Q490" s="1" t="s">
        <v>1080</v>
      </c>
      <c r="R490" s="1">
        <v>8.0</v>
      </c>
      <c r="S490" s="1"/>
    </row>
    <row r="491" ht="15.75" customHeight="1">
      <c r="A491" s="1" t="s">
        <v>1243</v>
      </c>
      <c r="B491" s="1" t="s">
        <v>1244</v>
      </c>
      <c r="C491" s="1" t="s">
        <v>1112</v>
      </c>
      <c r="E491" s="1">
        <v>12.9235811</v>
      </c>
      <c r="F491" s="1">
        <v>80.1541129</v>
      </c>
      <c r="G491" s="1" t="s">
        <v>54</v>
      </c>
      <c r="H491" s="1" t="s">
        <v>55</v>
      </c>
      <c r="J491" s="1" t="s">
        <v>44</v>
      </c>
      <c r="K491" s="1" t="s">
        <v>26</v>
      </c>
      <c r="L491" s="1" t="s">
        <v>27</v>
      </c>
      <c r="N491" s="1" t="s">
        <v>1097</v>
      </c>
      <c r="O491" s="1" t="s">
        <v>29</v>
      </c>
      <c r="P491" s="1" t="s">
        <v>1098</v>
      </c>
      <c r="Q491" s="1" t="s">
        <v>1099</v>
      </c>
      <c r="R491" s="1">
        <v>9.0</v>
      </c>
      <c r="S491" s="1"/>
    </row>
    <row r="492" ht="15.75" customHeight="1">
      <c r="A492" s="1" t="s">
        <v>1245</v>
      </c>
      <c r="B492" s="1" t="s">
        <v>1246</v>
      </c>
      <c r="C492" s="1" t="s">
        <v>1078</v>
      </c>
      <c r="E492" s="1">
        <v>12.9307756</v>
      </c>
      <c r="F492" s="1">
        <v>77.74132689999999</v>
      </c>
      <c r="G492" s="1" t="s">
        <v>54</v>
      </c>
      <c r="H492" s="1" t="s">
        <v>55</v>
      </c>
      <c r="J492" s="1" t="s">
        <v>118</v>
      </c>
      <c r="K492" s="1" t="s">
        <v>26</v>
      </c>
      <c r="L492" s="1" t="s">
        <v>27</v>
      </c>
      <c r="N492" s="1" t="s">
        <v>743</v>
      </c>
      <c r="O492" s="1" t="s">
        <v>29</v>
      </c>
      <c r="P492" s="1" t="s">
        <v>1079</v>
      </c>
      <c r="Q492" s="1" t="s">
        <v>1080</v>
      </c>
      <c r="R492" s="1">
        <v>10.0</v>
      </c>
      <c r="S492" s="1"/>
    </row>
    <row r="493" ht="15.75" customHeight="1">
      <c r="A493" s="1" t="s">
        <v>1247</v>
      </c>
      <c r="B493" s="1" t="s">
        <v>1248</v>
      </c>
      <c r="C493" s="1" t="s">
        <v>185</v>
      </c>
      <c r="E493" s="1">
        <v>17.4668959</v>
      </c>
      <c r="F493" s="1">
        <v>78.3104379</v>
      </c>
      <c r="G493" s="1" t="s">
        <v>54</v>
      </c>
      <c r="H493" s="1" t="s">
        <v>55</v>
      </c>
      <c r="J493" s="1" t="s">
        <v>56</v>
      </c>
      <c r="K493" s="1" t="s">
        <v>26</v>
      </c>
      <c r="L493" s="1" t="s">
        <v>27</v>
      </c>
      <c r="N493" s="1" t="s">
        <v>186</v>
      </c>
      <c r="O493" s="1" t="s">
        <v>57</v>
      </c>
      <c r="P493" s="1" t="s">
        <v>187</v>
      </c>
      <c r="Q493" s="1" t="s">
        <v>188</v>
      </c>
      <c r="R493" s="1">
        <v>7.0</v>
      </c>
      <c r="S493" s="1"/>
    </row>
    <row r="494" ht="15.75" customHeight="1">
      <c r="A494" s="1" t="s">
        <v>1249</v>
      </c>
      <c r="B494" s="1" t="s">
        <v>1250</v>
      </c>
      <c r="C494" s="1" t="s">
        <v>185</v>
      </c>
      <c r="E494" s="1">
        <v>17.3312965</v>
      </c>
      <c r="F494" s="1">
        <v>78.5525854</v>
      </c>
      <c r="G494" s="1" t="s">
        <v>54</v>
      </c>
      <c r="H494" s="1" t="s">
        <v>55</v>
      </c>
      <c r="J494" s="1" t="s">
        <v>56</v>
      </c>
      <c r="K494" s="1" t="s">
        <v>26</v>
      </c>
      <c r="L494" s="1" t="s">
        <v>27</v>
      </c>
      <c r="N494" s="1" t="s">
        <v>186</v>
      </c>
      <c r="O494" s="1" t="s">
        <v>57</v>
      </c>
      <c r="P494" s="1" t="s">
        <v>187</v>
      </c>
      <c r="Q494" s="1" t="s">
        <v>188</v>
      </c>
      <c r="R494" s="1">
        <v>0.0</v>
      </c>
      <c r="S494" s="1"/>
    </row>
    <row r="495" ht="15.75" customHeight="1">
      <c r="A495" s="1" t="s">
        <v>1251</v>
      </c>
      <c r="B495" s="1" t="s">
        <v>1252</v>
      </c>
      <c r="C495" s="1" t="s">
        <v>1078</v>
      </c>
      <c r="E495" s="1">
        <v>12.8834215</v>
      </c>
      <c r="F495" s="1">
        <v>77.54735840000001</v>
      </c>
      <c r="G495" s="1" t="s">
        <v>54</v>
      </c>
      <c r="H495" s="1" t="s">
        <v>55</v>
      </c>
      <c r="J495" s="1" t="s">
        <v>56</v>
      </c>
      <c r="K495" s="1" t="s">
        <v>26</v>
      </c>
      <c r="L495" s="1" t="s">
        <v>27</v>
      </c>
      <c r="N495" s="1" t="s">
        <v>743</v>
      </c>
      <c r="O495" s="1" t="s">
        <v>57</v>
      </c>
      <c r="P495" s="1" t="s">
        <v>1079</v>
      </c>
      <c r="Q495" s="1" t="s">
        <v>1080</v>
      </c>
      <c r="R495" s="1">
        <v>9.0</v>
      </c>
      <c r="S495" s="1"/>
    </row>
    <row r="496" ht="15.75" customHeight="1">
      <c r="A496" s="1" t="s">
        <v>1253</v>
      </c>
      <c r="B496" s="1" t="s">
        <v>1254</v>
      </c>
      <c r="C496" s="1" t="s">
        <v>1255</v>
      </c>
      <c r="E496" s="1">
        <v>14.4622634</v>
      </c>
      <c r="F496" s="1">
        <v>75.9210363</v>
      </c>
      <c r="G496" s="1" t="s">
        <v>54</v>
      </c>
      <c r="H496" s="1" t="s">
        <v>55</v>
      </c>
      <c r="J496" s="1" t="s">
        <v>56</v>
      </c>
      <c r="K496" s="1" t="s">
        <v>26</v>
      </c>
      <c r="L496" s="1" t="s">
        <v>27</v>
      </c>
      <c r="N496" s="1" t="s">
        <v>743</v>
      </c>
      <c r="O496" s="1" t="s">
        <v>57</v>
      </c>
      <c r="P496" s="1" t="s">
        <v>1079</v>
      </c>
      <c r="Q496" s="1" t="s">
        <v>1080</v>
      </c>
      <c r="R496" s="1">
        <v>0.0</v>
      </c>
      <c r="S496" s="1"/>
    </row>
    <row r="497" ht="15.75" customHeight="1">
      <c r="A497" s="1" t="s">
        <v>1256</v>
      </c>
      <c r="B497" s="1" t="s">
        <v>1257</v>
      </c>
      <c r="C497" s="1" t="s">
        <v>1258</v>
      </c>
      <c r="E497" s="1">
        <v>12.7389712</v>
      </c>
      <c r="F497" s="1">
        <v>77.8321136</v>
      </c>
      <c r="G497" s="1" t="s">
        <v>54</v>
      </c>
      <c r="H497" s="1" t="s">
        <v>55</v>
      </c>
      <c r="J497" s="1" t="s">
        <v>44</v>
      </c>
      <c r="K497" s="1" t="s">
        <v>26</v>
      </c>
      <c r="L497" s="1" t="s">
        <v>27</v>
      </c>
      <c r="N497" s="1" t="s">
        <v>1097</v>
      </c>
      <c r="O497" s="1" t="s">
        <v>29</v>
      </c>
      <c r="P497" s="1" t="s">
        <v>1098</v>
      </c>
      <c r="Q497" s="1" t="s">
        <v>1099</v>
      </c>
      <c r="R497" s="1">
        <v>0.0</v>
      </c>
      <c r="S497" s="1"/>
    </row>
    <row r="498" ht="15.75" customHeight="1">
      <c r="A498" s="1" t="s">
        <v>1259</v>
      </c>
      <c r="B498" s="1" t="s">
        <v>1260</v>
      </c>
      <c r="C498" s="1" t="s">
        <v>1112</v>
      </c>
      <c r="E498" s="1">
        <v>12.8884877</v>
      </c>
      <c r="F498" s="1">
        <v>80.1453492</v>
      </c>
      <c r="G498" s="1" t="s">
        <v>54</v>
      </c>
      <c r="H498" s="1" t="s">
        <v>55</v>
      </c>
      <c r="J498" s="1" t="s">
        <v>56</v>
      </c>
      <c r="K498" s="1" t="s">
        <v>26</v>
      </c>
      <c r="L498" s="1" t="s">
        <v>27</v>
      </c>
      <c r="N498" s="1" t="s">
        <v>1097</v>
      </c>
      <c r="O498" s="1" t="s">
        <v>57</v>
      </c>
      <c r="P498" s="1" t="s">
        <v>1098</v>
      </c>
      <c r="Q498" s="1" t="s">
        <v>1099</v>
      </c>
      <c r="R498" s="1">
        <v>1.0</v>
      </c>
      <c r="S498" s="1"/>
    </row>
    <row r="499" ht="15.75" customHeight="1">
      <c r="A499" s="1" t="s">
        <v>1261</v>
      </c>
      <c r="B499" s="1" t="s">
        <v>1262</v>
      </c>
      <c r="C499" s="1" t="s">
        <v>185</v>
      </c>
      <c r="E499" s="1">
        <v>17.4955212</v>
      </c>
      <c r="F499" s="1">
        <v>78.3403021</v>
      </c>
      <c r="G499" s="1" t="s">
        <v>54</v>
      </c>
      <c r="H499" s="1" t="s">
        <v>55</v>
      </c>
      <c r="J499" s="1" t="s">
        <v>56</v>
      </c>
      <c r="K499" s="1" t="s">
        <v>26</v>
      </c>
      <c r="L499" s="1" t="s">
        <v>27</v>
      </c>
      <c r="N499" s="1" t="s">
        <v>186</v>
      </c>
      <c r="O499" s="1" t="s">
        <v>57</v>
      </c>
      <c r="P499" s="1" t="s">
        <v>187</v>
      </c>
      <c r="Q499" s="1" t="s">
        <v>188</v>
      </c>
      <c r="R499" s="1">
        <v>4.0</v>
      </c>
      <c r="S499" s="1"/>
    </row>
    <row r="500" ht="15.75" customHeight="1">
      <c r="A500" s="1" t="s">
        <v>1263</v>
      </c>
      <c r="B500" s="1" t="s">
        <v>1264</v>
      </c>
      <c r="C500" s="1" t="s">
        <v>1265</v>
      </c>
      <c r="E500" s="1">
        <v>12.1198507</v>
      </c>
      <c r="F500" s="1">
        <v>78.1575755</v>
      </c>
      <c r="G500" s="1" t="s">
        <v>54</v>
      </c>
      <c r="H500" s="1" t="s">
        <v>55</v>
      </c>
      <c r="J500" s="1" t="s">
        <v>56</v>
      </c>
      <c r="K500" s="1" t="s">
        <v>26</v>
      </c>
      <c r="L500" s="1" t="s">
        <v>27</v>
      </c>
      <c r="N500" s="1" t="s">
        <v>1097</v>
      </c>
      <c r="O500" s="1" t="s">
        <v>57</v>
      </c>
      <c r="P500" s="1" t="s">
        <v>1098</v>
      </c>
      <c r="Q500" s="1" t="s">
        <v>1099</v>
      </c>
      <c r="R500" s="1">
        <v>0.0</v>
      </c>
      <c r="S500" s="1"/>
    </row>
    <row r="501" ht="15.75" customHeight="1">
      <c r="A501" s="1" t="s">
        <v>1266</v>
      </c>
      <c r="B501" s="1" t="s">
        <v>1267</v>
      </c>
      <c r="C501" s="1" t="s">
        <v>1112</v>
      </c>
      <c r="E501" s="1">
        <v>12.9913026</v>
      </c>
      <c r="F501" s="1">
        <v>80.2166199</v>
      </c>
      <c r="G501" s="1" t="s">
        <v>54</v>
      </c>
      <c r="H501" s="1" t="s">
        <v>55</v>
      </c>
      <c r="J501" s="1" t="s">
        <v>118</v>
      </c>
      <c r="K501" s="1" t="s">
        <v>26</v>
      </c>
      <c r="L501" s="1" t="s">
        <v>27</v>
      </c>
      <c r="N501" s="1" t="s">
        <v>1097</v>
      </c>
      <c r="O501" s="1" t="s">
        <v>29</v>
      </c>
      <c r="P501" s="1" t="s">
        <v>1098</v>
      </c>
      <c r="Q501" s="1" t="s">
        <v>1099</v>
      </c>
      <c r="R501" s="1">
        <v>9.0</v>
      </c>
      <c r="S501" s="1"/>
    </row>
    <row r="502" ht="15.75" customHeight="1">
      <c r="A502" s="1" t="s">
        <v>1268</v>
      </c>
      <c r="B502" s="1" t="s">
        <v>1269</v>
      </c>
      <c r="C502" s="1" t="s">
        <v>1078</v>
      </c>
      <c r="E502" s="1">
        <v>12.840825</v>
      </c>
      <c r="F502" s="1">
        <v>77.65086269999999</v>
      </c>
      <c r="G502" s="1" t="s">
        <v>54</v>
      </c>
      <c r="H502" s="1" t="s">
        <v>55</v>
      </c>
      <c r="J502" s="1" t="s">
        <v>56</v>
      </c>
      <c r="K502" s="1" t="s">
        <v>26</v>
      </c>
      <c r="L502" s="1" t="s">
        <v>27</v>
      </c>
      <c r="N502" s="1" t="s">
        <v>743</v>
      </c>
      <c r="O502" s="1" t="s">
        <v>57</v>
      </c>
      <c r="P502" s="1" t="s">
        <v>1079</v>
      </c>
      <c r="Q502" s="1" t="s">
        <v>1080</v>
      </c>
      <c r="R502" s="1">
        <v>9.0</v>
      </c>
      <c r="S502" s="1"/>
    </row>
    <row r="503" ht="15.75" customHeight="1">
      <c r="A503" s="1" t="s">
        <v>1270</v>
      </c>
      <c r="B503" s="1" t="s">
        <v>1271</v>
      </c>
      <c r="C503" s="1" t="s">
        <v>185</v>
      </c>
      <c r="E503" s="1">
        <v>17.3683415</v>
      </c>
      <c r="F503" s="1">
        <v>78.5283797</v>
      </c>
      <c r="G503" s="1" t="s">
        <v>54</v>
      </c>
      <c r="H503" s="1" t="s">
        <v>55</v>
      </c>
      <c r="J503" s="1" t="s">
        <v>56</v>
      </c>
      <c r="K503" s="1" t="s">
        <v>26</v>
      </c>
      <c r="L503" s="1" t="s">
        <v>27</v>
      </c>
      <c r="N503" s="1" t="s">
        <v>186</v>
      </c>
      <c r="O503" s="1" t="s">
        <v>57</v>
      </c>
      <c r="P503" s="1" t="s">
        <v>187</v>
      </c>
      <c r="Q503" s="1" t="s">
        <v>188</v>
      </c>
      <c r="R503" s="1">
        <v>3.0</v>
      </c>
      <c r="S503" s="1"/>
    </row>
    <row r="504" ht="15.75" customHeight="1">
      <c r="A504" s="1" t="s">
        <v>1272</v>
      </c>
      <c r="B504" s="1" t="s">
        <v>1273</v>
      </c>
      <c r="C504" s="1" t="s">
        <v>1274</v>
      </c>
      <c r="E504" s="1">
        <v>16.3138589</v>
      </c>
      <c r="F504" s="1">
        <v>80.4197382</v>
      </c>
      <c r="G504" s="1" t="s">
        <v>54</v>
      </c>
      <c r="H504" s="1" t="s">
        <v>55</v>
      </c>
      <c r="J504" s="1" t="s">
        <v>56</v>
      </c>
      <c r="K504" s="1" t="s">
        <v>26</v>
      </c>
      <c r="L504" s="1" t="s">
        <v>27</v>
      </c>
      <c r="N504" s="1" t="s">
        <v>464</v>
      </c>
      <c r="O504" s="1" t="s">
        <v>57</v>
      </c>
      <c r="P504" s="1" t="s">
        <v>187</v>
      </c>
      <c r="Q504" s="1" t="s">
        <v>188</v>
      </c>
      <c r="R504" s="1">
        <v>0.0</v>
      </c>
      <c r="S504" s="1"/>
    </row>
    <row r="505" ht="15.75" customHeight="1">
      <c r="A505" s="1" t="s">
        <v>1275</v>
      </c>
      <c r="B505" s="1" t="s">
        <v>1276</v>
      </c>
      <c r="C505" s="1" t="s">
        <v>1112</v>
      </c>
      <c r="E505" s="1">
        <v>12.8506121</v>
      </c>
      <c r="F505" s="1">
        <v>80.2261759</v>
      </c>
      <c r="G505" s="1" t="s">
        <v>54</v>
      </c>
      <c r="H505" s="1" t="s">
        <v>55</v>
      </c>
      <c r="J505" s="1" t="s">
        <v>56</v>
      </c>
      <c r="K505" s="1" t="s">
        <v>26</v>
      </c>
      <c r="L505" s="1" t="s">
        <v>27</v>
      </c>
      <c r="N505" s="1" t="s">
        <v>1097</v>
      </c>
      <c r="O505" s="1" t="s">
        <v>57</v>
      </c>
      <c r="P505" s="1" t="s">
        <v>1098</v>
      </c>
      <c r="Q505" s="1" t="s">
        <v>1099</v>
      </c>
      <c r="R505" s="1">
        <v>5.0</v>
      </c>
      <c r="S505" s="1"/>
    </row>
    <row r="506" ht="15.75" customHeight="1">
      <c r="A506" s="1" t="s">
        <v>1277</v>
      </c>
      <c r="B506" s="1" t="s">
        <v>1278</v>
      </c>
      <c r="C506" s="1" t="s">
        <v>1078</v>
      </c>
      <c r="E506" s="1">
        <v>13.0015202</v>
      </c>
      <c r="F506" s="1">
        <v>77.5711881</v>
      </c>
      <c r="G506" s="1" t="s">
        <v>54</v>
      </c>
      <c r="H506" s="1" t="s">
        <v>55</v>
      </c>
      <c r="J506" s="1" t="s">
        <v>56</v>
      </c>
      <c r="K506" s="1" t="s">
        <v>26</v>
      </c>
      <c r="L506" s="1" t="s">
        <v>27</v>
      </c>
      <c r="N506" s="1" t="s">
        <v>743</v>
      </c>
      <c r="O506" s="1" t="s">
        <v>57</v>
      </c>
      <c r="P506" s="1" t="s">
        <v>1079</v>
      </c>
      <c r="Q506" s="1" t="s">
        <v>1080</v>
      </c>
      <c r="R506" s="1">
        <v>8.0</v>
      </c>
      <c r="S506" s="1"/>
    </row>
    <row r="507" ht="15.75" customHeight="1">
      <c r="A507" s="1" t="s">
        <v>1279</v>
      </c>
      <c r="B507" s="1" t="s">
        <v>1280</v>
      </c>
      <c r="C507" s="1" t="s">
        <v>1112</v>
      </c>
      <c r="E507" s="1">
        <v>12.9065086</v>
      </c>
      <c r="F507" s="1">
        <v>80.2285912</v>
      </c>
      <c r="G507" s="1" t="s">
        <v>54</v>
      </c>
      <c r="H507" s="1" t="s">
        <v>55</v>
      </c>
      <c r="J507" s="1" t="s">
        <v>56</v>
      </c>
      <c r="K507" s="1" t="s">
        <v>26</v>
      </c>
      <c r="L507" s="1" t="s">
        <v>27</v>
      </c>
      <c r="N507" s="1" t="s">
        <v>1097</v>
      </c>
      <c r="O507" s="1" t="s">
        <v>29</v>
      </c>
      <c r="P507" s="1" t="s">
        <v>1098</v>
      </c>
      <c r="Q507" s="1" t="s">
        <v>1099</v>
      </c>
      <c r="R507" s="1">
        <v>3.0</v>
      </c>
      <c r="S507" s="1"/>
    </row>
    <row r="508" ht="15.75" customHeight="1">
      <c r="A508" s="1" t="s">
        <v>1281</v>
      </c>
      <c r="B508" s="1" t="s">
        <v>1282</v>
      </c>
      <c r="C508" s="1" t="s">
        <v>1112</v>
      </c>
      <c r="E508" s="1">
        <v>13.0490901</v>
      </c>
      <c r="F508" s="1">
        <v>80.20819379999999</v>
      </c>
      <c r="G508" s="1" t="s">
        <v>54</v>
      </c>
      <c r="H508" s="1" t="s">
        <v>55</v>
      </c>
      <c r="J508" s="1" t="s">
        <v>56</v>
      </c>
      <c r="K508" s="1" t="s">
        <v>26</v>
      </c>
      <c r="L508" s="1" t="s">
        <v>27</v>
      </c>
      <c r="N508" s="1" t="s">
        <v>1097</v>
      </c>
      <c r="O508" s="1" t="s">
        <v>57</v>
      </c>
      <c r="P508" s="1" t="s">
        <v>1098</v>
      </c>
      <c r="Q508" s="1" t="s">
        <v>1099</v>
      </c>
      <c r="R508" s="1">
        <v>4.0</v>
      </c>
      <c r="S508" s="1"/>
    </row>
    <row r="509" ht="15.75" customHeight="1">
      <c r="A509" s="1" t="s">
        <v>1283</v>
      </c>
      <c r="B509" s="1" t="s">
        <v>1284</v>
      </c>
      <c r="C509" s="1" t="s">
        <v>1285</v>
      </c>
      <c r="E509" s="1">
        <v>12.8691045</v>
      </c>
      <c r="F509" s="1">
        <v>74.8580775</v>
      </c>
      <c r="G509" s="1" t="s">
        <v>54</v>
      </c>
      <c r="H509" s="1" t="s">
        <v>55</v>
      </c>
      <c r="J509" s="1" t="s">
        <v>56</v>
      </c>
      <c r="K509" s="1" t="s">
        <v>26</v>
      </c>
      <c r="L509" s="1" t="s">
        <v>27</v>
      </c>
      <c r="N509" s="1" t="s">
        <v>743</v>
      </c>
      <c r="O509" s="1" t="s">
        <v>57</v>
      </c>
      <c r="P509" s="1" t="s">
        <v>1079</v>
      </c>
      <c r="Q509" s="1" t="s">
        <v>1080</v>
      </c>
      <c r="R509" s="1">
        <v>0.0</v>
      </c>
      <c r="S509" s="1"/>
    </row>
    <row r="510" ht="15.75" customHeight="1">
      <c r="A510" s="1" t="s">
        <v>1286</v>
      </c>
      <c r="B510" s="1" t="s">
        <v>1287</v>
      </c>
      <c r="C510" s="1" t="s">
        <v>1078</v>
      </c>
      <c r="E510" s="1">
        <v>13.0463675</v>
      </c>
      <c r="F510" s="1">
        <v>77.50797299999999</v>
      </c>
      <c r="G510" s="1" t="s">
        <v>54</v>
      </c>
      <c r="H510" s="1" t="s">
        <v>55</v>
      </c>
      <c r="J510" s="1" t="s">
        <v>56</v>
      </c>
      <c r="K510" s="1" t="s">
        <v>26</v>
      </c>
      <c r="L510" s="1" t="s">
        <v>27</v>
      </c>
      <c r="N510" s="1" t="s">
        <v>743</v>
      </c>
      <c r="O510" s="1" t="s">
        <v>57</v>
      </c>
      <c r="P510" s="1" t="s">
        <v>1079</v>
      </c>
      <c r="Q510" s="1" t="s">
        <v>1080</v>
      </c>
      <c r="R510" s="1">
        <v>9.0</v>
      </c>
      <c r="S510" s="1"/>
    </row>
    <row r="511" ht="15.75" customHeight="1">
      <c r="A511" s="1" t="s">
        <v>1288</v>
      </c>
      <c r="B511" s="1" t="s">
        <v>1289</v>
      </c>
      <c r="C511" s="1" t="s">
        <v>185</v>
      </c>
      <c r="E511" s="1">
        <v>17.4893415</v>
      </c>
      <c r="F511" s="1">
        <v>78.6015757</v>
      </c>
      <c r="G511" s="1" t="s">
        <v>54</v>
      </c>
      <c r="H511" s="1" t="s">
        <v>55</v>
      </c>
      <c r="J511" s="1" t="s">
        <v>56</v>
      </c>
      <c r="K511" s="1" t="s">
        <v>26</v>
      </c>
      <c r="L511" s="1" t="s">
        <v>27</v>
      </c>
      <c r="N511" s="1" t="s">
        <v>186</v>
      </c>
      <c r="O511" s="1" t="s">
        <v>57</v>
      </c>
      <c r="P511" s="1" t="s">
        <v>187</v>
      </c>
      <c r="Q511" s="1" t="s">
        <v>188</v>
      </c>
      <c r="R511" s="1">
        <v>3.0</v>
      </c>
      <c r="S511" s="1"/>
    </row>
    <row r="512" ht="15.75" customHeight="1">
      <c r="A512" s="1" t="s">
        <v>1290</v>
      </c>
      <c r="B512" s="1" t="s">
        <v>1291</v>
      </c>
      <c r="C512" s="1" t="s">
        <v>1078</v>
      </c>
      <c r="E512" s="1">
        <v>12.9703653</v>
      </c>
      <c r="F512" s="1">
        <v>77.6095989</v>
      </c>
      <c r="G512" s="1" t="s">
        <v>54</v>
      </c>
      <c r="H512" s="1" t="s">
        <v>55</v>
      </c>
      <c r="J512" s="1" t="s">
        <v>56</v>
      </c>
      <c r="K512" s="1" t="s">
        <v>26</v>
      </c>
      <c r="L512" s="1" t="s">
        <v>27</v>
      </c>
      <c r="N512" s="1" t="s">
        <v>743</v>
      </c>
      <c r="O512" s="1" t="s">
        <v>57</v>
      </c>
      <c r="P512" s="1" t="s">
        <v>1079</v>
      </c>
      <c r="Q512" s="1" t="s">
        <v>1080</v>
      </c>
      <c r="R512" s="1">
        <v>2.0</v>
      </c>
      <c r="S512" s="1"/>
    </row>
    <row r="513" ht="15.75" customHeight="1">
      <c r="A513" s="1" t="s">
        <v>1292</v>
      </c>
      <c r="B513" s="1" t="s">
        <v>1293</v>
      </c>
      <c r="C513" s="1" t="s">
        <v>1294</v>
      </c>
      <c r="E513" s="1">
        <v>18.4529448</v>
      </c>
      <c r="F513" s="1">
        <v>79.119607</v>
      </c>
      <c r="G513" s="1" t="s">
        <v>54</v>
      </c>
      <c r="H513" s="1" t="s">
        <v>55</v>
      </c>
      <c r="J513" s="1" t="s">
        <v>56</v>
      </c>
      <c r="K513" s="1" t="s">
        <v>26</v>
      </c>
      <c r="L513" s="1" t="s">
        <v>27</v>
      </c>
      <c r="N513" s="1" t="s">
        <v>186</v>
      </c>
      <c r="O513" s="1" t="s">
        <v>57</v>
      </c>
      <c r="P513" s="1" t="s">
        <v>187</v>
      </c>
      <c r="Q513" s="1" t="s">
        <v>188</v>
      </c>
      <c r="R513" s="1">
        <v>0.0</v>
      </c>
      <c r="S513" s="1"/>
    </row>
    <row r="514" ht="15.75" customHeight="1">
      <c r="A514" s="1" t="s">
        <v>1295</v>
      </c>
      <c r="B514" s="1" t="s">
        <v>1296</v>
      </c>
      <c r="C514" s="1" t="s">
        <v>1297</v>
      </c>
      <c r="E514" s="1">
        <v>12.5267577</v>
      </c>
      <c r="F514" s="1">
        <v>76.8821006</v>
      </c>
      <c r="G514" s="1" t="s">
        <v>54</v>
      </c>
      <c r="H514" s="1" t="s">
        <v>55</v>
      </c>
      <c r="J514" s="1" t="s">
        <v>56</v>
      </c>
      <c r="K514" s="1" t="s">
        <v>26</v>
      </c>
      <c r="L514" s="1" t="s">
        <v>27</v>
      </c>
      <c r="N514" s="1" t="s">
        <v>743</v>
      </c>
      <c r="O514" s="1" t="s">
        <v>57</v>
      </c>
      <c r="P514" s="1" t="s">
        <v>1079</v>
      </c>
      <c r="Q514" s="1" t="s">
        <v>1080</v>
      </c>
      <c r="R514" s="1">
        <v>0.0</v>
      </c>
      <c r="S514" s="1"/>
    </row>
    <row r="515" ht="15.75" customHeight="1">
      <c r="A515" s="1" t="s">
        <v>1298</v>
      </c>
      <c r="B515" s="1" t="s">
        <v>1299</v>
      </c>
      <c r="C515" s="1" t="s">
        <v>1112</v>
      </c>
      <c r="E515" s="1">
        <v>12.949452</v>
      </c>
      <c r="F515" s="1">
        <v>80.24047209999999</v>
      </c>
      <c r="G515" s="1" t="s">
        <v>54</v>
      </c>
      <c r="H515" s="1" t="s">
        <v>55</v>
      </c>
      <c r="J515" s="1" t="s">
        <v>118</v>
      </c>
      <c r="K515" s="1" t="s">
        <v>26</v>
      </c>
      <c r="L515" s="1" t="s">
        <v>27</v>
      </c>
      <c r="N515" s="1" t="s">
        <v>1097</v>
      </c>
      <c r="O515" s="1" t="s">
        <v>29</v>
      </c>
      <c r="P515" s="1" t="s">
        <v>1098</v>
      </c>
      <c r="Q515" s="1" t="s">
        <v>1099</v>
      </c>
      <c r="R515" s="1">
        <v>5.0</v>
      </c>
      <c r="S515" s="1"/>
    </row>
    <row r="516" ht="15.75" customHeight="1">
      <c r="A516" s="1" t="s">
        <v>1300</v>
      </c>
      <c r="B516" s="1" t="s">
        <v>1301</v>
      </c>
      <c r="C516" s="1" t="s">
        <v>1302</v>
      </c>
      <c r="E516" s="1">
        <v>13.3531981</v>
      </c>
      <c r="F516" s="1">
        <v>74.7910055</v>
      </c>
      <c r="G516" s="1" t="s">
        <v>54</v>
      </c>
      <c r="H516" s="1" t="s">
        <v>55</v>
      </c>
      <c r="J516" s="1" t="s">
        <v>221</v>
      </c>
      <c r="K516" s="1" t="s">
        <v>26</v>
      </c>
      <c r="L516" s="1" t="s">
        <v>27</v>
      </c>
      <c r="N516" s="1" t="s">
        <v>743</v>
      </c>
      <c r="O516" s="1" t="s">
        <v>57</v>
      </c>
      <c r="P516" s="1" t="s">
        <v>1079</v>
      </c>
      <c r="Q516" s="1" t="s">
        <v>1080</v>
      </c>
      <c r="R516" s="1">
        <v>0.0</v>
      </c>
      <c r="S516" s="1"/>
    </row>
    <row r="517" ht="15.75" customHeight="1">
      <c r="A517" s="1" t="s">
        <v>1303</v>
      </c>
      <c r="B517" s="1" t="s">
        <v>1304</v>
      </c>
      <c r="C517" s="1" t="s">
        <v>1225</v>
      </c>
      <c r="E517" s="1">
        <v>17.7251872</v>
      </c>
      <c r="F517" s="1">
        <v>83.31508819999999</v>
      </c>
      <c r="G517" s="1" t="s">
        <v>54</v>
      </c>
      <c r="H517" s="1" t="s">
        <v>55</v>
      </c>
      <c r="J517" s="1" t="s">
        <v>56</v>
      </c>
      <c r="K517" s="1" t="s">
        <v>26</v>
      </c>
      <c r="L517" s="1" t="s">
        <v>27</v>
      </c>
      <c r="N517" s="1" t="s">
        <v>464</v>
      </c>
      <c r="O517" s="1" t="s">
        <v>57</v>
      </c>
      <c r="P517" s="1" t="s">
        <v>187</v>
      </c>
      <c r="Q517" s="1" t="s">
        <v>188</v>
      </c>
      <c r="R517" s="1">
        <v>0.0</v>
      </c>
      <c r="S517" s="1"/>
    </row>
    <row r="518" ht="15.75" customHeight="1">
      <c r="A518" s="1" t="s">
        <v>1305</v>
      </c>
      <c r="B518" s="1" t="s">
        <v>1306</v>
      </c>
      <c r="C518" s="1" t="s">
        <v>1307</v>
      </c>
      <c r="E518" s="1">
        <v>13.002316</v>
      </c>
      <c r="F518" s="1">
        <v>76.1048831</v>
      </c>
      <c r="G518" s="1" t="s">
        <v>54</v>
      </c>
      <c r="H518" s="1" t="s">
        <v>55</v>
      </c>
      <c r="J518" s="1" t="s">
        <v>56</v>
      </c>
      <c r="K518" s="1" t="s">
        <v>26</v>
      </c>
      <c r="L518" s="1" t="s">
        <v>27</v>
      </c>
      <c r="N518" s="1" t="s">
        <v>743</v>
      </c>
      <c r="O518" s="1" t="s">
        <v>57</v>
      </c>
      <c r="P518" s="1" t="s">
        <v>1079</v>
      </c>
      <c r="Q518" s="1" t="s">
        <v>1080</v>
      </c>
      <c r="R518" s="1">
        <v>0.0</v>
      </c>
      <c r="S518" s="1"/>
    </row>
    <row r="519" ht="15.75" customHeight="1">
      <c r="A519" s="1" t="s">
        <v>1308</v>
      </c>
      <c r="B519" s="1" t="s">
        <v>1309</v>
      </c>
      <c r="C519" s="1" t="s">
        <v>1310</v>
      </c>
      <c r="E519" s="1">
        <v>10.5225015</v>
      </c>
      <c r="F519" s="1">
        <v>76.20451849999999</v>
      </c>
      <c r="G519" s="1" t="s">
        <v>54</v>
      </c>
      <c r="H519" s="1" t="s">
        <v>55</v>
      </c>
      <c r="J519" s="1" t="s">
        <v>56</v>
      </c>
      <c r="K519" s="1" t="s">
        <v>26</v>
      </c>
      <c r="L519" s="1" t="s">
        <v>27</v>
      </c>
      <c r="N519" s="1" t="s">
        <v>1210</v>
      </c>
      <c r="O519" s="1" t="s">
        <v>29</v>
      </c>
      <c r="P519" s="1" t="s">
        <v>1079</v>
      </c>
      <c r="Q519" s="1" t="s">
        <v>1080</v>
      </c>
      <c r="R519" s="1">
        <v>0.0</v>
      </c>
      <c r="S519" s="1"/>
    </row>
    <row r="520" ht="15.75" customHeight="1">
      <c r="A520" s="1" t="s">
        <v>1311</v>
      </c>
      <c r="B520" s="1" t="s">
        <v>1312</v>
      </c>
      <c r="C520" s="1" t="s">
        <v>185</v>
      </c>
      <c r="E520" s="1">
        <v>17.3988271</v>
      </c>
      <c r="F520" s="1">
        <v>78.4816421</v>
      </c>
      <c r="G520" s="1" t="s">
        <v>54</v>
      </c>
      <c r="H520" s="1" t="s">
        <v>55</v>
      </c>
      <c r="J520" s="1" t="s">
        <v>56</v>
      </c>
      <c r="K520" s="1" t="s">
        <v>26</v>
      </c>
      <c r="L520" s="1" t="s">
        <v>27</v>
      </c>
      <c r="N520" s="1" t="s">
        <v>186</v>
      </c>
      <c r="O520" s="1" t="s">
        <v>57</v>
      </c>
      <c r="P520" s="1" t="s">
        <v>187</v>
      </c>
      <c r="Q520" s="1" t="s">
        <v>188</v>
      </c>
      <c r="R520" s="1">
        <v>4.0</v>
      </c>
      <c r="S520" s="1"/>
    </row>
    <row r="521" ht="15.75" customHeight="1">
      <c r="A521" s="1" t="s">
        <v>1313</v>
      </c>
      <c r="B521" s="1" t="s">
        <v>1314</v>
      </c>
      <c r="C521" s="1" t="s">
        <v>1315</v>
      </c>
      <c r="E521" s="1">
        <v>16.7510672</v>
      </c>
      <c r="F521" s="1">
        <v>78.00664979999999</v>
      </c>
      <c r="G521" s="1" t="s">
        <v>54</v>
      </c>
      <c r="H521" s="1" t="s">
        <v>55</v>
      </c>
      <c r="J521" s="1" t="s">
        <v>56</v>
      </c>
      <c r="K521" s="1" t="s">
        <v>26</v>
      </c>
      <c r="L521" s="1" t="s">
        <v>27</v>
      </c>
      <c r="N521" s="1" t="s">
        <v>186</v>
      </c>
      <c r="O521" s="1" t="s">
        <v>57</v>
      </c>
      <c r="P521" s="1" t="s">
        <v>187</v>
      </c>
      <c r="Q521" s="1" t="s">
        <v>188</v>
      </c>
      <c r="R521" s="1">
        <v>0.0</v>
      </c>
      <c r="S521" s="1"/>
    </row>
    <row r="522" ht="15.75" customHeight="1">
      <c r="A522" s="1" t="s">
        <v>1316</v>
      </c>
      <c r="B522" s="1" t="s">
        <v>1317</v>
      </c>
      <c r="C522" s="1" t="s">
        <v>1078</v>
      </c>
      <c r="E522" s="1">
        <v>13.0441293</v>
      </c>
      <c r="F522" s="1">
        <v>77.62601529999999</v>
      </c>
      <c r="G522" s="1" t="s">
        <v>54</v>
      </c>
      <c r="H522" s="1" t="s">
        <v>55</v>
      </c>
      <c r="J522" s="1" t="s">
        <v>56</v>
      </c>
      <c r="K522" s="1" t="s">
        <v>26</v>
      </c>
      <c r="L522" s="1" t="s">
        <v>27</v>
      </c>
      <c r="N522" s="1" t="s">
        <v>743</v>
      </c>
      <c r="O522" s="1" t="s">
        <v>57</v>
      </c>
      <c r="P522" s="1" t="s">
        <v>1079</v>
      </c>
      <c r="Q522" s="1" t="s">
        <v>1080</v>
      </c>
      <c r="R522" s="1">
        <v>4.0</v>
      </c>
      <c r="S522" s="1"/>
    </row>
    <row r="523" ht="15.75" customHeight="1">
      <c r="A523" s="1" t="s">
        <v>1318</v>
      </c>
      <c r="B523" s="1" t="s">
        <v>1319</v>
      </c>
      <c r="C523" s="1" t="s">
        <v>467</v>
      </c>
      <c r="E523" s="1">
        <v>16.4973648</v>
      </c>
      <c r="F523" s="1">
        <v>80.6559453</v>
      </c>
      <c r="G523" s="1" t="s">
        <v>54</v>
      </c>
      <c r="H523" s="1" t="s">
        <v>55</v>
      </c>
      <c r="J523" s="1" t="s">
        <v>56</v>
      </c>
      <c r="K523" s="1" t="s">
        <v>26</v>
      </c>
      <c r="L523" s="1" t="s">
        <v>27</v>
      </c>
      <c r="N523" s="1" t="s">
        <v>464</v>
      </c>
      <c r="O523" s="1" t="s">
        <v>57</v>
      </c>
      <c r="P523" s="1" t="s">
        <v>187</v>
      </c>
      <c r="Q523" s="1" t="s">
        <v>188</v>
      </c>
      <c r="R523" s="1">
        <v>1.0</v>
      </c>
      <c r="S523" s="1"/>
    </row>
    <row r="524" ht="15.75" customHeight="1">
      <c r="A524" s="1" t="s">
        <v>1320</v>
      </c>
      <c r="B524" s="1" t="s">
        <v>1321</v>
      </c>
      <c r="C524" s="1" t="s">
        <v>1302</v>
      </c>
      <c r="E524" s="1">
        <v>13.3531981</v>
      </c>
      <c r="F524" s="1">
        <v>74.7910055</v>
      </c>
      <c r="G524" s="1" t="s">
        <v>54</v>
      </c>
      <c r="H524" s="1" t="s">
        <v>55</v>
      </c>
      <c r="J524" s="1" t="s">
        <v>56</v>
      </c>
      <c r="K524" s="1" t="s">
        <v>26</v>
      </c>
      <c r="L524" s="1" t="s">
        <v>27</v>
      </c>
      <c r="N524" s="1" t="s">
        <v>743</v>
      </c>
      <c r="O524" s="1" t="s">
        <v>57</v>
      </c>
      <c r="P524" s="1" t="s">
        <v>1079</v>
      </c>
      <c r="Q524" s="1" t="s">
        <v>1080</v>
      </c>
      <c r="R524" s="1">
        <v>0.0</v>
      </c>
      <c r="S524" s="1"/>
    </row>
    <row r="525" ht="15.75" customHeight="1">
      <c r="A525" s="1" t="s">
        <v>1322</v>
      </c>
      <c r="B525" s="1" t="s">
        <v>1323</v>
      </c>
      <c r="C525" s="1" t="s">
        <v>1209</v>
      </c>
      <c r="E525" s="1">
        <v>9.9533744</v>
      </c>
      <c r="F525" s="1">
        <v>76.3419414</v>
      </c>
      <c r="G525" s="1" t="s">
        <v>54</v>
      </c>
      <c r="H525" s="1" t="s">
        <v>55</v>
      </c>
      <c r="J525" s="1" t="s">
        <v>56</v>
      </c>
      <c r="K525" s="1" t="s">
        <v>26</v>
      </c>
      <c r="L525" s="1" t="s">
        <v>27</v>
      </c>
      <c r="N525" s="1" t="s">
        <v>1210</v>
      </c>
      <c r="O525" s="1" t="s">
        <v>57</v>
      </c>
      <c r="P525" s="1" t="s">
        <v>1211</v>
      </c>
      <c r="Q525" s="1" t="s">
        <v>1212</v>
      </c>
      <c r="R525" s="1">
        <v>4.0</v>
      </c>
      <c r="S525" s="1"/>
    </row>
    <row r="526" ht="15.75" customHeight="1">
      <c r="A526" s="1" t="s">
        <v>1324</v>
      </c>
      <c r="B526" s="1" t="s">
        <v>1325</v>
      </c>
      <c r="C526" s="1" t="s">
        <v>1326</v>
      </c>
      <c r="E526" s="1">
        <v>12.963084</v>
      </c>
      <c r="F526" s="1">
        <v>79.1375154</v>
      </c>
      <c r="G526" s="1" t="s">
        <v>54</v>
      </c>
      <c r="H526" s="1" t="s">
        <v>55</v>
      </c>
      <c r="J526" s="1" t="s">
        <v>56</v>
      </c>
      <c r="K526" s="1" t="s">
        <v>26</v>
      </c>
      <c r="L526" s="1" t="s">
        <v>27</v>
      </c>
      <c r="N526" s="1" t="s">
        <v>1097</v>
      </c>
      <c r="O526" s="1" t="s">
        <v>57</v>
      </c>
      <c r="P526" s="1" t="s">
        <v>1098</v>
      </c>
      <c r="Q526" s="1" t="s">
        <v>1099</v>
      </c>
      <c r="R526" s="1">
        <v>0.0</v>
      </c>
      <c r="S526" s="1"/>
    </row>
    <row r="527" ht="15.75" customHeight="1">
      <c r="A527" s="1" t="s">
        <v>1327</v>
      </c>
      <c r="B527" s="1" t="s">
        <v>1328</v>
      </c>
      <c r="C527" s="1" t="s">
        <v>1078</v>
      </c>
      <c r="E527" s="1">
        <v>12.9406047</v>
      </c>
      <c r="F527" s="1">
        <v>77.5250909</v>
      </c>
      <c r="G527" s="1" t="s">
        <v>54</v>
      </c>
      <c r="H527" s="1" t="s">
        <v>55</v>
      </c>
      <c r="J527" s="1" t="s">
        <v>56</v>
      </c>
      <c r="K527" s="1" t="s">
        <v>26</v>
      </c>
      <c r="L527" s="1" t="s">
        <v>27</v>
      </c>
      <c r="N527" s="1" t="s">
        <v>743</v>
      </c>
      <c r="O527" s="1" t="s">
        <v>57</v>
      </c>
      <c r="P527" s="1" t="s">
        <v>1079</v>
      </c>
      <c r="Q527" s="1" t="s">
        <v>1080</v>
      </c>
      <c r="R527" s="1">
        <v>3.0</v>
      </c>
      <c r="S527" s="1"/>
    </row>
    <row r="528" ht="15.75" customHeight="1">
      <c r="A528" s="1" t="s">
        <v>1329</v>
      </c>
      <c r="B528" s="1" t="s">
        <v>1330</v>
      </c>
      <c r="C528" s="1" t="s">
        <v>1331</v>
      </c>
      <c r="E528" s="1">
        <v>10.7694547</v>
      </c>
      <c r="F528" s="1">
        <v>76.6613302</v>
      </c>
      <c r="G528" s="1" t="s">
        <v>54</v>
      </c>
      <c r="H528" s="1" t="s">
        <v>55</v>
      </c>
      <c r="J528" s="1" t="s">
        <v>56</v>
      </c>
      <c r="K528" s="1" t="s">
        <v>26</v>
      </c>
      <c r="L528" s="1" t="s">
        <v>27</v>
      </c>
      <c r="N528" s="1" t="s">
        <v>1210</v>
      </c>
      <c r="O528" s="1" t="s">
        <v>57</v>
      </c>
      <c r="P528" s="1" t="s">
        <v>1079</v>
      </c>
      <c r="Q528" s="1" t="s">
        <v>1080</v>
      </c>
      <c r="R528" s="1">
        <v>0.0</v>
      </c>
      <c r="S528" s="1"/>
    </row>
    <row r="529" ht="15.75" customHeight="1">
      <c r="A529" s="1" t="s">
        <v>1332</v>
      </c>
      <c r="B529" s="1" t="s">
        <v>1333</v>
      </c>
      <c r="C529" s="1" t="s">
        <v>1151</v>
      </c>
      <c r="E529" s="1">
        <v>9.932618</v>
      </c>
      <c r="F529" s="1">
        <v>78.1441104</v>
      </c>
      <c r="G529" s="1" t="s">
        <v>54</v>
      </c>
      <c r="H529" s="1" t="s">
        <v>55</v>
      </c>
      <c r="J529" s="1" t="s">
        <v>56</v>
      </c>
      <c r="K529" s="1" t="s">
        <v>26</v>
      </c>
      <c r="L529" s="1" t="s">
        <v>27</v>
      </c>
      <c r="N529" s="1" t="s">
        <v>1097</v>
      </c>
      <c r="O529" s="1" t="s">
        <v>57</v>
      </c>
      <c r="P529" s="1" t="s">
        <v>1098</v>
      </c>
      <c r="Q529" s="1" t="s">
        <v>1099</v>
      </c>
      <c r="R529" s="1">
        <v>0.0</v>
      </c>
      <c r="S529" s="1"/>
    </row>
    <row r="530" ht="15.75" customHeight="1">
      <c r="A530" s="1" t="s">
        <v>1334</v>
      </c>
      <c r="B530" s="1" t="s">
        <v>1335</v>
      </c>
      <c r="C530" s="1" t="s">
        <v>1112</v>
      </c>
      <c r="E530" s="1">
        <v>12.972097</v>
      </c>
      <c r="F530" s="1">
        <v>80.21982919999999</v>
      </c>
      <c r="G530" s="1" t="s">
        <v>54</v>
      </c>
      <c r="H530" s="1" t="s">
        <v>55</v>
      </c>
      <c r="J530" s="1" t="s">
        <v>56</v>
      </c>
      <c r="K530" s="1" t="s">
        <v>26</v>
      </c>
      <c r="L530" s="1" t="s">
        <v>27</v>
      </c>
      <c r="N530" s="1" t="s">
        <v>1097</v>
      </c>
      <c r="O530" s="1" t="s">
        <v>29</v>
      </c>
      <c r="P530" s="1" t="s">
        <v>1098</v>
      </c>
      <c r="Q530" s="1" t="s">
        <v>1099</v>
      </c>
      <c r="R530" s="1">
        <v>4.0</v>
      </c>
      <c r="S530" s="1"/>
    </row>
    <row r="531" ht="15.75" customHeight="1">
      <c r="A531" s="1" t="s">
        <v>1336</v>
      </c>
      <c r="B531" s="1" t="s">
        <v>1337</v>
      </c>
      <c r="C531" s="1" t="s">
        <v>1112</v>
      </c>
      <c r="E531" s="1">
        <v>13.042059</v>
      </c>
      <c r="F531" s="1">
        <v>80.25929529999999</v>
      </c>
      <c r="G531" s="1" t="s">
        <v>54</v>
      </c>
      <c r="H531" s="1" t="s">
        <v>55</v>
      </c>
      <c r="J531" s="1" t="s">
        <v>56</v>
      </c>
      <c r="K531" s="1" t="s">
        <v>26</v>
      </c>
      <c r="L531" s="1" t="s">
        <v>27</v>
      </c>
      <c r="N531" s="1" t="s">
        <v>1097</v>
      </c>
      <c r="O531" s="1" t="s">
        <v>57</v>
      </c>
      <c r="P531" s="1" t="s">
        <v>1098</v>
      </c>
      <c r="Q531" s="1" t="s">
        <v>1099</v>
      </c>
      <c r="R531" s="1">
        <v>4.0</v>
      </c>
      <c r="S531" s="1"/>
    </row>
    <row r="532" ht="15.75" customHeight="1">
      <c r="A532" s="1" t="s">
        <v>1338</v>
      </c>
      <c r="B532" s="1" t="s">
        <v>1339</v>
      </c>
      <c r="C532" s="1" t="s">
        <v>1340</v>
      </c>
      <c r="E532" s="1">
        <v>16.7080176</v>
      </c>
      <c r="F532" s="1">
        <v>81.0896061</v>
      </c>
      <c r="G532" s="1" t="s">
        <v>54</v>
      </c>
      <c r="H532" s="1" t="s">
        <v>55</v>
      </c>
      <c r="J532" s="1" t="s">
        <v>56</v>
      </c>
      <c r="K532" s="1" t="s">
        <v>26</v>
      </c>
      <c r="L532" s="1" t="s">
        <v>27</v>
      </c>
      <c r="N532" s="1" t="s">
        <v>464</v>
      </c>
      <c r="O532" s="1" t="s">
        <v>57</v>
      </c>
      <c r="P532" s="1" t="s">
        <v>187</v>
      </c>
      <c r="Q532" s="1" t="s">
        <v>188</v>
      </c>
      <c r="R532" s="1">
        <v>0.0</v>
      </c>
      <c r="S532" s="1"/>
    </row>
    <row r="533" ht="15.75" customHeight="1">
      <c r="A533" s="1" t="s">
        <v>1341</v>
      </c>
      <c r="B533" s="1" t="s">
        <v>1342</v>
      </c>
      <c r="C533" s="1" t="s">
        <v>1112</v>
      </c>
      <c r="E533" s="1">
        <v>13.0208143</v>
      </c>
      <c r="F533" s="1">
        <v>80.1838657</v>
      </c>
      <c r="G533" s="1" t="s">
        <v>54</v>
      </c>
      <c r="H533" s="1" t="s">
        <v>55</v>
      </c>
      <c r="J533" s="1" t="s">
        <v>56</v>
      </c>
      <c r="K533" s="1" t="s">
        <v>26</v>
      </c>
      <c r="L533" s="1" t="s">
        <v>27</v>
      </c>
      <c r="N533" s="1" t="s">
        <v>1097</v>
      </c>
      <c r="O533" s="1" t="s">
        <v>57</v>
      </c>
      <c r="P533" s="1" t="s">
        <v>1098</v>
      </c>
      <c r="Q533" s="1" t="s">
        <v>1099</v>
      </c>
      <c r="R533" s="1">
        <v>2.0</v>
      </c>
      <c r="S533" s="1"/>
    </row>
    <row r="534" ht="15.75" customHeight="1">
      <c r="A534" s="1" t="s">
        <v>1343</v>
      </c>
      <c r="B534" s="1" t="s">
        <v>1344</v>
      </c>
      <c r="C534" s="1" t="s">
        <v>488</v>
      </c>
      <c r="E534" s="1">
        <v>16.9715543</v>
      </c>
      <c r="F534" s="1">
        <v>82.2364661</v>
      </c>
      <c r="G534" s="1" t="s">
        <v>54</v>
      </c>
      <c r="H534" s="1" t="s">
        <v>55</v>
      </c>
      <c r="J534" s="1" t="s">
        <v>56</v>
      </c>
      <c r="K534" s="1" t="s">
        <v>26</v>
      </c>
      <c r="L534" s="1" t="s">
        <v>27</v>
      </c>
      <c r="N534" s="1" t="s">
        <v>464</v>
      </c>
      <c r="O534" s="1" t="s">
        <v>57</v>
      </c>
      <c r="P534" s="1" t="s">
        <v>187</v>
      </c>
      <c r="Q534" s="1" t="s">
        <v>188</v>
      </c>
      <c r="R534" s="1">
        <v>0.0</v>
      </c>
      <c r="S534" s="1"/>
    </row>
    <row r="535" ht="15.75" customHeight="1">
      <c r="A535" s="1" t="s">
        <v>1345</v>
      </c>
      <c r="B535" s="1" t="s">
        <v>1346</v>
      </c>
      <c r="C535" s="1" t="s">
        <v>463</v>
      </c>
      <c r="E535" s="1">
        <v>13.6346046</v>
      </c>
      <c r="F535" s="1">
        <v>79.4269321</v>
      </c>
      <c r="G535" s="1" t="s">
        <v>54</v>
      </c>
      <c r="H535" s="1" t="s">
        <v>55</v>
      </c>
      <c r="J535" s="1" t="s">
        <v>221</v>
      </c>
      <c r="K535" s="1" t="s">
        <v>26</v>
      </c>
      <c r="L535" s="1" t="s">
        <v>27</v>
      </c>
      <c r="N535" s="1" t="s">
        <v>464</v>
      </c>
      <c r="O535" s="1" t="s">
        <v>57</v>
      </c>
      <c r="P535" s="1" t="s">
        <v>187</v>
      </c>
      <c r="Q535" s="1" t="s">
        <v>188</v>
      </c>
      <c r="R535" s="1">
        <v>0.0</v>
      </c>
      <c r="S535" s="1"/>
    </row>
    <row r="536" ht="15.75" customHeight="1">
      <c r="A536" s="1" t="s">
        <v>1347</v>
      </c>
      <c r="B536" s="1" t="s">
        <v>1348</v>
      </c>
      <c r="C536" s="1" t="s">
        <v>1349</v>
      </c>
      <c r="E536" s="1">
        <v>15.1533733</v>
      </c>
      <c r="F536" s="1">
        <v>76.9063557</v>
      </c>
      <c r="G536" s="1" t="s">
        <v>54</v>
      </c>
      <c r="H536" s="1" t="s">
        <v>55</v>
      </c>
      <c r="J536" s="1" t="s">
        <v>56</v>
      </c>
      <c r="K536" s="1" t="s">
        <v>26</v>
      </c>
      <c r="L536" s="1" t="s">
        <v>27</v>
      </c>
      <c r="N536" s="1" t="s">
        <v>743</v>
      </c>
      <c r="O536" s="1" t="s">
        <v>57</v>
      </c>
      <c r="P536" s="1" t="s">
        <v>1079</v>
      </c>
      <c r="Q536" s="1" t="s">
        <v>1080</v>
      </c>
      <c r="R536" s="1">
        <v>0.0</v>
      </c>
      <c r="S536" s="1"/>
    </row>
    <row r="537" ht="15.75" customHeight="1">
      <c r="A537" s="1" t="s">
        <v>1350</v>
      </c>
      <c r="B537" s="1" t="s">
        <v>1351</v>
      </c>
      <c r="C537" s="1" t="s">
        <v>1112</v>
      </c>
      <c r="E537" s="1">
        <v>12.791407</v>
      </c>
      <c r="F537" s="1">
        <v>80.22191529999999</v>
      </c>
      <c r="G537" s="1" t="s">
        <v>54</v>
      </c>
      <c r="H537" s="1" t="s">
        <v>55</v>
      </c>
      <c r="J537" s="1" t="s">
        <v>56</v>
      </c>
      <c r="K537" s="1" t="s">
        <v>26</v>
      </c>
      <c r="L537" s="1" t="s">
        <v>27</v>
      </c>
      <c r="N537" s="1" t="s">
        <v>1097</v>
      </c>
      <c r="O537" s="1" t="s">
        <v>57</v>
      </c>
      <c r="P537" s="1" t="s">
        <v>1098</v>
      </c>
      <c r="Q537" s="1" t="s">
        <v>1099</v>
      </c>
      <c r="R537" s="1">
        <v>4.0</v>
      </c>
      <c r="S537" s="1"/>
    </row>
    <row r="538" ht="15.75" customHeight="1">
      <c r="A538" s="1" t="s">
        <v>1352</v>
      </c>
      <c r="B538" s="1" t="s">
        <v>1353</v>
      </c>
      <c r="C538" s="1" t="s">
        <v>1354</v>
      </c>
      <c r="E538" s="1">
        <v>9.600401999999999</v>
      </c>
      <c r="F538" s="1">
        <v>76.5309781</v>
      </c>
      <c r="G538" s="1" t="s">
        <v>54</v>
      </c>
      <c r="H538" s="1" t="s">
        <v>55</v>
      </c>
      <c r="J538" s="1" t="s">
        <v>221</v>
      </c>
      <c r="K538" s="1" t="s">
        <v>26</v>
      </c>
      <c r="L538" s="1" t="s">
        <v>27</v>
      </c>
      <c r="N538" s="1" t="s">
        <v>1210</v>
      </c>
      <c r="O538" s="1" t="s">
        <v>57</v>
      </c>
      <c r="P538" s="1" t="s">
        <v>1079</v>
      </c>
      <c r="Q538" s="1" t="s">
        <v>1080</v>
      </c>
      <c r="R538" s="1">
        <v>0.0</v>
      </c>
      <c r="S538" s="1"/>
    </row>
    <row r="539" ht="15.75" customHeight="1">
      <c r="A539" s="1" t="s">
        <v>1355</v>
      </c>
      <c r="B539" s="1" t="s">
        <v>1356</v>
      </c>
      <c r="C539" s="1" t="s">
        <v>1112</v>
      </c>
      <c r="E539" s="1">
        <v>13.046919</v>
      </c>
      <c r="F539" s="1">
        <v>80.1199154</v>
      </c>
      <c r="G539" s="1" t="s">
        <v>54</v>
      </c>
      <c r="H539" s="1" t="s">
        <v>55</v>
      </c>
      <c r="J539" s="1" t="s">
        <v>56</v>
      </c>
      <c r="K539" s="1" t="s">
        <v>26</v>
      </c>
      <c r="L539" s="1" t="s">
        <v>27</v>
      </c>
      <c r="N539" s="1" t="s">
        <v>1097</v>
      </c>
      <c r="O539" s="1" t="s">
        <v>57</v>
      </c>
      <c r="P539" s="1" t="s">
        <v>1098</v>
      </c>
      <c r="Q539" s="1" t="s">
        <v>1099</v>
      </c>
      <c r="R539" s="1">
        <v>1.0</v>
      </c>
      <c r="S539" s="1"/>
    </row>
    <row r="540" ht="15.75" customHeight="1">
      <c r="A540" s="1" t="s">
        <v>1357</v>
      </c>
      <c r="B540" s="1" t="s">
        <v>1358</v>
      </c>
      <c r="C540" s="1" t="s">
        <v>1359</v>
      </c>
      <c r="E540" s="1">
        <v>17.9951428</v>
      </c>
      <c r="F540" s="1">
        <v>79.5487254</v>
      </c>
      <c r="G540" s="1" t="s">
        <v>54</v>
      </c>
      <c r="H540" s="1" t="s">
        <v>55</v>
      </c>
      <c r="J540" s="1" t="s">
        <v>56</v>
      </c>
      <c r="K540" s="1" t="s">
        <v>26</v>
      </c>
      <c r="L540" s="1" t="s">
        <v>27</v>
      </c>
      <c r="N540" s="1" t="s">
        <v>186</v>
      </c>
      <c r="O540" s="1" t="s">
        <v>57</v>
      </c>
      <c r="P540" s="1" t="s">
        <v>1079</v>
      </c>
      <c r="Q540" s="1" t="s">
        <v>1080</v>
      </c>
      <c r="R540" s="1">
        <v>0.0</v>
      </c>
      <c r="S540" s="1"/>
    </row>
    <row r="541" ht="15.75" customHeight="1">
      <c r="A541" s="1" t="s">
        <v>1360</v>
      </c>
      <c r="B541" s="1" t="s">
        <v>1361</v>
      </c>
      <c r="C541" s="1" t="s">
        <v>1138</v>
      </c>
      <c r="E541" s="1">
        <v>11.0152267</v>
      </c>
      <c r="F541" s="1">
        <v>76.9542937</v>
      </c>
      <c r="G541" s="1" t="s">
        <v>54</v>
      </c>
      <c r="H541" s="1" t="s">
        <v>55</v>
      </c>
      <c r="J541" s="1" t="s">
        <v>56</v>
      </c>
      <c r="K541" s="1" t="s">
        <v>26</v>
      </c>
      <c r="L541" s="1" t="s">
        <v>27</v>
      </c>
      <c r="N541" s="1" t="s">
        <v>1097</v>
      </c>
      <c r="O541" s="1" t="s">
        <v>57</v>
      </c>
      <c r="P541" s="1" t="s">
        <v>1098</v>
      </c>
      <c r="Q541" s="1" t="s">
        <v>1099</v>
      </c>
      <c r="R541" s="1">
        <v>1.0</v>
      </c>
      <c r="S541" s="1"/>
    </row>
    <row r="542" ht="15.75" customHeight="1">
      <c r="A542" s="1" t="s">
        <v>1362</v>
      </c>
      <c r="B542" s="1" t="s">
        <v>1363</v>
      </c>
      <c r="C542" s="1" t="s">
        <v>1364</v>
      </c>
      <c r="E542" s="1">
        <v>17.3227894</v>
      </c>
      <c r="F542" s="1">
        <v>76.83105859999999</v>
      </c>
      <c r="G542" s="1" t="s">
        <v>54</v>
      </c>
      <c r="H542" s="1" t="s">
        <v>55</v>
      </c>
      <c r="J542" s="1" t="s">
        <v>56</v>
      </c>
      <c r="K542" s="1" t="s">
        <v>26</v>
      </c>
      <c r="L542" s="1" t="s">
        <v>27</v>
      </c>
      <c r="N542" s="1" t="s">
        <v>743</v>
      </c>
      <c r="O542" s="1" t="s">
        <v>57</v>
      </c>
      <c r="P542" s="1" t="s">
        <v>1079</v>
      </c>
      <c r="Q542" s="1" t="s">
        <v>1080</v>
      </c>
      <c r="R542" s="1">
        <v>0.0</v>
      </c>
      <c r="S542" s="1"/>
    </row>
    <row r="543" ht="15.75" customHeight="1">
      <c r="A543" s="1" t="s">
        <v>1365</v>
      </c>
      <c r="B543" s="1" t="s">
        <v>1366</v>
      </c>
      <c r="C543" s="1" t="s">
        <v>1209</v>
      </c>
      <c r="E543" s="1">
        <v>9.98255</v>
      </c>
      <c r="F543" s="1">
        <v>76.3164377</v>
      </c>
      <c r="G543" s="1" t="s">
        <v>54</v>
      </c>
      <c r="H543" s="1" t="s">
        <v>55</v>
      </c>
      <c r="J543" s="1" t="s">
        <v>56</v>
      </c>
      <c r="K543" s="1" t="s">
        <v>26</v>
      </c>
      <c r="L543" s="1" t="s">
        <v>27</v>
      </c>
      <c r="N543" s="1" t="s">
        <v>1210</v>
      </c>
      <c r="O543" s="1" t="s">
        <v>57</v>
      </c>
      <c r="P543" s="1" t="s">
        <v>1211</v>
      </c>
      <c r="Q543" s="1" t="s">
        <v>1212</v>
      </c>
      <c r="R543" s="1">
        <v>5.0</v>
      </c>
      <c r="S543" s="1"/>
    </row>
    <row r="544" ht="15.75" customHeight="1">
      <c r="A544" s="1" t="s">
        <v>1367</v>
      </c>
      <c r="B544" s="1" t="s">
        <v>1368</v>
      </c>
      <c r="C544" s="1" t="s">
        <v>1078</v>
      </c>
      <c r="E544" s="1">
        <v>12.9092833</v>
      </c>
      <c r="F544" s="1">
        <v>77.51298899999999</v>
      </c>
      <c r="G544" s="1" t="s">
        <v>54</v>
      </c>
      <c r="H544" s="1" t="s">
        <v>55</v>
      </c>
      <c r="J544" s="1" t="s">
        <v>56</v>
      </c>
      <c r="K544" s="1" t="s">
        <v>26</v>
      </c>
      <c r="L544" s="1" t="s">
        <v>27</v>
      </c>
      <c r="N544" s="1" t="s">
        <v>743</v>
      </c>
      <c r="O544" s="1" t="s">
        <v>57</v>
      </c>
      <c r="P544" s="1" t="s">
        <v>1079</v>
      </c>
      <c r="Q544" s="1" t="s">
        <v>1080</v>
      </c>
      <c r="R544" s="1">
        <v>2.0</v>
      </c>
      <c r="S544" s="1"/>
    </row>
    <row r="545" ht="15.75" customHeight="1">
      <c r="A545" s="1" t="s">
        <v>1369</v>
      </c>
      <c r="B545" s="1" t="s">
        <v>1370</v>
      </c>
      <c r="C545" s="1" t="s">
        <v>185</v>
      </c>
      <c r="E545" s="1">
        <v>17.3562565</v>
      </c>
      <c r="F545" s="1">
        <v>78.3809442</v>
      </c>
      <c r="G545" s="1" t="s">
        <v>54</v>
      </c>
      <c r="H545" s="1" t="s">
        <v>55</v>
      </c>
      <c r="J545" s="1" t="s">
        <v>56</v>
      </c>
      <c r="K545" s="1" t="s">
        <v>26</v>
      </c>
      <c r="L545" s="1" t="s">
        <v>27</v>
      </c>
      <c r="N545" s="1" t="s">
        <v>186</v>
      </c>
      <c r="O545" s="1" t="s">
        <v>57</v>
      </c>
      <c r="P545" s="1" t="s">
        <v>187</v>
      </c>
      <c r="Q545" s="1" t="s">
        <v>188</v>
      </c>
      <c r="R545" s="1">
        <v>2.0</v>
      </c>
      <c r="S545" s="1"/>
    </row>
    <row r="546" ht="15.75" customHeight="1">
      <c r="A546" s="1" t="s">
        <v>1371</v>
      </c>
      <c r="B546" s="1" t="s">
        <v>1372</v>
      </c>
      <c r="C546" s="1" t="s">
        <v>1163</v>
      </c>
      <c r="E546" s="1">
        <v>15.878557</v>
      </c>
      <c r="F546" s="1">
        <v>74.5152847</v>
      </c>
      <c r="G546" s="1" t="s">
        <v>54</v>
      </c>
      <c r="H546" s="1" t="s">
        <v>55</v>
      </c>
      <c r="J546" s="1" t="s">
        <v>56</v>
      </c>
      <c r="K546" s="1" t="s">
        <v>26</v>
      </c>
      <c r="L546" s="1" t="s">
        <v>27</v>
      </c>
      <c r="N546" s="1" t="s">
        <v>743</v>
      </c>
      <c r="O546" s="1" t="s">
        <v>57</v>
      </c>
      <c r="P546" s="1" t="s">
        <v>1079</v>
      </c>
      <c r="Q546" s="1" t="s">
        <v>1080</v>
      </c>
      <c r="R546" s="1">
        <v>2.0</v>
      </c>
      <c r="S546" s="1"/>
    </row>
    <row r="547" ht="15.75" customHeight="1">
      <c r="A547" s="1" t="s">
        <v>1373</v>
      </c>
      <c r="B547" s="1" t="s">
        <v>1374</v>
      </c>
      <c r="C547" s="1" t="s">
        <v>1375</v>
      </c>
      <c r="E547" s="1">
        <v>15.8283424</v>
      </c>
      <c r="F547" s="1">
        <v>78.03794769999999</v>
      </c>
      <c r="G547" s="1" t="s">
        <v>54</v>
      </c>
      <c r="H547" s="1" t="s">
        <v>55</v>
      </c>
      <c r="J547" s="1" t="s">
        <v>56</v>
      </c>
      <c r="K547" s="1" t="s">
        <v>26</v>
      </c>
      <c r="L547" s="1" t="s">
        <v>27</v>
      </c>
      <c r="N547" s="1" t="s">
        <v>464</v>
      </c>
      <c r="O547" s="1" t="s">
        <v>57</v>
      </c>
      <c r="P547" s="1" t="s">
        <v>187</v>
      </c>
      <c r="Q547" s="1" t="s">
        <v>188</v>
      </c>
      <c r="R547" s="1">
        <v>0.0</v>
      </c>
      <c r="S547" s="1"/>
    </row>
    <row r="548" ht="15.75" customHeight="1">
      <c r="A548" s="1" t="s">
        <v>1376</v>
      </c>
      <c r="B548" s="1" t="s">
        <v>1377</v>
      </c>
      <c r="C548" s="1" t="s">
        <v>185</v>
      </c>
      <c r="E548" s="1">
        <v>17.4103593</v>
      </c>
      <c r="F548" s="1">
        <v>78.60519169999999</v>
      </c>
      <c r="G548" s="1" t="s">
        <v>54</v>
      </c>
      <c r="H548" s="1" t="s">
        <v>55</v>
      </c>
      <c r="J548" s="1" t="s">
        <v>56</v>
      </c>
      <c r="K548" s="1" t="s">
        <v>26</v>
      </c>
      <c r="L548" s="1" t="s">
        <v>27</v>
      </c>
      <c r="N548" s="1" t="s">
        <v>186</v>
      </c>
      <c r="O548" s="1" t="s">
        <v>57</v>
      </c>
      <c r="P548" s="1" t="s">
        <v>187</v>
      </c>
      <c r="Q548" s="1" t="s">
        <v>188</v>
      </c>
      <c r="R548" s="1">
        <v>2.0</v>
      </c>
      <c r="S548" s="1"/>
    </row>
    <row r="549" ht="15.75" customHeight="1">
      <c r="A549" s="1" t="s">
        <v>1378</v>
      </c>
      <c r="B549" s="1" t="s">
        <v>1379</v>
      </c>
      <c r="C549" s="1" t="s">
        <v>1138</v>
      </c>
      <c r="E549" s="1">
        <v>11.0551488</v>
      </c>
      <c r="F549" s="1">
        <v>76.9943267</v>
      </c>
      <c r="G549" s="1" t="s">
        <v>54</v>
      </c>
      <c r="H549" s="1" t="s">
        <v>55</v>
      </c>
      <c r="J549" s="1" t="s">
        <v>56</v>
      </c>
      <c r="K549" s="1" t="s">
        <v>26</v>
      </c>
      <c r="L549" s="1" t="s">
        <v>27</v>
      </c>
      <c r="N549" s="1" t="s">
        <v>1097</v>
      </c>
      <c r="O549" s="1" t="s">
        <v>57</v>
      </c>
      <c r="P549" s="1" t="s">
        <v>1098</v>
      </c>
      <c r="Q549" s="1" t="s">
        <v>1099</v>
      </c>
      <c r="R549" s="1">
        <v>1.0</v>
      </c>
      <c r="S549" s="1"/>
    </row>
    <row r="550" ht="15.75" customHeight="1">
      <c r="A550" s="1" t="s">
        <v>1380</v>
      </c>
      <c r="B550" s="1" t="s">
        <v>1381</v>
      </c>
      <c r="C550" s="1" t="s">
        <v>185</v>
      </c>
      <c r="E550" s="1">
        <v>17.4560789</v>
      </c>
      <c r="F550" s="1">
        <v>78.4343932</v>
      </c>
      <c r="G550" s="1" t="s">
        <v>54</v>
      </c>
      <c r="H550" s="1" t="s">
        <v>55</v>
      </c>
      <c r="J550" s="1" t="s">
        <v>56</v>
      </c>
      <c r="K550" s="1" t="s">
        <v>26</v>
      </c>
      <c r="L550" s="1" t="s">
        <v>27</v>
      </c>
      <c r="N550" s="1" t="s">
        <v>186</v>
      </c>
      <c r="O550" s="1" t="s">
        <v>57</v>
      </c>
      <c r="P550" s="1" t="s">
        <v>187</v>
      </c>
      <c r="Q550" s="1" t="s">
        <v>188</v>
      </c>
      <c r="R550" s="1">
        <v>1.0</v>
      </c>
      <c r="S550" s="1"/>
    </row>
    <row r="551" ht="15.75" customHeight="1">
      <c r="A551" s="1" t="s">
        <v>1382</v>
      </c>
      <c r="B551" s="1" t="s">
        <v>1383</v>
      </c>
      <c r="C551" s="1" t="s">
        <v>1384</v>
      </c>
      <c r="E551" s="1">
        <v>10.8254838</v>
      </c>
      <c r="F551" s="1">
        <v>78.6865424</v>
      </c>
      <c r="G551" s="1" t="s">
        <v>54</v>
      </c>
      <c r="H551" s="1" t="s">
        <v>55</v>
      </c>
      <c r="J551" s="1" t="s">
        <v>56</v>
      </c>
      <c r="K551" s="1" t="s">
        <v>26</v>
      </c>
      <c r="L551" s="1" t="s">
        <v>27</v>
      </c>
      <c r="N551" s="1" t="s">
        <v>1097</v>
      </c>
      <c r="O551" s="1" t="s">
        <v>57</v>
      </c>
      <c r="P551" s="1" t="s">
        <v>1098</v>
      </c>
      <c r="Q551" s="1" t="s">
        <v>1099</v>
      </c>
      <c r="R551" s="1">
        <v>0.0</v>
      </c>
      <c r="S551" s="1"/>
    </row>
    <row r="552" ht="15.75" customHeight="1">
      <c r="A552" s="1" t="s">
        <v>1385</v>
      </c>
      <c r="B552" s="1" t="s">
        <v>1386</v>
      </c>
      <c r="C552" s="1" t="s">
        <v>1387</v>
      </c>
      <c r="E552" s="1">
        <v>10.366671</v>
      </c>
      <c r="F552" s="1">
        <v>77.9783463</v>
      </c>
      <c r="G552" s="1" t="s">
        <v>54</v>
      </c>
      <c r="H552" s="1" t="s">
        <v>55</v>
      </c>
      <c r="J552" s="1" t="s">
        <v>56</v>
      </c>
      <c r="K552" s="1" t="s">
        <v>26</v>
      </c>
      <c r="L552" s="1" t="s">
        <v>27</v>
      </c>
      <c r="N552" s="1" t="s">
        <v>1097</v>
      </c>
      <c r="O552" s="1" t="s">
        <v>57</v>
      </c>
      <c r="P552" s="1" t="s">
        <v>1098</v>
      </c>
      <c r="Q552" s="1" t="s">
        <v>1099</v>
      </c>
      <c r="R552" s="1">
        <v>0.0</v>
      </c>
      <c r="S552" s="1"/>
    </row>
    <row r="553" ht="15.75" customHeight="1">
      <c r="A553" s="1" t="s">
        <v>1388</v>
      </c>
      <c r="B553" s="1" t="s">
        <v>1389</v>
      </c>
      <c r="C553" s="1" t="s">
        <v>185</v>
      </c>
      <c r="E553" s="1">
        <v>17.3591206</v>
      </c>
      <c r="F553" s="1">
        <v>78.426267</v>
      </c>
      <c r="G553" s="1" t="s">
        <v>54</v>
      </c>
      <c r="H553" s="1" t="s">
        <v>55</v>
      </c>
      <c r="J553" s="1" t="s">
        <v>56</v>
      </c>
      <c r="K553" s="1" t="s">
        <v>26</v>
      </c>
      <c r="L553" s="1" t="s">
        <v>27</v>
      </c>
      <c r="N553" s="1" t="s">
        <v>186</v>
      </c>
      <c r="O553" s="1" t="s">
        <v>57</v>
      </c>
      <c r="P553" s="1" t="s">
        <v>187</v>
      </c>
      <c r="Q553" s="1" t="s">
        <v>188</v>
      </c>
      <c r="R553" s="1">
        <v>2.0</v>
      </c>
      <c r="S553" s="1"/>
    </row>
    <row r="554" ht="15.75" customHeight="1">
      <c r="A554" s="1" t="s">
        <v>1390</v>
      </c>
      <c r="B554" s="1" t="s">
        <v>1391</v>
      </c>
      <c r="C554" s="1" t="s">
        <v>1354</v>
      </c>
      <c r="E554" s="1">
        <v>9.5878521</v>
      </c>
      <c r="F554" s="1">
        <v>76.5489465</v>
      </c>
      <c r="G554" s="1" t="s">
        <v>54</v>
      </c>
      <c r="H554" s="1" t="s">
        <v>55</v>
      </c>
      <c r="J554" s="1" t="s">
        <v>221</v>
      </c>
      <c r="K554" s="1" t="s">
        <v>26</v>
      </c>
      <c r="L554" s="1" t="s">
        <v>27</v>
      </c>
      <c r="N554" s="1" t="s">
        <v>1210</v>
      </c>
      <c r="O554" s="1" t="s">
        <v>57</v>
      </c>
      <c r="P554" s="1" t="s">
        <v>1079</v>
      </c>
      <c r="Q554" s="1" t="s">
        <v>1080</v>
      </c>
      <c r="R554" s="1">
        <v>0.0</v>
      </c>
      <c r="S554" s="1"/>
    </row>
    <row r="555" ht="15.75" customHeight="1">
      <c r="A555" s="1" t="s">
        <v>1392</v>
      </c>
      <c r="B555" s="1" t="s">
        <v>1393</v>
      </c>
      <c r="C555" s="1" t="s">
        <v>185</v>
      </c>
      <c r="E555" s="1">
        <v>17.4068014</v>
      </c>
      <c r="F555" s="1">
        <v>78.3845316</v>
      </c>
      <c r="G555" s="1" t="s">
        <v>54</v>
      </c>
      <c r="H555" s="1" t="s">
        <v>55</v>
      </c>
      <c r="J555" s="1" t="s">
        <v>56</v>
      </c>
      <c r="K555" s="1" t="s">
        <v>26</v>
      </c>
      <c r="L555" s="1" t="s">
        <v>27</v>
      </c>
      <c r="N555" s="1" t="s">
        <v>186</v>
      </c>
      <c r="O555" s="1" t="s">
        <v>57</v>
      </c>
      <c r="P555" s="1" t="s">
        <v>187</v>
      </c>
      <c r="Q555" s="1" t="s">
        <v>188</v>
      </c>
      <c r="R555" s="1">
        <v>1.0</v>
      </c>
      <c r="S555" s="1"/>
    </row>
    <row r="556" ht="15.75" customHeight="1">
      <c r="A556" s="1" t="s">
        <v>1394</v>
      </c>
      <c r="B556" s="1" t="s">
        <v>1395</v>
      </c>
      <c r="C556" s="1" t="s">
        <v>185</v>
      </c>
      <c r="E556" s="1">
        <v>17.4004418</v>
      </c>
      <c r="F556" s="1">
        <v>78.5419759</v>
      </c>
      <c r="G556" s="1" t="s">
        <v>54</v>
      </c>
      <c r="H556" s="1" t="s">
        <v>55</v>
      </c>
      <c r="J556" s="1" t="s">
        <v>56</v>
      </c>
      <c r="K556" s="1" t="s">
        <v>26</v>
      </c>
      <c r="L556" s="1" t="s">
        <v>27</v>
      </c>
      <c r="N556" s="1" t="s">
        <v>186</v>
      </c>
      <c r="O556" s="1" t="s">
        <v>57</v>
      </c>
      <c r="P556" s="1" t="s">
        <v>187</v>
      </c>
      <c r="Q556" s="1" t="s">
        <v>188</v>
      </c>
      <c r="R556" s="1">
        <v>3.0</v>
      </c>
      <c r="S556" s="1"/>
    </row>
    <row r="557" ht="15.75" customHeight="1">
      <c r="A557" s="1" t="s">
        <v>1396</v>
      </c>
      <c r="B557" s="1" t="s">
        <v>1397</v>
      </c>
      <c r="C557" s="1" t="s">
        <v>1398</v>
      </c>
      <c r="E557" s="1">
        <v>13.5640916</v>
      </c>
      <c r="F557" s="1">
        <v>78.4994717</v>
      </c>
      <c r="G557" s="1" t="s">
        <v>54</v>
      </c>
      <c r="H557" s="1" t="s">
        <v>55</v>
      </c>
      <c r="J557" s="1" t="s">
        <v>56</v>
      </c>
      <c r="K557" s="1" t="s">
        <v>26</v>
      </c>
      <c r="L557" s="1" t="s">
        <v>27</v>
      </c>
      <c r="N557" s="1" t="s">
        <v>186</v>
      </c>
      <c r="O557" s="1" t="s">
        <v>57</v>
      </c>
      <c r="P557" s="1" t="s">
        <v>187</v>
      </c>
      <c r="Q557" s="1" t="s">
        <v>188</v>
      </c>
      <c r="R557" s="1">
        <v>0.0</v>
      </c>
      <c r="S557" s="1"/>
    </row>
    <row r="558" ht="15.75" customHeight="1">
      <c r="A558" s="1" t="s">
        <v>1399</v>
      </c>
      <c r="B558" s="1" t="s">
        <v>1400</v>
      </c>
      <c r="C558" s="1" t="s">
        <v>1078</v>
      </c>
      <c r="E558" s="1">
        <v>12.9473154</v>
      </c>
      <c r="F558" s="1">
        <v>77.5684815</v>
      </c>
      <c r="G558" s="1" t="s">
        <v>54</v>
      </c>
      <c r="H558" s="1" t="s">
        <v>55</v>
      </c>
      <c r="J558" s="1" t="s">
        <v>221</v>
      </c>
      <c r="K558" s="1" t="s">
        <v>26</v>
      </c>
      <c r="L558" s="1" t="s">
        <v>27</v>
      </c>
      <c r="N558" s="1" t="s">
        <v>743</v>
      </c>
      <c r="O558" s="1" t="s">
        <v>57</v>
      </c>
      <c r="P558" s="1" t="s">
        <v>1079</v>
      </c>
      <c r="Q558" s="1" t="s">
        <v>1080</v>
      </c>
      <c r="R558" s="1">
        <v>3.0</v>
      </c>
      <c r="S558" s="1"/>
    </row>
    <row r="559" ht="15.75" customHeight="1">
      <c r="A559" s="1" t="s">
        <v>1401</v>
      </c>
      <c r="B559" s="1" t="s">
        <v>1402</v>
      </c>
      <c r="C559" s="1" t="s">
        <v>1403</v>
      </c>
      <c r="E559" s="1">
        <v>15.4931547</v>
      </c>
      <c r="F559" s="1">
        <v>80.04878149999999</v>
      </c>
      <c r="G559" s="1" t="s">
        <v>54</v>
      </c>
      <c r="H559" s="1" t="s">
        <v>55</v>
      </c>
      <c r="J559" s="1" t="s">
        <v>56</v>
      </c>
      <c r="K559" s="1" t="s">
        <v>26</v>
      </c>
      <c r="L559" s="1" t="s">
        <v>27</v>
      </c>
      <c r="N559" s="1" t="s">
        <v>464</v>
      </c>
      <c r="O559" s="1" t="s">
        <v>57</v>
      </c>
      <c r="P559" s="1" t="s">
        <v>187</v>
      </c>
      <c r="Q559" s="1" t="s">
        <v>188</v>
      </c>
      <c r="R559" s="1">
        <v>0.0</v>
      </c>
      <c r="S559" s="1"/>
    </row>
    <row r="560" ht="15.75" customHeight="1">
      <c r="A560" s="1" t="s">
        <v>1404</v>
      </c>
      <c r="B560" s="1" t="s">
        <v>1405</v>
      </c>
      <c r="C560" s="1" t="s">
        <v>1138</v>
      </c>
      <c r="E560" s="1">
        <v>11.001467</v>
      </c>
      <c r="F560" s="1">
        <v>77.0350397</v>
      </c>
      <c r="G560" s="1" t="s">
        <v>54</v>
      </c>
      <c r="H560" s="1" t="s">
        <v>55</v>
      </c>
      <c r="J560" s="1" t="s">
        <v>221</v>
      </c>
      <c r="K560" s="1" t="s">
        <v>26</v>
      </c>
      <c r="L560" s="1" t="s">
        <v>27</v>
      </c>
      <c r="N560" s="1" t="s">
        <v>1097</v>
      </c>
      <c r="O560" s="1" t="s">
        <v>57</v>
      </c>
      <c r="P560" s="1" t="s">
        <v>1098</v>
      </c>
      <c r="Q560" s="1" t="s">
        <v>1099</v>
      </c>
      <c r="R560" s="1">
        <v>1.0</v>
      </c>
      <c r="S560" s="1"/>
    </row>
    <row r="561" ht="15.75" customHeight="1">
      <c r="A561" s="1" t="s">
        <v>1406</v>
      </c>
      <c r="B561" s="1" t="s">
        <v>1407</v>
      </c>
      <c r="C561" s="1" t="s">
        <v>467</v>
      </c>
      <c r="E561" s="1">
        <v>16.5167405</v>
      </c>
      <c r="F561" s="1">
        <v>80.64191720000001</v>
      </c>
      <c r="G561" s="1" t="s">
        <v>54</v>
      </c>
      <c r="H561" s="1" t="s">
        <v>55</v>
      </c>
      <c r="J561" s="1" t="s">
        <v>56</v>
      </c>
      <c r="K561" s="1" t="s">
        <v>26</v>
      </c>
      <c r="L561" s="1" t="s">
        <v>27</v>
      </c>
      <c r="N561" s="1" t="s">
        <v>464</v>
      </c>
      <c r="O561" s="1" t="s">
        <v>57</v>
      </c>
      <c r="P561" s="1" t="s">
        <v>187</v>
      </c>
      <c r="Q561" s="1" t="s">
        <v>188</v>
      </c>
      <c r="R561" s="1">
        <v>1.0</v>
      </c>
      <c r="S561" s="1"/>
    </row>
    <row r="562" ht="15.75" customHeight="1">
      <c r="A562" s="1" t="s">
        <v>1408</v>
      </c>
      <c r="B562" s="1" t="s">
        <v>1409</v>
      </c>
      <c r="C562" s="1" t="s">
        <v>1078</v>
      </c>
      <c r="E562" s="1">
        <v>13.0198342</v>
      </c>
      <c r="F562" s="1">
        <v>77.59221509999999</v>
      </c>
      <c r="G562" s="1" t="s">
        <v>54</v>
      </c>
      <c r="H562" s="1" t="s">
        <v>55</v>
      </c>
      <c r="J562" s="1" t="s">
        <v>56</v>
      </c>
      <c r="K562" s="1" t="s">
        <v>26</v>
      </c>
      <c r="L562" s="1" t="s">
        <v>27</v>
      </c>
      <c r="N562" s="1" t="s">
        <v>743</v>
      </c>
      <c r="O562" s="1" t="s">
        <v>57</v>
      </c>
      <c r="P562" s="1" t="s">
        <v>1079</v>
      </c>
      <c r="Q562" s="1" t="s">
        <v>1080</v>
      </c>
      <c r="R562" s="1">
        <v>3.0</v>
      </c>
      <c r="S562" s="1"/>
    </row>
    <row r="563" ht="15.75" customHeight="1">
      <c r="A563" s="1" t="s">
        <v>1410</v>
      </c>
      <c r="B563" s="1" t="s">
        <v>1411</v>
      </c>
      <c r="C563" s="1" t="s">
        <v>1412</v>
      </c>
      <c r="E563" s="1">
        <v>15.4507472</v>
      </c>
      <c r="F563" s="1">
        <v>75.0109179</v>
      </c>
      <c r="G563" s="1" t="s">
        <v>54</v>
      </c>
      <c r="H563" s="1" t="s">
        <v>55</v>
      </c>
      <c r="J563" s="1" t="s">
        <v>56</v>
      </c>
      <c r="K563" s="1" t="s">
        <v>26</v>
      </c>
      <c r="L563" s="1" t="s">
        <v>27</v>
      </c>
      <c r="N563" s="1" t="s">
        <v>743</v>
      </c>
      <c r="O563" s="1" t="s">
        <v>57</v>
      </c>
      <c r="P563" s="1" t="s">
        <v>1079</v>
      </c>
      <c r="Q563" s="1" t="s">
        <v>1080</v>
      </c>
      <c r="R563" s="1">
        <v>1.0</v>
      </c>
      <c r="S563" s="1"/>
    </row>
    <row r="564" ht="15.75" customHeight="1">
      <c r="A564" s="1" t="s">
        <v>1413</v>
      </c>
      <c r="B564" s="1" t="s">
        <v>1414</v>
      </c>
      <c r="C564" s="1" t="s">
        <v>1415</v>
      </c>
      <c r="E564" s="1">
        <v>11.2624935</v>
      </c>
      <c r="F564" s="1">
        <v>75.8098421</v>
      </c>
      <c r="G564" s="1" t="s">
        <v>54</v>
      </c>
      <c r="H564" s="1" t="s">
        <v>55</v>
      </c>
      <c r="J564" s="1" t="s">
        <v>221</v>
      </c>
      <c r="K564" s="1" t="s">
        <v>26</v>
      </c>
      <c r="L564" s="1" t="s">
        <v>27</v>
      </c>
      <c r="N564" s="1" t="s">
        <v>1210</v>
      </c>
      <c r="O564" s="1" t="s">
        <v>57</v>
      </c>
      <c r="P564" s="1" t="s">
        <v>1079</v>
      </c>
      <c r="Q564" s="1" t="s">
        <v>1080</v>
      </c>
      <c r="R564" s="1">
        <v>0.0</v>
      </c>
      <c r="S564" s="1"/>
    </row>
    <row r="565" ht="15.75" customHeight="1">
      <c r="A565" s="1" t="s">
        <v>1416</v>
      </c>
      <c r="B565" s="1" t="s">
        <v>1417</v>
      </c>
      <c r="C565" s="1" t="s">
        <v>1274</v>
      </c>
      <c r="E565" s="1">
        <v>16.4801778</v>
      </c>
      <c r="F565" s="1">
        <v>80.6180136</v>
      </c>
      <c r="G565" s="1" t="s">
        <v>54</v>
      </c>
      <c r="H565" s="1" t="s">
        <v>55</v>
      </c>
      <c r="J565" s="1" t="s">
        <v>221</v>
      </c>
      <c r="K565" s="1" t="s">
        <v>26</v>
      </c>
      <c r="L565" s="1" t="s">
        <v>27</v>
      </c>
      <c r="N565" s="1" t="s">
        <v>464</v>
      </c>
      <c r="O565" s="1" t="s">
        <v>57</v>
      </c>
      <c r="P565" s="1" t="s">
        <v>187</v>
      </c>
      <c r="Q565" s="1" t="s">
        <v>188</v>
      </c>
      <c r="R565" s="1">
        <v>0.0</v>
      </c>
      <c r="S565" s="1"/>
    </row>
    <row r="566" ht="15.75" customHeight="1">
      <c r="A566" s="1" t="s">
        <v>1418</v>
      </c>
      <c r="B566" s="1" t="s">
        <v>1419</v>
      </c>
      <c r="C566" s="1" t="s">
        <v>1420</v>
      </c>
      <c r="E566" s="1">
        <v>14.4686241</v>
      </c>
      <c r="F566" s="1">
        <v>78.82383310000002</v>
      </c>
      <c r="G566" s="1" t="s">
        <v>54</v>
      </c>
      <c r="H566" s="1" t="s">
        <v>55</v>
      </c>
      <c r="J566" s="1" t="s">
        <v>56</v>
      </c>
      <c r="K566" s="1" t="s">
        <v>26</v>
      </c>
      <c r="L566" s="1" t="s">
        <v>27</v>
      </c>
      <c r="N566" s="1" t="s">
        <v>464</v>
      </c>
      <c r="O566" s="1" t="s">
        <v>57</v>
      </c>
      <c r="P566" s="1" t="s">
        <v>187</v>
      </c>
      <c r="Q566" s="1" t="s">
        <v>188</v>
      </c>
      <c r="R566" s="1">
        <v>0.0</v>
      </c>
      <c r="S566" s="1"/>
    </row>
    <row r="567" ht="15.75" customHeight="1">
      <c r="A567" s="1" t="s">
        <v>1421</v>
      </c>
      <c r="B567" s="1" t="s">
        <v>1422</v>
      </c>
      <c r="C567" s="1" t="s">
        <v>1112</v>
      </c>
      <c r="E567" s="1">
        <v>13.042396</v>
      </c>
      <c r="F567" s="1">
        <v>80.235768</v>
      </c>
      <c r="G567" s="1" t="s">
        <v>54</v>
      </c>
      <c r="H567" s="1" t="s">
        <v>55</v>
      </c>
      <c r="J567" s="1" t="s">
        <v>56</v>
      </c>
      <c r="K567" s="1" t="s">
        <v>26</v>
      </c>
      <c r="L567" s="1" t="s">
        <v>27</v>
      </c>
      <c r="N567" s="1" t="s">
        <v>1097</v>
      </c>
      <c r="O567" s="1" t="s">
        <v>57</v>
      </c>
      <c r="P567" s="1" t="s">
        <v>1098</v>
      </c>
      <c r="Q567" s="1" t="s">
        <v>1099</v>
      </c>
      <c r="R567" s="1">
        <v>2.0</v>
      </c>
      <c r="S567" s="1"/>
    </row>
    <row r="568" ht="15.75" customHeight="1">
      <c r="A568" s="1" t="s">
        <v>1423</v>
      </c>
      <c r="B568" s="1" t="s">
        <v>1424</v>
      </c>
      <c r="C568" s="1" t="s">
        <v>185</v>
      </c>
      <c r="E568" s="1">
        <v>17.5035352</v>
      </c>
      <c r="F568" s="1">
        <v>78.3620533</v>
      </c>
      <c r="G568" s="1" t="s">
        <v>54</v>
      </c>
      <c r="H568" s="1" t="s">
        <v>55</v>
      </c>
      <c r="J568" s="1" t="s">
        <v>56</v>
      </c>
      <c r="K568" s="1" t="s">
        <v>26</v>
      </c>
      <c r="L568" s="1" t="s">
        <v>27</v>
      </c>
      <c r="N568" s="1" t="s">
        <v>186</v>
      </c>
      <c r="O568" s="1" t="s">
        <v>57</v>
      </c>
      <c r="P568" s="1" t="s">
        <v>187</v>
      </c>
      <c r="Q568" s="1" t="s">
        <v>188</v>
      </c>
      <c r="R568" s="1">
        <v>1.0</v>
      </c>
      <c r="S568" s="1"/>
    </row>
    <row r="569" ht="15.75" customHeight="1">
      <c r="A569" s="1" t="s">
        <v>1425</v>
      </c>
      <c r="B569" s="1" t="s">
        <v>1426</v>
      </c>
      <c r="C569" s="1" t="s">
        <v>1427</v>
      </c>
      <c r="E569" s="1">
        <v>10.9768747</v>
      </c>
      <c r="F569" s="1">
        <v>76.2201168</v>
      </c>
      <c r="G569" s="1" t="s">
        <v>54</v>
      </c>
      <c r="H569" s="1" t="s">
        <v>55</v>
      </c>
      <c r="J569" s="1" t="s">
        <v>221</v>
      </c>
      <c r="K569" s="1" t="s">
        <v>26</v>
      </c>
      <c r="L569" s="1" t="s">
        <v>27</v>
      </c>
      <c r="N569" s="1" t="s">
        <v>1210</v>
      </c>
      <c r="O569" s="1" t="s">
        <v>57</v>
      </c>
      <c r="P569" s="1" t="s">
        <v>1079</v>
      </c>
      <c r="Q569" s="1" t="s">
        <v>1080</v>
      </c>
      <c r="R569" s="1">
        <v>0.0</v>
      </c>
      <c r="S569" s="1"/>
    </row>
    <row r="570" ht="15.75" customHeight="1">
      <c r="A570" s="1" t="s">
        <v>1428</v>
      </c>
      <c r="B570" s="1" t="s">
        <v>1429</v>
      </c>
      <c r="C570" s="1" t="s">
        <v>1078</v>
      </c>
      <c r="E570" s="1">
        <v>13.02672</v>
      </c>
      <c r="F570" s="1">
        <v>77.544817</v>
      </c>
      <c r="G570" s="1" t="s">
        <v>54</v>
      </c>
      <c r="H570" s="1" t="s">
        <v>55</v>
      </c>
      <c r="J570" s="1" t="s">
        <v>56</v>
      </c>
      <c r="K570" s="1" t="s">
        <v>26</v>
      </c>
      <c r="L570" s="1" t="s">
        <v>27</v>
      </c>
      <c r="N570" s="1" t="s">
        <v>743</v>
      </c>
      <c r="O570" s="1" t="s">
        <v>57</v>
      </c>
      <c r="P570" s="1" t="s">
        <v>1079</v>
      </c>
      <c r="Q570" s="1" t="s">
        <v>1080</v>
      </c>
      <c r="R570" s="1">
        <v>1.0</v>
      </c>
      <c r="S570" s="1"/>
    </row>
    <row r="571" ht="15.75" customHeight="1">
      <c r="A571" s="1" t="s">
        <v>1430</v>
      </c>
      <c r="B571" s="1" t="s">
        <v>1431</v>
      </c>
      <c r="C571" s="1" t="s">
        <v>1432</v>
      </c>
      <c r="E571" s="1">
        <v>10.998492</v>
      </c>
      <c r="F571" s="1">
        <v>75.990027</v>
      </c>
      <c r="G571" s="1" t="s">
        <v>54</v>
      </c>
      <c r="H571" s="1" t="s">
        <v>55</v>
      </c>
      <c r="J571" s="1" t="s">
        <v>221</v>
      </c>
      <c r="K571" s="1" t="s">
        <v>26</v>
      </c>
      <c r="L571" s="1" t="s">
        <v>27</v>
      </c>
      <c r="N571" s="1" t="s">
        <v>1210</v>
      </c>
      <c r="O571" s="1" t="s">
        <v>57</v>
      </c>
      <c r="P571" s="1" t="s">
        <v>1079</v>
      </c>
      <c r="Q571" s="1" t="s">
        <v>1080</v>
      </c>
      <c r="R571" s="1">
        <v>0.0</v>
      </c>
      <c r="S571" s="1"/>
    </row>
    <row r="572" ht="15.75" customHeight="1">
      <c r="A572" s="1" t="s">
        <v>1433</v>
      </c>
      <c r="B572" s="1" t="s">
        <v>1434</v>
      </c>
      <c r="C572" s="1" t="s">
        <v>185</v>
      </c>
      <c r="E572" s="1">
        <v>17.4279434</v>
      </c>
      <c r="F572" s="1">
        <v>78.5511964</v>
      </c>
      <c r="G572" s="1" t="s">
        <v>54</v>
      </c>
      <c r="H572" s="1" t="s">
        <v>55</v>
      </c>
      <c r="J572" s="1" t="s">
        <v>221</v>
      </c>
      <c r="K572" s="1" t="s">
        <v>26</v>
      </c>
      <c r="L572" s="1" t="s">
        <v>27</v>
      </c>
      <c r="N572" s="1" t="s">
        <v>186</v>
      </c>
      <c r="O572" s="1" t="s">
        <v>57</v>
      </c>
      <c r="P572" s="1" t="s">
        <v>187</v>
      </c>
      <c r="Q572" s="1" t="s">
        <v>188</v>
      </c>
      <c r="R572" s="1">
        <v>0.0</v>
      </c>
      <c r="S572" s="1"/>
    </row>
    <row r="573" ht="15.75" customHeight="1">
      <c r="A573" s="1" t="s">
        <v>1435</v>
      </c>
      <c r="B573" s="1" t="s">
        <v>1436</v>
      </c>
      <c r="C573" s="1" t="s">
        <v>1437</v>
      </c>
      <c r="E573" s="1">
        <v>11.1311753</v>
      </c>
      <c r="F573" s="1">
        <v>77.3267065</v>
      </c>
      <c r="G573" s="1" t="s">
        <v>54</v>
      </c>
      <c r="H573" s="1" t="s">
        <v>55</v>
      </c>
      <c r="J573" s="1" t="s">
        <v>56</v>
      </c>
      <c r="K573" s="1" t="s">
        <v>26</v>
      </c>
      <c r="L573" s="1" t="s">
        <v>27</v>
      </c>
      <c r="N573" s="1" t="s">
        <v>1097</v>
      </c>
      <c r="O573" s="1" t="s">
        <v>57</v>
      </c>
      <c r="P573" s="1" t="s">
        <v>1098</v>
      </c>
      <c r="Q573" s="1" t="s">
        <v>1099</v>
      </c>
      <c r="R573" s="1">
        <v>0.0</v>
      </c>
      <c r="S573" s="1"/>
    </row>
    <row r="574" ht="15.75" customHeight="1">
      <c r="A574" s="1" t="s">
        <v>1438</v>
      </c>
      <c r="B574" s="1" t="s">
        <v>1439</v>
      </c>
      <c r="C574" s="1" t="s">
        <v>467</v>
      </c>
      <c r="E574" s="1">
        <v>16.5187022</v>
      </c>
      <c r="F574" s="1">
        <v>80.67487779999999</v>
      </c>
      <c r="G574" s="1" t="s">
        <v>54</v>
      </c>
      <c r="H574" s="1" t="s">
        <v>55</v>
      </c>
      <c r="J574" s="1" t="s">
        <v>221</v>
      </c>
      <c r="K574" s="1" t="s">
        <v>26</v>
      </c>
      <c r="L574" s="1" t="s">
        <v>27</v>
      </c>
      <c r="N574" s="1" t="s">
        <v>464</v>
      </c>
      <c r="O574" s="1" t="s">
        <v>57</v>
      </c>
      <c r="P574" s="1" t="s">
        <v>187</v>
      </c>
      <c r="Q574" s="1" t="s">
        <v>188</v>
      </c>
      <c r="R574" s="1">
        <v>0.0</v>
      </c>
      <c r="S574" s="1"/>
    </row>
    <row r="575" ht="15.75" customHeight="1">
      <c r="A575" s="1" t="s">
        <v>1440</v>
      </c>
      <c r="B575" s="1" t="s">
        <v>1441</v>
      </c>
      <c r="C575" s="1" t="s">
        <v>185</v>
      </c>
      <c r="E575" s="1">
        <v>17.2402895</v>
      </c>
      <c r="F575" s="1">
        <v>78.4294449</v>
      </c>
      <c r="G575" s="1" t="s">
        <v>54</v>
      </c>
      <c r="H575" s="1" t="s">
        <v>55</v>
      </c>
      <c r="J575" s="1" t="s">
        <v>221</v>
      </c>
      <c r="K575" s="1" t="s">
        <v>26</v>
      </c>
      <c r="L575" s="1" t="s">
        <v>27</v>
      </c>
      <c r="N575" s="1" t="s">
        <v>186</v>
      </c>
      <c r="O575" s="1" t="s">
        <v>57</v>
      </c>
      <c r="P575" s="1" t="s">
        <v>187</v>
      </c>
      <c r="Q575" s="1" t="s">
        <v>188</v>
      </c>
      <c r="R575" s="1">
        <v>0.0</v>
      </c>
      <c r="S575" s="1"/>
    </row>
    <row r="576" ht="15.75" customHeight="1">
      <c r="A576" s="1" t="s">
        <v>1442</v>
      </c>
      <c r="B576" s="1" t="s">
        <v>1443</v>
      </c>
      <c r="C576" s="1" t="s">
        <v>1174</v>
      </c>
      <c r="E576" s="1">
        <v>14.4326436</v>
      </c>
      <c r="F576" s="1">
        <v>79.967558</v>
      </c>
      <c r="G576" s="1" t="s">
        <v>54</v>
      </c>
      <c r="H576" s="1" t="s">
        <v>55</v>
      </c>
      <c r="J576" s="1" t="s">
        <v>221</v>
      </c>
      <c r="K576" s="1" t="s">
        <v>26</v>
      </c>
      <c r="L576" s="1" t="s">
        <v>27</v>
      </c>
      <c r="N576" s="1" t="s">
        <v>464</v>
      </c>
      <c r="O576" s="1" t="s">
        <v>57</v>
      </c>
      <c r="P576" s="1" t="s">
        <v>187</v>
      </c>
      <c r="Q576" s="1" t="s">
        <v>188</v>
      </c>
      <c r="R576" s="1">
        <v>0.0</v>
      </c>
      <c r="S576" s="1"/>
    </row>
    <row r="577" ht="15.75" customHeight="1">
      <c r="A577" s="1" t="s">
        <v>1444</v>
      </c>
      <c r="B577" s="1" t="s">
        <v>1445</v>
      </c>
      <c r="C577" s="1" t="s">
        <v>1446</v>
      </c>
      <c r="E577" s="1">
        <v>8.5302096</v>
      </c>
      <c r="F577" s="1">
        <v>76.88458589999999</v>
      </c>
      <c r="G577" s="1" t="s">
        <v>54</v>
      </c>
      <c r="H577" s="1" t="s">
        <v>55</v>
      </c>
      <c r="J577" s="1" t="s">
        <v>221</v>
      </c>
      <c r="K577" s="1" t="s">
        <v>26</v>
      </c>
      <c r="L577" s="1" t="s">
        <v>27</v>
      </c>
      <c r="N577" s="1" t="s">
        <v>1210</v>
      </c>
      <c r="O577" s="1" t="s">
        <v>57</v>
      </c>
      <c r="P577" s="1" t="s">
        <v>1079</v>
      </c>
      <c r="Q577" s="1" t="s">
        <v>1080</v>
      </c>
      <c r="R577" s="1">
        <v>0.0</v>
      </c>
      <c r="S577" s="1"/>
    </row>
    <row r="578" ht="15.75" customHeight="1">
      <c r="A578" s="1" t="s">
        <v>1447</v>
      </c>
      <c r="B578" s="1" t="s">
        <v>1448</v>
      </c>
      <c r="C578" s="1" t="s">
        <v>148</v>
      </c>
      <c r="E578" s="1">
        <v>19.0400083</v>
      </c>
      <c r="F578" s="1">
        <v>72.86510129999999</v>
      </c>
      <c r="G578" s="1" t="s">
        <v>54</v>
      </c>
      <c r="H578" s="1" t="s">
        <v>55</v>
      </c>
      <c r="J578" s="1" t="s">
        <v>25</v>
      </c>
      <c r="K578" s="1" t="s">
        <v>26</v>
      </c>
      <c r="L578" s="1" t="s">
        <v>27</v>
      </c>
      <c r="N578" s="1" t="s">
        <v>143</v>
      </c>
      <c r="O578" s="1" t="s">
        <v>29</v>
      </c>
      <c r="P578" s="1" t="s">
        <v>144</v>
      </c>
      <c r="Q578" s="1" t="s">
        <v>145</v>
      </c>
      <c r="R578" s="1">
        <v>10.0</v>
      </c>
      <c r="S578" s="1"/>
    </row>
    <row r="579" ht="15.75" customHeight="1">
      <c r="A579" s="1" t="s">
        <v>1449</v>
      </c>
      <c r="B579" s="1" t="s">
        <v>1450</v>
      </c>
      <c r="C579" s="1" t="s">
        <v>148</v>
      </c>
      <c r="E579" s="1">
        <v>19.1738161</v>
      </c>
      <c r="F579" s="1">
        <v>72.85998599999999</v>
      </c>
      <c r="G579" s="1" t="s">
        <v>54</v>
      </c>
      <c r="H579" s="1" t="s">
        <v>55</v>
      </c>
      <c r="J579" s="1" t="s">
        <v>25</v>
      </c>
      <c r="K579" s="1" t="s">
        <v>26</v>
      </c>
      <c r="L579" s="1" t="s">
        <v>27</v>
      </c>
      <c r="N579" s="1" t="s">
        <v>143</v>
      </c>
      <c r="O579" s="1" t="s">
        <v>29</v>
      </c>
      <c r="P579" s="1" t="s">
        <v>144</v>
      </c>
      <c r="Q579" s="1" t="s">
        <v>145</v>
      </c>
      <c r="R579" s="1">
        <v>8.0</v>
      </c>
      <c r="S579" s="1"/>
    </row>
    <row r="580" ht="15.75" customHeight="1">
      <c r="A580" s="1" t="s">
        <v>1451</v>
      </c>
      <c r="B580" s="1" t="s">
        <v>1452</v>
      </c>
      <c r="C580" s="1" t="s">
        <v>148</v>
      </c>
      <c r="E580" s="1">
        <v>18.9947203</v>
      </c>
      <c r="F580" s="1">
        <v>72.8236127</v>
      </c>
      <c r="G580" s="1" t="s">
        <v>54</v>
      </c>
      <c r="H580" s="1" t="s">
        <v>55</v>
      </c>
      <c r="J580" s="1" t="s">
        <v>44</v>
      </c>
      <c r="K580" s="1" t="s">
        <v>26</v>
      </c>
      <c r="L580" s="1" t="s">
        <v>27</v>
      </c>
      <c r="N580" s="1" t="s">
        <v>143</v>
      </c>
      <c r="O580" s="1" t="s">
        <v>29</v>
      </c>
      <c r="P580" s="1" t="s">
        <v>144</v>
      </c>
      <c r="Q580" s="1" t="s">
        <v>145</v>
      </c>
      <c r="R580" s="1">
        <v>7.0</v>
      </c>
      <c r="S580" s="1"/>
    </row>
    <row r="581" ht="15.75" customHeight="1">
      <c r="A581" s="1" t="s">
        <v>1453</v>
      </c>
      <c r="B581" s="1" t="s">
        <v>1454</v>
      </c>
      <c r="C581" s="1" t="s">
        <v>148</v>
      </c>
      <c r="E581" s="1">
        <v>19.0189495</v>
      </c>
      <c r="F581" s="1">
        <v>73.0952509</v>
      </c>
      <c r="G581" s="1" t="s">
        <v>54</v>
      </c>
      <c r="H581" s="1" t="s">
        <v>55</v>
      </c>
      <c r="J581" s="1" t="s">
        <v>118</v>
      </c>
      <c r="K581" s="1" t="s">
        <v>26</v>
      </c>
      <c r="L581" s="1" t="s">
        <v>27</v>
      </c>
      <c r="N581" s="1" t="s">
        <v>143</v>
      </c>
      <c r="O581" s="1" t="s">
        <v>29</v>
      </c>
      <c r="P581" s="1" t="s">
        <v>144</v>
      </c>
      <c r="Q581" s="1" t="s">
        <v>145</v>
      </c>
      <c r="R581" s="1">
        <v>6.0</v>
      </c>
      <c r="S581" s="1"/>
    </row>
    <row r="582" ht="15.75" customHeight="1">
      <c r="A582" s="1" t="s">
        <v>1455</v>
      </c>
      <c r="B582" s="1" t="s">
        <v>1456</v>
      </c>
      <c r="C582" s="1" t="s">
        <v>446</v>
      </c>
      <c r="E582" s="1">
        <v>22.3433026</v>
      </c>
      <c r="F582" s="1">
        <v>73.2115879</v>
      </c>
      <c r="G582" s="1" t="s">
        <v>54</v>
      </c>
      <c r="H582" s="1" t="s">
        <v>55</v>
      </c>
      <c r="J582" s="1" t="s">
        <v>221</v>
      </c>
      <c r="P582" s="1" t="s">
        <v>243</v>
      </c>
      <c r="Q582" s="1" t="s">
        <v>244</v>
      </c>
      <c r="R582" s="1">
        <v>0.0</v>
      </c>
      <c r="S582" s="1"/>
    </row>
    <row r="583" ht="15.75" customHeight="1">
      <c r="A583" s="1" t="s">
        <v>1457</v>
      </c>
      <c r="B583" s="1" t="s">
        <v>1458</v>
      </c>
      <c r="C583" s="1" t="s">
        <v>1459</v>
      </c>
      <c r="E583" s="1">
        <v>20.389629</v>
      </c>
      <c r="F583" s="1">
        <v>72.89701680000002</v>
      </c>
      <c r="G583" s="1" t="s">
        <v>54</v>
      </c>
      <c r="H583" s="1" t="s">
        <v>55</v>
      </c>
      <c r="J583" s="1" t="s">
        <v>118</v>
      </c>
      <c r="K583" s="1" t="s">
        <v>26</v>
      </c>
      <c r="L583" s="1" t="s">
        <v>27</v>
      </c>
      <c r="N583" s="1" t="s">
        <v>216</v>
      </c>
      <c r="O583" s="1" t="s">
        <v>57</v>
      </c>
      <c r="P583" s="1" t="s">
        <v>243</v>
      </c>
      <c r="Q583" s="1" t="s">
        <v>244</v>
      </c>
      <c r="R583" s="1">
        <v>0.0</v>
      </c>
      <c r="S583" s="1"/>
    </row>
    <row r="584" ht="15.75" customHeight="1">
      <c r="A584" s="1" t="s">
        <v>1460</v>
      </c>
      <c r="B584" s="1" t="s">
        <v>1461</v>
      </c>
      <c r="C584" s="1" t="s">
        <v>148</v>
      </c>
      <c r="E584" s="1">
        <v>19.1420623</v>
      </c>
      <c r="F584" s="1">
        <v>72.93143359999999</v>
      </c>
      <c r="G584" s="1" t="s">
        <v>54</v>
      </c>
      <c r="H584" s="1" t="s">
        <v>55</v>
      </c>
      <c r="J584" s="1" t="s">
        <v>118</v>
      </c>
      <c r="K584" s="1" t="s">
        <v>26</v>
      </c>
      <c r="L584" s="1" t="s">
        <v>27</v>
      </c>
      <c r="N584" s="1" t="s">
        <v>143</v>
      </c>
      <c r="O584" s="1" t="s">
        <v>57</v>
      </c>
      <c r="P584" s="1" t="s">
        <v>144</v>
      </c>
      <c r="Q584" s="1" t="s">
        <v>145</v>
      </c>
      <c r="R584" s="1">
        <v>5.0</v>
      </c>
      <c r="S584" s="1"/>
    </row>
    <row r="585" ht="15.75" customHeight="1">
      <c r="A585" s="1" t="s">
        <v>1462</v>
      </c>
      <c r="B585" s="1" t="s">
        <v>1463</v>
      </c>
      <c r="C585" s="1" t="s">
        <v>142</v>
      </c>
      <c r="E585" s="1">
        <v>19.2528989</v>
      </c>
      <c r="F585" s="1">
        <v>73.1287767</v>
      </c>
      <c r="G585" s="1" t="s">
        <v>54</v>
      </c>
      <c r="H585" s="1" t="s">
        <v>55</v>
      </c>
      <c r="J585" s="1" t="s">
        <v>56</v>
      </c>
      <c r="K585" s="1" t="s">
        <v>26</v>
      </c>
      <c r="L585" s="1" t="s">
        <v>27</v>
      </c>
      <c r="N585" s="1" t="s">
        <v>143</v>
      </c>
      <c r="O585" s="1" t="s">
        <v>57</v>
      </c>
      <c r="P585" s="1" t="s">
        <v>144</v>
      </c>
      <c r="Q585" s="1" t="s">
        <v>145</v>
      </c>
      <c r="R585" s="1">
        <v>3.0</v>
      </c>
      <c r="S585" s="1"/>
    </row>
    <row r="586" ht="15.75" customHeight="1">
      <c r="A586" s="1" t="s">
        <v>1464</v>
      </c>
      <c r="B586" s="1" t="s">
        <v>1465</v>
      </c>
      <c r="C586" s="1" t="s">
        <v>148</v>
      </c>
      <c r="E586" s="1">
        <v>19.2337106</v>
      </c>
      <c r="F586" s="1">
        <v>72.85381079999999</v>
      </c>
      <c r="G586" s="1" t="s">
        <v>54</v>
      </c>
      <c r="H586" s="1" t="s">
        <v>55</v>
      </c>
      <c r="J586" s="1" t="s">
        <v>25</v>
      </c>
      <c r="K586" s="1" t="s">
        <v>26</v>
      </c>
      <c r="L586" s="1" t="s">
        <v>27</v>
      </c>
      <c r="N586" s="1" t="s">
        <v>143</v>
      </c>
      <c r="O586" s="1" t="s">
        <v>29</v>
      </c>
      <c r="P586" s="1" t="s">
        <v>144</v>
      </c>
      <c r="Q586" s="1" t="s">
        <v>145</v>
      </c>
      <c r="R586" s="1">
        <v>8.0</v>
      </c>
      <c r="S586" s="1"/>
    </row>
    <row r="587" ht="15.75" customHeight="1">
      <c r="A587" s="1" t="s">
        <v>1466</v>
      </c>
      <c r="B587" s="1" t="s">
        <v>1467</v>
      </c>
      <c r="C587" s="1" t="s">
        <v>148</v>
      </c>
      <c r="E587" s="1">
        <v>19.1848278</v>
      </c>
      <c r="F587" s="1">
        <v>72.8342304</v>
      </c>
      <c r="G587" s="1" t="s">
        <v>54</v>
      </c>
      <c r="H587" s="1" t="s">
        <v>55</v>
      </c>
      <c r="J587" s="1" t="s">
        <v>25</v>
      </c>
      <c r="K587" s="1" t="s">
        <v>26</v>
      </c>
      <c r="L587" s="1" t="s">
        <v>27</v>
      </c>
      <c r="N587" s="1" t="s">
        <v>143</v>
      </c>
      <c r="O587" s="1" t="s">
        <v>29</v>
      </c>
      <c r="P587" s="1" t="s">
        <v>144</v>
      </c>
      <c r="Q587" s="1" t="s">
        <v>145</v>
      </c>
      <c r="R587" s="1">
        <v>9.0</v>
      </c>
      <c r="S587" s="1"/>
    </row>
    <row r="588" ht="15.75" customHeight="1">
      <c r="A588" s="1" t="s">
        <v>1468</v>
      </c>
      <c r="B588" s="1" t="s">
        <v>1469</v>
      </c>
      <c r="C588" s="1" t="s">
        <v>148</v>
      </c>
      <c r="E588" s="1">
        <v>19.0127027</v>
      </c>
      <c r="F588" s="1">
        <v>72.82378059999999</v>
      </c>
      <c r="G588" s="1" t="s">
        <v>54</v>
      </c>
      <c r="H588" s="1" t="s">
        <v>55</v>
      </c>
      <c r="J588" s="1" t="s">
        <v>25</v>
      </c>
      <c r="K588" s="1" t="s">
        <v>26</v>
      </c>
      <c r="L588" s="1" t="s">
        <v>27</v>
      </c>
      <c r="N588" s="1" t="s">
        <v>143</v>
      </c>
      <c r="O588" s="1" t="s">
        <v>29</v>
      </c>
      <c r="P588" s="1" t="s">
        <v>144</v>
      </c>
      <c r="Q588" s="1" t="s">
        <v>145</v>
      </c>
      <c r="R588" s="1">
        <v>9.0</v>
      </c>
      <c r="S588" s="1"/>
    </row>
    <row r="589" ht="15.75" customHeight="1">
      <c r="A589" s="1" t="s">
        <v>1470</v>
      </c>
      <c r="B589" s="1" t="s">
        <v>1471</v>
      </c>
      <c r="C589" s="1" t="s">
        <v>142</v>
      </c>
      <c r="E589" s="1">
        <v>19.2216433</v>
      </c>
      <c r="F589" s="1">
        <v>72.9781327</v>
      </c>
      <c r="G589" s="1" t="s">
        <v>54</v>
      </c>
      <c r="H589" s="1" t="s">
        <v>55</v>
      </c>
      <c r="J589" s="1" t="s">
        <v>44</v>
      </c>
      <c r="K589" s="1" t="s">
        <v>26</v>
      </c>
      <c r="L589" s="1" t="s">
        <v>27</v>
      </c>
      <c r="N589" s="1" t="s">
        <v>143</v>
      </c>
      <c r="O589" s="1" t="s">
        <v>29</v>
      </c>
      <c r="P589" s="1" t="s">
        <v>144</v>
      </c>
      <c r="Q589" s="1" t="s">
        <v>145</v>
      </c>
      <c r="R589" s="1">
        <v>13.0</v>
      </c>
      <c r="S589" s="1"/>
    </row>
    <row r="590" ht="15.75" customHeight="1">
      <c r="A590" s="1" t="s">
        <v>1472</v>
      </c>
      <c r="B590" s="1" t="s">
        <v>1473</v>
      </c>
      <c r="C590" s="1" t="s">
        <v>148</v>
      </c>
      <c r="E590" s="1">
        <v>19.0216396</v>
      </c>
      <c r="F590" s="1">
        <v>73.0177503</v>
      </c>
      <c r="G590" s="1" t="s">
        <v>54</v>
      </c>
      <c r="H590" s="1" t="s">
        <v>55</v>
      </c>
      <c r="J590" s="1" t="s">
        <v>44</v>
      </c>
      <c r="K590" s="1" t="s">
        <v>26</v>
      </c>
      <c r="L590" s="1" t="s">
        <v>27</v>
      </c>
      <c r="N590" s="1" t="s">
        <v>143</v>
      </c>
      <c r="O590" s="1" t="s">
        <v>29</v>
      </c>
      <c r="P590" s="1" t="s">
        <v>144</v>
      </c>
      <c r="Q590" s="1" t="s">
        <v>145</v>
      </c>
      <c r="R590" s="1">
        <v>8.0</v>
      </c>
      <c r="S590" s="1"/>
    </row>
    <row r="591" ht="15.75" customHeight="1">
      <c r="A591" s="1" t="s">
        <v>1474</v>
      </c>
      <c r="B591" s="1" t="s">
        <v>1475</v>
      </c>
      <c r="C591" s="1" t="s">
        <v>148</v>
      </c>
      <c r="E591" s="1">
        <v>19.1824383</v>
      </c>
      <c r="F591" s="1">
        <v>72.9541275</v>
      </c>
      <c r="G591" s="1" t="s">
        <v>54</v>
      </c>
      <c r="H591" s="1" t="s">
        <v>55</v>
      </c>
      <c r="J591" s="1" t="s">
        <v>25</v>
      </c>
      <c r="K591" s="1" t="s">
        <v>26</v>
      </c>
      <c r="L591" s="1" t="s">
        <v>27</v>
      </c>
      <c r="N591" s="1" t="s">
        <v>143</v>
      </c>
      <c r="O591" s="1" t="s">
        <v>29</v>
      </c>
      <c r="P591" s="1" t="s">
        <v>144</v>
      </c>
      <c r="Q591" s="1" t="s">
        <v>145</v>
      </c>
      <c r="R591" s="1">
        <v>4.0</v>
      </c>
      <c r="S591" s="1"/>
    </row>
    <row r="592" ht="15.75" customHeight="1">
      <c r="A592" s="1" t="s">
        <v>1476</v>
      </c>
      <c r="B592" s="1" t="s">
        <v>1477</v>
      </c>
      <c r="C592" s="1" t="s">
        <v>148</v>
      </c>
      <c r="E592" s="1">
        <v>19.0333852</v>
      </c>
      <c r="F592" s="1">
        <v>73.06671639999999</v>
      </c>
      <c r="G592" s="1" t="s">
        <v>54</v>
      </c>
      <c r="H592" s="1" t="s">
        <v>55</v>
      </c>
      <c r="J592" s="1" t="s">
        <v>44</v>
      </c>
      <c r="K592" s="1" t="s">
        <v>26</v>
      </c>
      <c r="L592" s="1" t="s">
        <v>27</v>
      </c>
      <c r="N592" s="1" t="s">
        <v>143</v>
      </c>
      <c r="O592" s="1" t="s">
        <v>29</v>
      </c>
      <c r="P592" s="1" t="s">
        <v>144</v>
      </c>
      <c r="Q592" s="1" t="s">
        <v>145</v>
      </c>
      <c r="R592" s="1">
        <v>6.0</v>
      </c>
      <c r="S592" s="1"/>
    </row>
    <row r="593" ht="15.75" customHeight="1">
      <c r="A593" s="1" t="s">
        <v>1478</v>
      </c>
      <c r="B593" s="1" t="s">
        <v>1479</v>
      </c>
      <c r="C593" s="1" t="s">
        <v>148</v>
      </c>
      <c r="E593" s="1">
        <v>19.2129811</v>
      </c>
      <c r="F593" s="1">
        <v>72.84260619999999</v>
      </c>
      <c r="G593" s="1" t="s">
        <v>54</v>
      </c>
      <c r="H593" s="1" t="s">
        <v>55</v>
      </c>
      <c r="J593" s="1" t="s">
        <v>44</v>
      </c>
      <c r="K593" s="1" t="s">
        <v>26</v>
      </c>
      <c r="L593" s="1" t="s">
        <v>27</v>
      </c>
      <c r="N593" s="1" t="s">
        <v>143</v>
      </c>
      <c r="O593" s="1" t="s">
        <v>29</v>
      </c>
      <c r="P593" s="1" t="s">
        <v>144</v>
      </c>
      <c r="Q593" s="1" t="s">
        <v>145</v>
      </c>
      <c r="R593" s="1">
        <v>7.0</v>
      </c>
      <c r="S593" s="1"/>
    </row>
    <row r="594" ht="15.75" customHeight="1">
      <c r="A594" s="1" t="s">
        <v>1480</v>
      </c>
      <c r="B594" s="1" t="s">
        <v>1481</v>
      </c>
      <c r="C594" s="1" t="s">
        <v>148</v>
      </c>
      <c r="E594" s="1">
        <v>19.0098449</v>
      </c>
      <c r="F594" s="1">
        <v>73.0306666</v>
      </c>
      <c r="G594" s="1" t="s">
        <v>54</v>
      </c>
      <c r="H594" s="1" t="s">
        <v>55</v>
      </c>
      <c r="J594" s="1" t="s">
        <v>44</v>
      </c>
      <c r="K594" s="1" t="s">
        <v>26</v>
      </c>
      <c r="L594" s="1" t="s">
        <v>27</v>
      </c>
      <c r="N594" s="1" t="s">
        <v>143</v>
      </c>
      <c r="O594" s="1" t="s">
        <v>29</v>
      </c>
      <c r="P594" s="1" t="s">
        <v>144</v>
      </c>
      <c r="Q594" s="1" t="s">
        <v>145</v>
      </c>
      <c r="R594" s="1">
        <v>8.0</v>
      </c>
      <c r="S594" s="1"/>
    </row>
    <row r="595" ht="15.75" customHeight="1">
      <c r="A595" s="1" t="s">
        <v>1482</v>
      </c>
      <c r="B595" s="1" t="s">
        <v>1483</v>
      </c>
      <c r="C595" s="1" t="s">
        <v>142</v>
      </c>
      <c r="E595" s="1">
        <v>19.2954036</v>
      </c>
      <c r="F595" s="1">
        <v>72.8480723</v>
      </c>
      <c r="G595" s="1" t="s">
        <v>54</v>
      </c>
      <c r="H595" s="1" t="s">
        <v>55</v>
      </c>
      <c r="J595" s="1" t="s">
        <v>44</v>
      </c>
      <c r="K595" s="1" t="s">
        <v>26</v>
      </c>
      <c r="L595" s="1" t="s">
        <v>27</v>
      </c>
      <c r="N595" s="1" t="s">
        <v>143</v>
      </c>
      <c r="O595" s="1" t="s">
        <v>29</v>
      </c>
      <c r="P595" s="1" t="s">
        <v>144</v>
      </c>
      <c r="Q595" s="1" t="s">
        <v>145</v>
      </c>
      <c r="R595" s="1">
        <v>4.0</v>
      </c>
      <c r="S595" s="1"/>
    </row>
    <row r="596" ht="15.75" customHeight="1">
      <c r="A596" s="1" t="s">
        <v>1484</v>
      </c>
      <c r="B596" s="1" t="s">
        <v>1485</v>
      </c>
      <c r="C596" s="1" t="s">
        <v>148</v>
      </c>
      <c r="E596" s="1">
        <v>19.100161</v>
      </c>
      <c r="F596" s="1">
        <v>72.9159923</v>
      </c>
      <c r="G596" s="1" t="s">
        <v>54</v>
      </c>
      <c r="H596" s="1" t="s">
        <v>55</v>
      </c>
      <c r="J596" s="1" t="s">
        <v>25</v>
      </c>
      <c r="K596" s="1" t="s">
        <v>26</v>
      </c>
      <c r="L596" s="1" t="s">
        <v>27</v>
      </c>
      <c r="N596" s="1" t="s">
        <v>143</v>
      </c>
      <c r="O596" s="1" t="s">
        <v>29</v>
      </c>
      <c r="P596" s="1" t="s">
        <v>144</v>
      </c>
      <c r="Q596" s="1" t="s">
        <v>145</v>
      </c>
      <c r="R596" s="1">
        <v>16.0</v>
      </c>
      <c r="S596" s="1"/>
    </row>
    <row r="597" ht="15.75" customHeight="1">
      <c r="A597" s="1" t="s">
        <v>1486</v>
      </c>
      <c r="B597" s="1" t="s">
        <v>1487</v>
      </c>
      <c r="C597" s="1" t="s">
        <v>148</v>
      </c>
      <c r="E597" s="1">
        <v>18.9322665</v>
      </c>
      <c r="F597" s="1">
        <v>72.8343277</v>
      </c>
      <c r="G597" s="1" t="s">
        <v>54</v>
      </c>
      <c r="H597" s="1" t="s">
        <v>55</v>
      </c>
      <c r="J597" s="1" t="s">
        <v>44</v>
      </c>
      <c r="K597" s="1" t="s">
        <v>26</v>
      </c>
      <c r="L597" s="1" t="s">
        <v>27</v>
      </c>
      <c r="N597" s="1" t="s">
        <v>143</v>
      </c>
      <c r="O597" s="1" t="s">
        <v>29</v>
      </c>
      <c r="P597" s="1" t="s">
        <v>144</v>
      </c>
      <c r="Q597" s="1" t="s">
        <v>145</v>
      </c>
      <c r="R597" s="1">
        <v>6.0</v>
      </c>
      <c r="S597" s="1"/>
    </row>
    <row r="598" ht="15.75" customHeight="1">
      <c r="A598" s="1" t="s">
        <v>1488</v>
      </c>
      <c r="B598" s="1" t="s">
        <v>1489</v>
      </c>
      <c r="C598" s="1" t="s">
        <v>148</v>
      </c>
      <c r="E598" s="1">
        <v>19.0485487</v>
      </c>
      <c r="F598" s="1">
        <v>72.9065913</v>
      </c>
      <c r="G598" s="1" t="s">
        <v>54</v>
      </c>
      <c r="H598" s="1" t="s">
        <v>55</v>
      </c>
      <c r="J598" s="1" t="s">
        <v>44</v>
      </c>
      <c r="K598" s="1" t="s">
        <v>26</v>
      </c>
      <c r="L598" s="1" t="s">
        <v>27</v>
      </c>
      <c r="N598" s="1" t="s">
        <v>143</v>
      </c>
      <c r="O598" s="1" t="s">
        <v>29</v>
      </c>
      <c r="P598" s="1" t="s">
        <v>144</v>
      </c>
      <c r="Q598" s="1" t="s">
        <v>145</v>
      </c>
      <c r="R598" s="1">
        <v>7.0</v>
      </c>
      <c r="S598" s="1"/>
    </row>
    <row r="599" ht="15.75" customHeight="1">
      <c r="A599" s="1" t="s">
        <v>1490</v>
      </c>
      <c r="B599" s="1" t="s">
        <v>1491</v>
      </c>
      <c r="C599" s="1" t="s">
        <v>148</v>
      </c>
      <c r="E599" s="1">
        <v>19.4705114</v>
      </c>
      <c r="F599" s="1">
        <v>72.80302089999999</v>
      </c>
      <c r="G599" s="1" t="s">
        <v>54</v>
      </c>
      <c r="H599" s="1" t="s">
        <v>55</v>
      </c>
      <c r="J599" s="1" t="s">
        <v>56</v>
      </c>
      <c r="K599" s="1" t="s">
        <v>26</v>
      </c>
      <c r="L599" s="1" t="s">
        <v>27</v>
      </c>
      <c r="N599" s="1" t="s">
        <v>143</v>
      </c>
      <c r="O599" s="1" t="s">
        <v>29</v>
      </c>
      <c r="P599" s="1" t="s">
        <v>144</v>
      </c>
      <c r="Q599" s="1" t="s">
        <v>145</v>
      </c>
      <c r="R599" s="1">
        <v>3.0</v>
      </c>
      <c r="S599" s="1"/>
    </row>
    <row r="600" ht="15.75" customHeight="1">
      <c r="A600" s="1" t="s">
        <v>1492</v>
      </c>
      <c r="B600" s="1" t="s">
        <v>1493</v>
      </c>
      <c r="C600" s="1" t="s">
        <v>148</v>
      </c>
      <c r="E600" s="1">
        <v>19.0844969</v>
      </c>
      <c r="F600" s="1">
        <v>72.8843433</v>
      </c>
      <c r="G600" s="1" t="s">
        <v>54</v>
      </c>
      <c r="H600" s="1" t="s">
        <v>55</v>
      </c>
      <c r="J600" s="1" t="s">
        <v>118</v>
      </c>
      <c r="K600" s="1" t="s">
        <v>26</v>
      </c>
      <c r="L600" s="1" t="s">
        <v>27</v>
      </c>
      <c r="N600" s="1" t="s">
        <v>143</v>
      </c>
      <c r="O600" s="1" t="s">
        <v>57</v>
      </c>
      <c r="P600" s="1" t="s">
        <v>144</v>
      </c>
      <c r="Q600" s="1" t="s">
        <v>145</v>
      </c>
      <c r="R600" s="1">
        <v>5.0</v>
      </c>
      <c r="S600" s="1"/>
    </row>
    <row r="601" ht="15.75" customHeight="1">
      <c r="A601" s="1" t="s">
        <v>1494</v>
      </c>
      <c r="B601" s="1" t="s">
        <v>1495</v>
      </c>
      <c r="C601" s="1" t="s">
        <v>148</v>
      </c>
      <c r="E601" s="1">
        <v>19.1401843</v>
      </c>
      <c r="F601" s="1">
        <v>72.8319557</v>
      </c>
      <c r="G601" s="1" t="s">
        <v>54</v>
      </c>
      <c r="H601" s="1" t="s">
        <v>55</v>
      </c>
      <c r="J601" s="1" t="s">
        <v>44</v>
      </c>
      <c r="K601" s="1" t="s">
        <v>26</v>
      </c>
      <c r="L601" s="1" t="s">
        <v>27</v>
      </c>
      <c r="N601" s="1" t="s">
        <v>143</v>
      </c>
      <c r="O601" s="1" t="s">
        <v>29</v>
      </c>
      <c r="P601" s="1" t="s">
        <v>144</v>
      </c>
      <c r="Q601" s="1" t="s">
        <v>145</v>
      </c>
      <c r="R601" s="1">
        <v>8.0</v>
      </c>
      <c r="S601" s="1"/>
    </row>
    <row r="602" ht="15.75" customHeight="1">
      <c r="A602" s="1" t="s">
        <v>1496</v>
      </c>
      <c r="B602" s="1" t="s">
        <v>1497</v>
      </c>
      <c r="C602" s="1" t="s">
        <v>148</v>
      </c>
      <c r="E602" s="1">
        <v>19.1127991</v>
      </c>
      <c r="F602" s="1">
        <v>72.8282917</v>
      </c>
      <c r="G602" s="1" t="s">
        <v>54</v>
      </c>
      <c r="H602" s="1" t="s">
        <v>55</v>
      </c>
      <c r="J602" s="1" t="s">
        <v>44</v>
      </c>
      <c r="K602" s="1" t="s">
        <v>26</v>
      </c>
      <c r="L602" s="1" t="s">
        <v>27</v>
      </c>
      <c r="N602" s="1" t="s">
        <v>143</v>
      </c>
      <c r="O602" s="1" t="s">
        <v>29</v>
      </c>
      <c r="P602" s="1" t="s">
        <v>144</v>
      </c>
      <c r="Q602" s="1" t="s">
        <v>145</v>
      </c>
      <c r="R602" s="1">
        <v>6.0</v>
      </c>
      <c r="S602" s="1"/>
    </row>
    <row r="603" ht="15.75" customHeight="1">
      <c r="A603" s="1" t="s">
        <v>1498</v>
      </c>
      <c r="B603" s="1" t="s">
        <v>1499</v>
      </c>
      <c r="C603" s="1" t="s">
        <v>148</v>
      </c>
      <c r="E603" s="1">
        <v>19.2069322</v>
      </c>
      <c r="F603" s="1">
        <v>72.8327711</v>
      </c>
      <c r="G603" s="1" t="s">
        <v>54</v>
      </c>
      <c r="H603" s="1" t="s">
        <v>55</v>
      </c>
      <c r="J603" s="1" t="s">
        <v>118</v>
      </c>
      <c r="K603" s="1" t="s">
        <v>26</v>
      </c>
      <c r="L603" s="1" t="s">
        <v>27</v>
      </c>
      <c r="N603" s="1" t="s">
        <v>143</v>
      </c>
      <c r="O603" s="1" t="s">
        <v>57</v>
      </c>
      <c r="P603" s="1" t="s">
        <v>144</v>
      </c>
      <c r="Q603" s="1" t="s">
        <v>145</v>
      </c>
      <c r="R603" s="1">
        <v>7.0</v>
      </c>
      <c r="S603" s="1"/>
    </row>
    <row r="604" ht="15.75" customHeight="1">
      <c r="A604" s="1" t="s">
        <v>1500</v>
      </c>
      <c r="B604" s="1" t="s">
        <v>1501</v>
      </c>
      <c r="C604" s="1" t="s">
        <v>148</v>
      </c>
      <c r="E604" s="1">
        <v>19.0023111</v>
      </c>
      <c r="F604" s="1">
        <v>73.1254925</v>
      </c>
      <c r="G604" s="1" t="s">
        <v>54</v>
      </c>
      <c r="H604" s="1" t="s">
        <v>55</v>
      </c>
      <c r="J604" s="1" t="s">
        <v>56</v>
      </c>
      <c r="K604" s="1" t="s">
        <v>26</v>
      </c>
      <c r="L604" s="1" t="s">
        <v>27</v>
      </c>
      <c r="N604" s="1" t="s">
        <v>143</v>
      </c>
      <c r="O604" s="1" t="s">
        <v>57</v>
      </c>
      <c r="P604" s="1" t="s">
        <v>144</v>
      </c>
      <c r="Q604" s="1" t="s">
        <v>145</v>
      </c>
      <c r="R604" s="1">
        <v>1.0</v>
      </c>
      <c r="S604" s="1"/>
    </row>
    <row r="605" ht="15.75" customHeight="1">
      <c r="A605" s="1" t="s">
        <v>1502</v>
      </c>
      <c r="B605" s="1" t="s">
        <v>1503</v>
      </c>
      <c r="C605" s="1" t="s">
        <v>446</v>
      </c>
      <c r="E605" s="1">
        <v>22.2748187</v>
      </c>
      <c r="F605" s="1">
        <v>73.1518115</v>
      </c>
      <c r="G605" s="1" t="s">
        <v>54</v>
      </c>
      <c r="H605" s="1" t="s">
        <v>55</v>
      </c>
      <c r="J605" s="1" t="s">
        <v>221</v>
      </c>
      <c r="K605" s="1" t="s">
        <v>26</v>
      </c>
      <c r="L605" s="1" t="s">
        <v>27</v>
      </c>
      <c r="N605" s="1" t="s">
        <v>216</v>
      </c>
      <c r="O605" s="1" t="s">
        <v>57</v>
      </c>
      <c r="P605" s="1" t="s">
        <v>243</v>
      </c>
      <c r="Q605" s="1" t="s">
        <v>244</v>
      </c>
      <c r="R605" s="1">
        <v>0.0</v>
      </c>
      <c r="S605" s="1"/>
    </row>
    <row r="606" ht="15.75" customHeight="1">
      <c r="A606" s="1" t="s">
        <v>1504</v>
      </c>
      <c r="B606" s="1" t="s">
        <v>1505</v>
      </c>
      <c r="C606" s="1" t="s">
        <v>1506</v>
      </c>
      <c r="E606" s="1">
        <v>22.8321933</v>
      </c>
      <c r="F606" s="1">
        <v>74.2512593</v>
      </c>
      <c r="G606" s="1" t="s">
        <v>54</v>
      </c>
      <c r="H606" s="1" t="s">
        <v>55</v>
      </c>
      <c r="J606" s="1" t="s">
        <v>56</v>
      </c>
      <c r="K606" s="1" t="s">
        <v>26</v>
      </c>
      <c r="L606" s="1" t="s">
        <v>27</v>
      </c>
      <c r="N606" s="1" t="s">
        <v>216</v>
      </c>
      <c r="O606" s="1" t="s">
        <v>57</v>
      </c>
      <c r="P606" s="1" t="s">
        <v>243</v>
      </c>
      <c r="Q606" s="1" t="s">
        <v>244</v>
      </c>
      <c r="R606" s="1">
        <v>0.0</v>
      </c>
      <c r="S606" s="1"/>
    </row>
    <row r="607" ht="15.75" customHeight="1">
      <c r="A607" s="1" t="s">
        <v>1507</v>
      </c>
      <c r="B607" s="1" t="s">
        <v>1508</v>
      </c>
      <c r="C607" s="1" t="s">
        <v>1509</v>
      </c>
      <c r="E607" s="1">
        <v>23.1848274</v>
      </c>
      <c r="F607" s="1">
        <v>72.621662</v>
      </c>
      <c r="G607" s="1" t="s">
        <v>54</v>
      </c>
      <c r="H607" s="1" t="s">
        <v>55</v>
      </c>
      <c r="J607" s="1" t="s">
        <v>56</v>
      </c>
      <c r="K607" s="1" t="s">
        <v>26</v>
      </c>
      <c r="L607" s="1" t="s">
        <v>27</v>
      </c>
      <c r="N607" s="1" t="s">
        <v>216</v>
      </c>
      <c r="O607" s="1" t="s">
        <v>57</v>
      </c>
      <c r="P607" s="1" t="s">
        <v>243</v>
      </c>
      <c r="Q607" s="1" t="s">
        <v>244</v>
      </c>
      <c r="R607" s="1">
        <v>0.0</v>
      </c>
      <c r="S607" s="1"/>
    </row>
    <row r="608" ht="15.75" customHeight="1">
      <c r="A608" s="1" t="s">
        <v>1510</v>
      </c>
      <c r="B608" s="1" t="s">
        <v>1511</v>
      </c>
      <c r="C608" s="1" t="s">
        <v>148</v>
      </c>
      <c r="E608" s="1">
        <v>19.0818262</v>
      </c>
      <c r="F608" s="1">
        <v>73.0051452</v>
      </c>
      <c r="G608" s="1" t="s">
        <v>54</v>
      </c>
      <c r="H608" s="1" t="s">
        <v>55</v>
      </c>
      <c r="J608" s="1" t="s">
        <v>56</v>
      </c>
      <c r="K608" s="1" t="s">
        <v>26</v>
      </c>
      <c r="L608" s="1" t="s">
        <v>27</v>
      </c>
      <c r="N608" s="1" t="s">
        <v>143</v>
      </c>
      <c r="O608" s="1" t="s">
        <v>57</v>
      </c>
      <c r="P608" s="1" t="s">
        <v>144</v>
      </c>
      <c r="Q608" s="1" t="s">
        <v>145</v>
      </c>
      <c r="R608" s="1">
        <v>6.0</v>
      </c>
      <c r="S608" s="1"/>
    </row>
    <row r="609" ht="15.75" customHeight="1">
      <c r="A609" s="1" t="s">
        <v>1512</v>
      </c>
      <c r="B609" s="1" t="s">
        <v>1513</v>
      </c>
      <c r="C609" s="1" t="s">
        <v>142</v>
      </c>
      <c r="E609" s="1">
        <v>19.2297121</v>
      </c>
      <c r="F609" s="1">
        <v>73.1234882</v>
      </c>
      <c r="G609" s="1" t="s">
        <v>54</v>
      </c>
      <c r="H609" s="1" t="s">
        <v>55</v>
      </c>
      <c r="J609" s="1" t="s">
        <v>56</v>
      </c>
      <c r="K609" s="1" t="s">
        <v>26</v>
      </c>
      <c r="L609" s="1" t="s">
        <v>27</v>
      </c>
      <c r="N609" s="1" t="s">
        <v>143</v>
      </c>
      <c r="O609" s="1" t="s">
        <v>57</v>
      </c>
      <c r="P609" s="1" t="s">
        <v>144</v>
      </c>
      <c r="Q609" s="1" t="s">
        <v>145</v>
      </c>
      <c r="R609" s="1">
        <v>1.0</v>
      </c>
      <c r="S609" s="1"/>
    </row>
    <row r="610" ht="15.75" customHeight="1">
      <c r="A610" s="1" t="s">
        <v>1514</v>
      </c>
      <c r="B610" s="1" t="s">
        <v>1515</v>
      </c>
      <c r="C610" s="1" t="s">
        <v>1516</v>
      </c>
      <c r="E610" s="1">
        <v>22.279825</v>
      </c>
      <c r="F610" s="1">
        <v>70.763088</v>
      </c>
      <c r="G610" s="1" t="s">
        <v>54</v>
      </c>
      <c r="H610" s="1" t="s">
        <v>55</v>
      </c>
      <c r="J610" s="1" t="s">
        <v>56</v>
      </c>
      <c r="K610" s="1" t="s">
        <v>26</v>
      </c>
      <c r="L610" s="1" t="s">
        <v>27</v>
      </c>
      <c r="N610" s="1" t="s">
        <v>216</v>
      </c>
      <c r="O610" s="1" t="s">
        <v>57</v>
      </c>
      <c r="P610" s="1" t="s">
        <v>243</v>
      </c>
      <c r="Q610" s="1" t="s">
        <v>244</v>
      </c>
      <c r="R610" s="1">
        <v>0.0</v>
      </c>
      <c r="S610" s="1"/>
    </row>
    <row r="611" ht="15.75" customHeight="1">
      <c r="A611" s="1" t="s">
        <v>1517</v>
      </c>
      <c r="B611" s="1" t="s">
        <v>1518</v>
      </c>
      <c r="C611" s="1" t="s">
        <v>148</v>
      </c>
      <c r="E611" s="1">
        <v>19.1513087</v>
      </c>
      <c r="F611" s="1">
        <v>72.8344438</v>
      </c>
      <c r="G611" s="1" t="s">
        <v>54</v>
      </c>
      <c r="H611" s="1" t="s">
        <v>55</v>
      </c>
      <c r="J611" s="1" t="s">
        <v>56</v>
      </c>
      <c r="K611" s="1" t="s">
        <v>26</v>
      </c>
      <c r="L611" s="1" t="s">
        <v>27</v>
      </c>
      <c r="N611" s="1" t="s">
        <v>143</v>
      </c>
      <c r="O611" s="1" t="s">
        <v>57</v>
      </c>
      <c r="P611" s="1" t="s">
        <v>144</v>
      </c>
      <c r="Q611" s="1" t="s">
        <v>145</v>
      </c>
      <c r="R611" s="1">
        <v>1.0</v>
      </c>
      <c r="S611" s="1"/>
    </row>
    <row r="612" ht="15.75" customHeight="1">
      <c r="A612" s="1" t="s">
        <v>1519</v>
      </c>
      <c r="B612" s="1" t="s">
        <v>1520</v>
      </c>
      <c r="C612" s="1" t="s">
        <v>148</v>
      </c>
      <c r="E612" s="1">
        <v>19.7993273</v>
      </c>
      <c r="F612" s="1">
        <v>72.75742699999999</v>
      </c>
      <c r="G612" s="1" t="s">
        <v>54</v>
      </c>
      <c r="H612" s="1" t="s">
        <v>55</v>
      </c>
      <c r="J612" s="1" t="s">
        <v>118</v>
      </c>
      <c r="K612" s="1" t="s">
        <v>26</v>
      </c>
      <c r="L612" s="1" t="s">
        <v>27</v>
      </c>
      <c r="N612" s="1" t="s">
        <v>143</v>
      </c>
      <c r="O612" s="1" t="s">
        <v>57</v>
      </c>
      <c r="P612" s="1" t="s">
        <v>144</v>
      </c>
      <c r="Q612" s="1" t="s">
        <v>145</v>
      </c>
      <c r="R612" s="1">
        <v>0.0</v>
      </c>
      <c r="S612" s="1"/>
    </row>
    <row r="613" ht="15.75" customHeight="1">
      <c r="A613" s="1" t="s">
        <v>1521</v>
      </c>
      <c r="B613" s="1" t="s">
        <v>1522</v>
      </c>
      <c r="C613" s="1" t="s">
        <v>148</v>
      </c>
      <c r="E613" s="1">
        <v>19.0842076</v>
      </c>
      <c r="F613" s="1">
        <v>72.8377314</v>
      </c>
      <c r="G613" s="1" t="s">
        <v>54</v>
      </c>
      <c r="H613" s="1" t="s">
        <v>55</v>
      </c>
      <c r="J613" s="1" t="s">
        <v>56</v>
      </c>
      <c r="K613" s="1" t="s">
        <v>26</v>
      </c>
      <c r="L613" s="1" t="s">
        <v>27</v>
      </c>
      <c r="N613" s="1" t="s">
        <v>143</v>
      </c>
      <c r="O613" s="1" t="s">
        <v>57</v>
      </c>
      <c r="P613" s="1" t="s">
        <v>144</v>
      </c>
      <c r="Q613" s="1" t="s">
        <v>145</v>
      </c>
      <c r="R613" s="1">
        <v>3.0</v>
      </c>
      <c r="S613" s="1"/>
    </row>
    <row r="614" ht="15.75" customHeight="1">
      <c r="A614" s="1" t="s">
        <v>1523</v>
      </c>
      <c r="B614" s="1" t="s">
        <v>1524</v>
      </c>
      <c r="C614" s="1" t="s">
        <v>148</v>
      </c>
      <c r="E614" s="1">
        <v>19.1722571</v>
      </c>
      <c r="F614" s="1">
        <v>72.99090749999999</v>
      </c>
      <c r="G614" s="1" t="s">
        <v>54</v>
      </c>
      <c r="H614" s="1" t="s">
        <v>55</v>
      </c>
      <c r="J614" s="1" t="s">
        <v>56</v>
      </c>
      <c r="K614" s="1" t="s">
        <v>26</v>
      </c>
      <c r="L614" s="1" t="s">
        <v>27</v>
      </c>
      <c r="N614" s="1" t="s">
        <v>143</v>
      </c>
      <c r="O614" s="1" t="s">
        <v>57</v>
      </c>
      <c r="P614" s="1" t="s">
        <v>144</v>
      </c>
      <c r="Q614" s="1" t="s">
        <v>145</v>
      </c>
      <c r="R614" s="1">
        <v>2.0</v>
      </c>
      <c r="S614" s="1"/>
    </row>
    <row r="615" ht="15.75" customHeight="1">
      <c r="A615" s="1" t="s">
        <v>1525</v>
      </c>
      <c r="B615" s="1" t="s">
        <v>1526</v>
      </c>
      <c r="C615" s="1" t="s">
        <v>142</v>
      </c>
      <c r="E615" s="1">
        <v>19.2550044</v>
      </c>
      <c r="F615" s="1">
        <v>72.9850379</v>
      </c>
      <c r="G615" s="1" t="s">
        <v>54</v>
      </c>
      <c r="H615" s="1" t="s">
        <v>55</v>
      </c>
      <c r="J615" s="1" t="s">
        <v>56</v>
      </c>
      <c r="K615" s="1" t="s">
        <v>26</v>
      </c>
      <c r="L615" s="1" t="s">
        <v>27</v>
      </c>
      <c r="N615" s="1" t="s">
        <v>143</v>
      </c>
      <c r="O615" s="1" t="s">
        <v>57</v>
      </c>
      <c r="P615" s="1" t="s">
        <v>144</v>
      </c>
      <c r="Q615" s="1" t="s">
        <v>145</v>
      </c>
      <c r="R615" s="1">
        <v>1.0</v>
      </c>
      <c r="S615" s="1"/>
    </row>
    <row r="616" ht="15.75" customHeight="1">
      <c r="A616" s="1" t="s">
        <v>1527</v>
      </c>
      <c r="B616" s="1" t="s">
        <v>1528</v>
      </c>
      <c r="C616" s="1" t="s">
        <v>148</v>
      </c>
      <c r="E616" s="1">
        <v>19.1706474</v>
      </c>
      <c r="F616" s="1">
        <v>72.84558299999999</v>
      </c>
      <c r="G616" s="1" t="s">
        <v>54</v>
      </c>
      <c r="H616" s="1" t="s">
        <v>55</v>
      </c>
      <c r="J616" s="1" t="s">
        <v>56</v>
      </c>
      <c r="K616" s="1" t="s">
        <v>26</v>
      </c>
      <c r="L616" s="1" t="s">
        <v>27</v>
      </c>
      <c r="N616" s="1" t="s">
        <v>143</v>
      </c>
      <c r="O616" s="1" t="s">
        <v>57</v>
      </c>
      <c r="P616" s="1" t="s">
        <v>144</v>
      </c>
      <c r="Q616" s="1" t="s">
        <v>145</v>
      </c>
      <c r="R616" s="1">
        <v>1.0</v>
      </c>
      <c r="S616" s="1"/>
    </row>
    <row r="617" ht="15.75" customHeight="1">
      <c r="A617" s="1" t="s">
        <v>1529</v>
      </c>
      <c r="B617" s="1" t="s">
        <v>1530</v>
      </c>
      <c r="C617" s="1" t="s">
        <v>142</v>
      </c>
      <c r="E617" s="1">
        <v>19.1749683</v>
      </c>
      <c r="F617" s="1">
        <v>73.2252613</v>
      </c>
      <c r="G617" s="1" t="s">
        <v>54</v>
      </c>
      <c r="H617" s="1" t="s">
        <v>55</v>
      </c>
      <c r="J617" s="1" t="s">
        <v>56</v>
      </c>
      <c r="K617" s="1" t="s">
        <v>26</v>
      </c>
      <c r="L617" s="1" t="s">
        <v>27</v>
      </c>
      <c r="N617" s="1" t="s">
        <v>143</v>
      </c>
      <c r="O617" s="1" t="s">
        <v>57</v>
      </c>
      <c r="P617" s="1" t="s">
        <v>144</v>
      </c>
      <c r="Q617" s="1" t="s">
        <v>145</v>
      </c>
      <c r="R617" s="1">
        <v>1.0</v>
      </c>
      <c r="S617" s="1"/>
    </row>
    <row r="618" ht="15.75" customHeight="1">
      <c r="A618" s="1" t="s">
        <v>1531</v>
      </c>
      <c r="B618" s="1" t="s">
        <v>1532</v>
      </c>
      <c r="C618" s="1" t="s">
        <v>446</v>
      </c>
      <c r="E618" s="1">
        <v>22.316451</v>
      </c>
      <c r="F618" s="1">
        <v>73.2298556</v>
      </c>
      <c r="G618" s="1" t="s">
        <v>54</v>
      </c>
      <c r="H618" s="1" t="s">
        <v>55</v>
      </c>
      <c r="J618" s="1" t="s">
        <v>56</v>
      </c>
      <c r="K618" s="1" t="s">
        <v>26</v>
      </c>
      <c r="L618" s="1" t="s">
        <v>27</v>
      </c>
      <c r="N618" s="1" t="s">
        <v>216</v>
      </c>
      <c r="O618" s="1" t="s">
        <v>57</v>
      </c>
      <c r="P618" s="1" t="s">
        <v>243</v>
      </c>
      <c r="Q618" s="1" t="s">
        <v>244</v>
      </c>
      <c r="R618" s="1">
        <v>1.0</v>
      </c>
      <c r="S618" s="1"/>
    </row>
    <row r="619" ht="15.75" customHeight="1">
      <c r="A619" s="1" t="s">
        <v>1533</v>
      </c>
      <c r="B619" s="1" t="s">
        <v>1534</v>
      </c>
      <c r="C619" s="1" t="s">
        <v>142</v>
      </c>
      <c r="E619" s="1">
        <v>19.1582244</v>
      </c>
      <c r="F619" s="1">
        <v>73.0671249</v>
      </c>
      <c r="G619" s="1" t="s">
        <v>54</v>
      </c>
      <c r="H619" s="1" t="s">
        <v>55</v>
      </c>
      <c r="J619" s="1" t="s">
        <v>56</v>
      </c>
      <c r="K619" s="1" t="s">
        <v>26</v>
      </c>
      <c r="L619" s="1" t="s">
        <v>27</v>
      </c>
      <c r="N619" s="1" t="s">
        <v>143</v>
      </c>
      <c r="O619" s="1" t="s">
        <v>57</v>
      </c>
      <c r="P619" s="1" t="s">
        <v>144</v>
      </c>
      <c r="Q619" s="1" t="s">
        <v>145</v>
      </c>
      <c r="R619" s="1">
        <v>0.0</v>
      </c>
      <c r="S619" s="1"/>
    </row>
    <row r="620" ht="15.75" customHeight="1">
      <c r="A620" s="1" t="s">
        <v>1535</v>
      </c>
      <c r="B620" s="1" t="s">
        <v>1536</v>
      </c>
      <c r="C620" s="1" t="s">
        <v>1537</v>
      </c>
      <c r="E620" s="1">
        <v>22.5486031</v>
      </c>
      <c r="F620" s="1">
        <v>72.9250753</v>
      </c>
      <c r="G620" s="1" t="s">
        <v>54</v>
      </c>
      <c r="H620" s="1" t="s">
        <v>55</v>
      </c>
      <c r="J620" s="1" t="s">
        <v>221</v>
      </c>
      <c r="K620" s="1" t="s">
        <v>26</v>
      </c>
      <c r="L620" s="1" t="s">
        <v>27</v>
      </c>
      <c r="N620" s="1" t="s">
        <v>216</v>
      </c>
      <c r="O620" s="1" t="s">
        <v>57</v>
      </c>
      <c r="P620" s="1" t="s">
        <v>243</v>
      </c>
      <c r="Q620" s="1" t="s">
        <v>244</v>
      </c>
      <c r="R620" s="1">
        <v>0.0</v>
      </c>
      <c r="S620" s="1"/>
    </row>
    <row r="621" ht="15.75" customHeight="1">
      <c r="A621" s="1" t="s">
        <v>1538</v>
      </c>
      <c r="B621" s="1" t="s">
        <v>1539</v>
      </c>
      <c r="C621" s="1" t="s">
        <v>142</v>
      </c>
      <c r="E621" s="1">
        <v>19.216867</v>
      </c>
      <c r="F621" s="1">
        <v>73.1785692</v>
      </c>
      <c r="G621" s="1" t="s">
        <v>54</v>
      </c>
      <c r="H621" s="1" t="s">
        <v>55</v>
      </c>
      <c r="J621" s="1" t="s">
        <v>56</v>
      </c>
      <c r="K621" s="1" t="s">
        <v>26</v>
      </c>
      <c r="L621" s="1" t="s">
        <v>27</v>
      </c>
      <c r="N621" s="1" t="s">
        <v>143</v>
      </c>
      <c r="O621" s="1" t="s">
        <v>57</v>
      </c>
      <c r="P621" s="1" t="s">
        <v>144</v>
      </c>
      <c r="Q621" s="1" t="s">
        <v>145</v>
      </c>
      <c r="R621" s="1">
        <v>0.0</v>
      </c>
      <c r="S621" s="1"/>
    </row>
    <row r="622" ht="15.75" customHeight="1">
      <c r="A622" s="1" t="s">
        <v>1540</v>
      </c>
      <c r="B622" s="1" t="s">
        <v>1541</v>
      </c>
      <c r="C622" s="1" t="s">
        <v>446</v>
      </c>
      <c r="E622" s="1">
        <v>22.2920596</v>
      </c>
      <c r="F622" s="1">
        <v>73.16410739999999</v>
      </c>
      <c r="G622" s="1" t="s">
        <v>54</v>
      </c>
      <c r="H622" s="1" t="s">
        <v>55</v>
      </c>
      <c r="J622" s="1" t="s">
        <v>118</v>
      </c>
      <c r="K622" s="1" t="s">
        <v>26</v>
      </c>
      <c r="L622" s="1" t="s">
        <v>27</v>
      </c>
      <c r="N622" s="1" t="s">
        <v>216</v>
      </c>
      <c r="O622" s="1" t="s">
        <v>57</v>
      </c>
      <c r="P622" s="1" t="s">
        <v>243</v>
      </c>
      <c r="Q622" s="1" t="s">
        <v>244</v>
      </c>
      <c r="R622" s="1">
        <v>1.0</v>
      </c>
      <c r="S622" s="1"/>
    </row>
    <row r="623" ht="15.75" customHeight="1">
      <c r="A623" s="1" t="s">
        <v>1542</v>
      </c>
      <c r="B623" s="1" t="s">
        <v>1543</v>
      </c>
      <c r="C623" s="1" t="s">
        <v>148</v>
      </c>
      <c r="E623" s="1">
        <v>19.1162991</v>
      </c>
      <c r="F623" s="1">
        <v>72.90922619999999</v>
      </c>
      <c r="G623" s="1" t="s">
        <v>54</v>
      </c>
      <c r="H623" s="1" t="s">
        <v>55</v>
      </c>
      <c r="J623" s="1" t="s">
        <v>56</v>
      </c>
      <c r="K623" s="1" t="s">
        <v>26</v>
      </c>
      <c r="L623" s="1" t="s">
        <v>27</v>
      </c>
      <c r="N623" s="1" t="s">
        <v>143</v>
      </c>
      <c r="O623" s="1" t="s">
        <v>57</v>
      </c>
      <c r="P623" s="1" t="s">
        <v>144</v>
      </c>
      <c r="Q623" s="1" t="s">
        <v>145</v>
      </c>
      <c r="R623" s="1">
        <v>1.0</v>
      </c>
      <c r="S623" s="1"/>
    </row>
    <row r="624" ht="15.75" customHeight="1">
      <c r="A624" s="1" t="s">
        <v>1544</v>
      </c>
      <c r="B624" s="1" t="s">
        <v>1545</v>
      </c>
      <c r="C624" s="1" t="s">
        <v>148</v>
      </c>
      <c r="E624" s="1">
        <v>18.9696135</v>
      </c>
      <c r="F624" s="1">
        <v>73.0226328</v>
      </c>
      <c r="G624" s="1" t="s">
        <v>54</v>
      </c>
      <c r="H624" s="1" t="s">
        <v>55</v>
      </c>
      <c r="J624" s="1" t="s">
        <v>118</v>
      </c>
      <c r="K624" s="1" t="s">
        <v>26</v>
      </c>
      <c r="L624" s="1" t="s">
        <v>27</v>
      </c>
      <c r="N624" s="1" t="s">
        <v>143</v>
      </c>
      <c r="O624" s="1" t="s">
        <v>29</v>
      </c>
      <c r="P624" s="1" t="s">
        <v>144</v>
      </c>
      <c r="Q624" s="1" t="s">
        <v>145</v>
      </c>
      <c r="R624" s="1">
        <v>1.0</v>
      </c>
      <c r="S624" s="1"/>
    </row>
    <row r="625" ht="15.75" customHeight="1">
      <c r="A625" s="1" t="s">
        <v>1546</v>
      </c>
      <c r="B625" s="1" t="s">
        <v>1547</v>
      </c>
      <c r="C625" s="1" t="s">
        <v>446</v>
      </c>
      <c r="E625" s="1">
        <v>22.3182284</v>
      </c>
      <c r="F625" s="1">
        <v>73.16918160000002</v>
      </c>
      <c r="G625" s="1" t="s">
        <v>54</v>
      </c>
      <c r="H625" s="1" t="s">
        <v>55</v>
      </c>
      <c r="J625" s="1" t="s">
        <v>56</v>
      </c>
      <c r="K625" s="1" t="s">
        <v>26</v>
      </c>
      <c r="L625" s="1" t="s">
        <v>27</v>
      </c>
      <c r="N625" s="1" t="s">
        <v>216</v>
      </c>
      <c r="O625" s="1" t="s">
        <v>57</v>
      </c>
      <c r="P625" s="1" t="s">
        <v>243</v>
      </c>
      <c r="Q625" s="1" t="s">
        <v>244</v>
      </c>
      <c r="R625" s="1">
        <v>1.0</v>
      </c>
      <c r="S625" s="1"/>
    </row>
    <row r="626" ht="15.75" customHeight="1">
      <c r="A626" s="1" t="s">
        <v>1548</v>
      </c>
      <c r="B626" s="1" t="s">
        <v>1549</v>
      </c>
      <c r="C626" s="1" t="s">
        <v>1537</v>
      </c>
      <c r="E626" s="1">
        <v>22.5486031</v>
      </c>
      <c r="F626" s="1">
        <v>72.9250753</v>
      </c>
      <c r="G626" s="1" t="s">
        <v>54</v>
      </c>
      <c r="H626" s="1" t="s">
        <v>55</v>
      </c>
      <c r="J626" s="1" t="s">
        <v>56</v>
      </c>
      <c r="K626" s="1" t="s">
        <v>26</v>
      </c>
      <c r="L626" s="1" t="s">
        <v>27</v>
      </c>
      <c r="N626" s="1" t="s">
        <v>216</v>
      </c>
      <c r="O626" s="1" t="s">
        <v>57</v>
      </c>
      <c r="P626" s="1" t="s">
        <v>243</v>
      </c>
      <c r="Q626" s="1" t="s">
        <v>244</v>
      </c>
      <c r="R626" s="1">
        <v>0.0</v>
      </c>
      <c r="S626" s="1"/>
    </row>
    <row r="627" ht="15.75" customHeight="1">
      <c r="A627" s="1" t="s">
        <v>1550</v>
      </c>
      <c r="B627" s="1" t="s">
        <v>1551</v>
      </c>
      <c r="C627" s="1" t="s">
        <v>148</v>
      </c>
      <c r="E627" s="1">
        <v>18.9648773</v>
      </c>
      <c r="F627" s="1">
        <v>72.8039944</v>
      </c>
      <c r="G627" s="1" t="s">
        <v>54</v>
      </c>
      <c r="H627" s="1" t="s">
        <v>55</v>
      </c>
      <c r="J627" s="1" t="s">
        <v>56</v>
      </c>
      <c r="K627" s="1" t="s">
        <v>26</v>
      </c>
      <c r="L627" s="1" t="s">
        <v>27</v>
      </c>
      <c r="N627" s="1" t="s">
        <v>143</v>
      </c>
      <c r="O627" s="1" t="s">
        <v>57</v>
      </c>
      <c r="P627" s="1" t="s">
        <v>144</v>
      </c>
      <c r="Q627" s="1" t="s">
        <v>145</v>
      </c>
      <c r="R627" s="1">
        <v>1.0</v>
      </c>
      <c r="S627" s="1"/>
    </row>
    <row r="628" ht="15.75" customHeight="1">
      <c r="A628" s="1" t="s">
        <v>1552</v>
      </c>
      <c r="B628" s="1" t="s">
        <v>1553</v>
      </c>
      <c r="C628" s="1" t="s">
        <v>446</v>
      </c>
      <c r="E628" s="1">
        <v>22.3254789</v>
      </c>
      <c r="F628" s="1">
        <v>73.19751640000001</v>
      </c>
      <c r="G628" s="1" t="s">
        <v>54</v>
      </c>
      <c r="H628" s="1" t="s">
        <v>55</v>
      </c>
      <c r="J628" s="1" t="s">
        <v>56</v>
      </c>
      <c r="K628" s="1" t="s">
        <v>26</v>
      </c>
      <c r="L628" s="1" t="s">
        <v>27</v>
      </c>
      <c r="N628" s="1" t="s">
        <v>216</v>
      </c>
      <c r="O628" s="1" t="s">
        <v>57</v>
      </c>
      <c r="P628" s="1" t="s">
        <v>243</v>
      </c>
      <c r="Q628" s="1" t="s">
        <v>244</v>
      </c>
      <c r="R628" s="1">
        <v>1.0</v>
      </c>
      <c r="S628" s="1"/>
    </row>
    <row r="629" ht="15.75" customHeight="1">
      <c r="A629" s="1" t="s">
        <v>1554</v>
      </c>
      <c r="B629" s="1" t="s">
        <v>1555</v>
      </c>
      <c r="C629" s="1" t="s">
        <v>148</v>
      </c>
      <c r="E629" s="1">
        <v>19.2328085</v>
      </c>
      <c r="F629" s="1">
        <v>72.8578869</v>
      </c>
      <c r="G629" s="1" t="s">
        <v>54</v>
      </c>
      <c r="H629" s="1" t="s">
        <v>55</v>
      </c>
      <c r="J629" s="1" t="s">
        <v>56</v>
      </c>
      <c r="K629" s="1" t="s">
        <v>26</v>
      </c>
      <c r="L629" s="1" t="s">
        <v>27</v>
      </c>
      <c r="N629" s="1" t="s">
        <v>143</v>
      </c>
      <c r="O629" s="1" t="s">
        <v>57</v>
      </c>
      <c r="P629" s="1" t="s">
        <v>144</v>
      </c>
      <c r="Q629" s="1" t="s">
        <v>145</v>
      </c>
      <c r="R629" s="1">
        <v>3.0</v>
      </c>
      <c r="S629" s="1"/>
    </row>
    <row r="630" ht="15.75" customHeight="1">
      <c r="A630" s="1" t="s">
        <v>1556</v>
      </c>
      <c r="B630" s="1" t="s">
        <v>1557</v>
      </c>
      <c r="C630" s="1" t="s">
        <v>148</v>
      </c>
      <c r="E630" s="1">
        <v>19.0871684</v>
      </c>
      <c r="F630" s="1">
        <v>72.8897238</v>
      </c>
      <c r="G630" s="1" t="s">
        <v>54</v>
      </c>
      <c r="H630" s="1" t="s">
        <v>55</v>
      </c>
      <c r="J630" s="1" t="s">
        <v>56</v>
      </c>
      <c r="K630" s="1" t="s">
        <v>26</v>
      </c>
      <c r="L630" s="1" t="s">
        <v>27</v>
      </c>
      <c r="N630" s="1" t="s">
        <v>143</v>
      </c>
      <c r="O630" s="1" t="s">
        <v>57</v>
      </c>
      <c r="P630" s="1" t="s">
        <v>144</v>
      </c>
      <c r="Q630" s="1" t="s">
        <v>145</v>
      </c>
      <c r="R630" s="1">
        <v>2.0</v>
      </c>
      <c r="S630" s="1"/>
    </row>
    <row r="631" ht="15.75" customHeight="1">
      <c r="A631" s="1" t="s">
        <v>1558</v>
      </c>
      <c r="B631" s="1" t="s">
        <v>1559</v>
      </c>
      <c r="C631" s="1" t="s">
        <v>446</v>
      </c>
      <c r="E631" s="1">
        <v>22.2754027</v>
      </c>
      <c r="F631" s="1">
        <v>73.1998417</v>
      </c>
      <c r="G631" s="1" t="s">
        <v>54</v>
      </c>
      <c r="H631" s="1" t="s">
        <v>55</v>
      </c>
      <c r="J631" s="1" t="s">
        <v>56</v>
      </c>
      <c r="K631" s="1" t="s">
        <v>26</v>
      </c>
      <c r="L631" s="1" t="s">
        <v>27</v>
      </c>
      <c r="N631" s="1" t="s">
        <v>216</v>
      </c>
      <c r="O631" s="1" t="s">
        <v>57</v>
      </c>
      <c r="P631" s="1" t="s">
        <v>243</v>
      </c>
      <c r="Q631" s="1" t="s">
        <v>244</v>
      </c>
      <c r="R631" s="1">
        <v>1.0</v>
      </c>
      <c r="S631" s="1"/>
    </row>
    <row r="632" ht="15.75" customHeight="1">
      <c r="A632" s="1" t="s">
        <v>1560</v>
      </c>
      <c r="B632" s="1" t="s">
        <v>1561</v>
      </c>
      <c r="C632" s="1" t="s">
        <v>1562</v>
      </c>
      <c r="E632" s="1">
        <v>22.8321933</v>
      </c>
      <c r="F632" s="1">
        <v>74.2512593</v>
      </c>
      <c r="G632" s="1" t="s">
        <v>54</v>
      </c>
      <c r="H632" s="1" t="s">
        <v>55</v>
      </c>
      <c r="J632" s="1" t="s">
        <v>56</v>
      </c>
      <c r="K632" s="1" t="s">
        <v>26</v>
      </c>
      <c r="L632" s="1" t="s">
        <v>27</v>
      </c>
      <c r="N632" s="1" t="s">
        <v>216</v>
      </c>
      <c r="O632" s="1" t="s">
        <v>57</v>
      </c>
      <c r="P632" s="1" t="s">
        <v>243</v>
      </c>
      <c r="Q632" s="1" t="s">
        <v>244</v>
      </c>
      <c r="R632" s="1">
        <v>0.0</v>
      </c>
      <c r="S632" s="1"/>
    </row>
    <row r="633" ht="15.75" customHeight="1">
      <c r="A633" s="1" t="s">
        <v>1563</v>
      </c>
      <c r="B633" s="1" t="s">
        <v>1564</v>
      </c>
      <c r="C633" s="1" t="s">
        <v>1565</v>
      </c>
      <c r="E633" s="1">
        <v>21.7501413</v>
      </c>
      <c r="F633" s="1">
        <v>72.13375719999999</v>
      </c>
      <c r="G633" s="1" t="s">
        <v>54</v>
      </c>
      <c r="H633" s="1" t="s">
        <v>55</v>
      </c>
      <c r="J633" s="1" t="s">
        <v>56</v>
      </c>
      <c r="K633" s="1" t="s">
        <v>26</v>
      </c>
      <c r="L633" s="1" t="s">
        <v>27</v>
      </c>
      <c r="N633" s="1" t="s">
        <v>216</v>
      </c>
      <c r="O633" s="1" t="s">
        <v>57</v>
      </c>
      <c r="P633" s="1" t="s">
        <v>243</v>
      </c>
      <c r="Q633" s="1" t="s">
        <v>244</v>
      </c>
      <c r="R633" s="1">
        <v>0.0</v>
      </c>
      <c r="S633" s="1"/>
    </row>
    <row r="634" ht="15.75" customHeight="1">
      <c r="A634" s="1" t="s">
        <v>1566</v>
      </c>
      <c r="B634" s="1" t="s">
        <v>1567</v>
      </c>
      <c r="C634" s="1" t="s">
        <v>1568</v>
      </c>
      <c r="E634" s="1">
        <v>22.9925028</v>
      </c>
      <c r="F634" s="1">
        <v>72.3689177</v>
      </c>
      <c r="G634" s="1" t="s">
        <v>54</v>
      </c>
      <c r="H634" s="1" t="s">
        <v>55</v>
      </c>
      <c r="J634" s="1" t="s">
        <v>56</v>
      </c>
      <c r="K634" s="1" t="s">
        <v>26</v>
      </c>
      <c r="L634" s="1" t="s">
        <v>27</v>
      </c>
      <c r="N634" s="1" t="s">
        <v>216</v>
      </c>
      <c r="O634" s="1" t="s">
        <v>57</v>
      </c>
      <c r="P634" s="1" t="s">
        <v>243</v>
      </c>
      <c r="Q634" s="1" t="s">
        <v>244</v>
      </c>
      <c r="R634" s="1">
        <v>0.0</v>
      </c>
      <c r="S634" s="1"/>
    </row>
    <row r="635" ht="15.75" customHeight="1">
      <c r="A635" s="1" t="s">
        <v>1569</v>
      </c>
      <c r="B635" s="1" t="s">
        <v>1570</v>
      </c>
      <c r="C635" s="1" t="s">
        <v>1509</v>
      </c>
      <c r="E635" s="1">
        <v>23.2151616</v>
      </c>
      <c r="F635" s="1">
        <v>72.6477081</v>
      </c>
      <c r="G635" s="1" t="s">
        <v>54</v>
      </c>
      <c r="H635" s="1" t="s">
        <v>55</v>
      </c>
      <c r="J635" s="1" t="s">
        <v>56</v>
      </c>
      <c r="K635" s="1" t="s">
        <v>26</v>
      </c>
      <c r="L635" s="1" t="s">
        <v>27</v>
      </c>
      <c r="N635" s="1" t="s">
        <v>216</v>
      </c>
      <c r="O635" s="1" t="s">
        <v>57</v>
      </c>
      <c r="P635" s="1" t="s">
        <v>243</v>
      </c>
      <c r="Q635" s="1" t="s">
        <v>244</v>
      </c>
      <c r="R635" s="1">
        <v>0.0</v>
      </c>
      <c r="S635" s="1"/>
    </row>
    <row r="636" ht="15.75" customHeight="1">
      <c r="A636" s="1" t="s">
        <v>1571</v>
      </c>
      <c r="B636" s="1" t="s">
        <v>1572</v>
      </c>
      <c r="C636" s="1" t="s">
        <v>1573</v>
      </c>
      <c r="E636" s="1">
        <v>22.4734234</v>
      </c>
      <c r="F636" s="1">
        <v>70.0676126</v>
      </c>
      <c r="G636" s="1" t="s">
        <v>54</v>
      </c>
      <c r="H636" s="1" t="s">
        <v>55</v>
      </c>
      <c r="J636" s="1" t="s">
        <v>56</v>
      </c>
      <c r="K636" s="1" t="s">
        <v>26</v>
      </c>
      <c r="L636" s="1" t="s">
        <v>27</v>
      </c>
      <c r="N636" s="1" t="s">
        <v>216</v>
      </c>
      <c r="O636" s="1" t="s">
        <v>57</v>
      </c>
      <c r="P636" s="1" t="s">
        <v>243</v>
      </c>
      <c r="Q636" s="1" t="s">
        <v>244</v>
      </c>
      <c r="R636" s="1">
        <v>0.0</v>
      </c>
      <c r="S636" s="1"/>
    </row>
    <row r="637" ht="15.75" customHeight="1">
      <c r="A637" s="1" t="s">
        <v>1574</v>
      </c>
      <c r="B637" s="1" t="s">
        <v>1575</v>
      </c>
      <c r="C637" s="1" t="s">
        <v>446</v>
      </c>
      <c r="E637" s="1">
        <v>22.3402469</v>
      </c>
      <c r="F637" s="1">
        <v>73.17845009999999</v>
      </c>
      <c r="G637" s="1" t="s">
        <v>54</v>
      </c>
      <c r="H637" s="1" t="s">
        <v>55</v>
      </c>
      <c r="J637" s="1" t="s">
        <v>56</v>
      </c>
      <c r="K637" s="1" t="s">
        <v>26</v>
      </c>
      <c r="L637" s="1" t="s">
        <v>27</v>
      </c>
      <c r="N637" s="1" t="s">
        <v>216</v>
      </c>
      <c r="O637" s="1" t="s">
        <v>57</v>
      </c>
      <c r="P637" s="1" t="s">
        <v>243</v>
      </c>
      <c r="Q637" s="1" t="s">
        <v>244</v>
      </c>
      <c r="R637" s="1">
        <v>1.0</v>
      </c>
      <c r="S637" s="1"/>
    </row>
    <row r="638" ht="15.75" customHeight="1">
      <c r="A638" s="1" t="s">
        <v>1576</v>
      </c>
      <c r="B638" s="1" t="s">
        <v>1577</v>
      </c>
      <c r="C638" s="1" t="s">
        <v>148</v>
      </c>
      <c r="E638" s="1">
        <v>19.4199381</v>
      </c>
      <c r="F638" s="1">
        <v>72.80991019999999</v>
      </c>
      <c r="G638" s="1" t="s">
        <v>54</v>
      </c>
      <c r="H638" s="1" t="s">
        <v>55</v>
      </c>
      <c r="J638" s="1" t="s">
        <v>56</v>
      </c>
      <c r="K638" s="1" t="s">
        <v>26</v>
      </c>
      <c r="L638" s="1" t="s">
        <v>27</v>
      </c>
      <c r="N638" s="1" t="s">
        <v>143</v>
      </c>
      <c r="O638" s="1" t="s">
        <v>57</v>
      </c>
      <c r="P638" s="1" t="s">
        <v>144</v>
      </c>
      <c r="Q638" s="1" t="s">
        <v>145</v>
      </c>
      <c r="R638" s="1">
        <v>1.0</v>
      </c>
      <c r="S638" s="1"/>
    </row>
    <row r="639" ht="15.75" customHeight="1">
      <c r="A639" s="1" t="s">
        <v>1578</v>
      </c>
      <c r="B639" s="1" t="s">
        <v>1579</v>
      </c>
      <c r="C639" s="1" t="s">
        <v>142</v>
      </c>
      <c r="E639" s="1">
        <v>19.1929227</v>
      </c>
      <c r="F639" s="1">
        <v>73.09294849999999</v>
      </c>
      <c r="G639" s="1" t="s">
        <v>54</v>
      </c>
      <c r="H639" s="1" t="s">
        <v>55</v>
      </c>
      <c r="J639" s="1" t="s">
        <v>56</v>
      </c>
      <c r="K639" s="1" t="s">
        <v>26</v>
      </c>
      <c r="L639" s="1" t="s">
        <v>27</v>
      </c>
      <c r="N639" s="1" t="s">
        <v>143</v>
      </c>
      <c r="O639" s="1" t="s">
        <v>57</v>
      </c>
      <c r="P639" s="1" t="s">
        <v>144</v>
      </c>
      <c r="Q639" s="1" t="s">
        <v>145</v>
      </c>
      <c r="R639" s="1">
        <v>1.0</v>
      </c>
      <c r="S639" s="1"/>
    </row>
    <row r="640" ht="15.75" customHeight="1">
      <c r="A640" s="1" t="s">
        <v>1580</v>
      </c>
      <c r="B640" s="1" t="s">
        <v>1581</v>
      </c>
      <c r="C640" s="1" t="s">
        <v>1582</v>
      </c>
      <c r="E640" s="1">
        <v>22.6733399</v>
      </c>
      <c r="F640" s="1">
        <v>72.8844678</v>
      </c>
      <c r="G640" s="1" t="s">
        <v>54</v>
      </c>
      <c r="H640" s="1" t="s">
        <v>55</v>
      </c>
      <c r="J640" s="1" t="s">
        <v>56</v>
      </c>
      <c r="K640" s="1" t="s">
        <v>26</v>
      </c>
      <c r="L640" s="1" t="s">
        <v>27</v>
      </c>
      <c r="N640" s="1" t="s">
        <v>216</v>
      </c>
      <c r="O640" s="1" t="s">
        <v>57</v>
      </c>
      <c r="P640" s="1" t="s">
        <v>243</v>
      </c>
      <c r="Q640" s="1" t="s">
        <v>244</v>
      </c>
      <c r="R640" s="1">
        <v>0.0</v>
      </c>
      <c r="S640" s="1"/>
    </row>
    <row r="641" ht="15.75" customHeight="1">
      <c r="A641" s="1" t="s">
        <v>1583</v>
      </c>
      <c r="B641" s="1" t="s">
        <v>1584</v>
      </c>
      <c r="C641" s="1" t="s">
        <v>1585</v>
      </c>
      <c r="E641" s="1">
        <v>23.0653259</v>
      </c>
      <c r="F641" s="1">
        <v>70.1357642</v>
      </c>
      <c r="G641" s="1" t="s">
        <v>54</v>
      </c>
      <c r="H641" s="1" t="s">
        <v>55</v>
      </c>
      <c r="J641" s="1" t="s">
        <v>56</v>
      </c>
      <c r="K641" s="1" t="s">
        <v>26</v>
      </c>
      <c r="L641" s="1" t="s">
        <v>27</v>
      </c>
      <c r="N641" s="1" t="s">
        <v>216</v>
      </c>
      <c r="O641" s="1" t="s">
        <v>57</v>
      </c>
      <c r="P641" s="1" t="s">
        <v>243</v>
      </c>
      <c r="Q641" s="1" t="s">
        <v>244</v>
      </c>
      <c r="R641" s="1">
        <v>0.0</v>
      </c>
      <c r="S641" s="1"/>
    </row>
    <row r="642" ht="15.75" customHeight="1">
      <c r="A642" s="1" t="s">
        <v>1586</v>
      </c>
      <c r="B642" s="1" t="s">
        <v>1587</v>
      </c>
      <c r="C642" s="1" t="s">
        <v>1588</v>
      </c>
      <c r="E642" s="1">
        <v>21.7209003</v>
      </c>
      <c r="F642" s="1">
        <v>72.9808489</v>
      </c>
      <c r="G642" s="1" t="s">
        <v>54</v>
      </c>
      <c r="H642" s="1" t="s">
        <v>55</v>
      </c>
      <c r="J642" s="1" t="s">
        <v>56</v>
      </c>
      <c r="K642" s="1" t="s">
        <v>26</v>
      </c>
      <c r="L642" s="1" t="s">
        <v>27</v>
      </c>
      <c r="N642" s="1" t="s">
        <v>216</v>
      </c>
      <c r="O642" s="1" t="s">
        <v>57</v>
      </c>
      <c r="P642" s="1" t="s">
        <v>243</v>
      </c>
      <c r="Q642" s="1" t="s">
        <v>244</v>
      </c>
      <c r="R642" s="1">
        <v>0.0</v>
      </c>
      <c r="S642" s="1"/>
    </row>
    <row r="643" ht="15.75" customHeight="1">
      <c r="A643" s="1" t="s">
        <v>1589</v>
      </c>
      <c r="B643" s="1" t="s">
        <v>1590</v>
      </c>
      <c r="C643" s="1" t="s">
        <v>148</v>
      </c>
      <c r="E643" s="1">
        <v>19.103833</v>
      </c>
      <c r="F643" s="1">
        <v>72.851444</v>
      </c>
      <c r="G643" s="1" t="s">
        <v>54</v>
      </c>
      <c r="H643" s="1" t="s">
        <v>55</v>
      </c>
      <c r="J643" s="1" t="s">
        <v>56</v>
      </c>
      <c r="K643" s="1" t="s">
        <v>26</v>
      </c>
      <c r="L643" s="1" t="s">
        <v>27</v>
      </c>
      <c r="N643" s="1" t="s">
        <v>143</v>
      </c>
      <c r="O643" s="1" t="s">
        <v>57</v>
      </c>
      <c r="P643" s="1" t="s">
        <v>144</v>
      </c>
      <c r="Q643" s="1" t="s">
        <v>145</v>
      </c>
      <c r="R643" s="1">
        <v>1.0</v>
      </c>
      <c r="S643" s="1"/>
    </row>
    <row r="644" ht="15.75" customHeight="1">
      <c r="A644" s="1" t="s">
        <v>1591</v>
      </c>
      <c r="B644" s="1" t="s">
        <v>1592</v>
      </c>
      <c r="C644" s="1" t="s">
        <v>148</v>
      </c>
      <c r="E644" s="1">
        <v>19.4453147</v>
      </c>
      <c r="F644" s="1">
        <v>72.8159691</v>
      </c>
      <c r="G644" s="1" t="s">
        <v>54</v>
      </c>
      <c r="H644" s="1" t="s">
        <v>55</v>
      </c>
      <c r="J644" s="1" t="s">
        <v>56</v>
      </c>
      <c r="K644" s="1" t="s">
        <v>26</v>
      </c>
      <c r="L644" s="1" t="s">
        <v>27</v>
      </c>
      <c r="N644" s="1" t="s">
        <v>143</v>
      </c>
      <c r="O644" s="1" t="s">
        <v>57</v>
      </c>
      <c r="P644" s="1" t="s">
        <v>144</v>
      </c>
      <c r="Q644" s="1" t="s">
        <v>145</v>
      </c>
      <c r="R644" s="1">
        <v>1.0</v>
      </c>
      <c r="S644" s="1"/>
    </row>
    <row r="645" ht="15.75" customHeight="1">
      <c r="A645" s="1" t="s">
        <v>1593</v>
      </c>
      <c r="B645" s="1" t="s">
        <v>1594</v>
      </c>
      <c r="C645" s="1" t="s">
        <v>1595</v>
      </c>
      <c r="E645" s="1">
        <v>21.6011861</v>
      </c>
      <c r="F645" s="1">
        <v>73.017337</v>
      </c>
      <c r="G645" s="1" t="s">
        <v>54</v>
      </c>
      <c r="H645" s="1" t="s">
        <v>55</v>
      </c>
      <c r="J645" s="1" t="s">
        <v>56</v>
      </c>
      <c r="K645" s="1" t="s">
        <v>26</v>
      </c>
      <c r="L645" s="1" t="s">
        <v>27</v>
      </c>
      <c r="N645" s="1" t="s">
        <v>216</v>
      </c>
      <c r="O645" s="1" t="s">
        <v>57</v>
      </c>
      <c r="P645" s="1" t="s">
        <v>243</v>
      </c>
      <c r="Q645" s="1" t="s">
        <v>244</v>
      </c>
      <c r="R645" s="1">
        <v>0.0</v>
      </c>
      <c r="S645" s="1"/>
    </row>
    <row r="646" ht="15.75" customHeight="1">
      <c r="A646" s="1" t="s">
        <v>1596</v>
      </c>
      <c r="B646" s="1" t="s">
        <v>1597</v>
      </c>
      <c r="C646" s="1" t="s">
        <v>1598</v>
      </c>
      <c r="E646" s="1">
        <v>20.5941697</v>
      </c>
      <c r="F646" s="1">
        <v>72.9390738</v>
      </c>
      <c r="G646" s="1" t="s">
        <v>54</v>
      </c>
      <c r="H646" s="1" t="s">
        <v>55</v>
      </c>
      <c r="J646" s="1" t="s">
        <v>56</v>
      </c>
      <c r="K646" s="1" t="s">
        <v>26</v>
      </c>
      <c r="L646" s="1" t="s">
        <v>27</v>
      </c>
      <c r="N646" s="1" t="s">
        <v>216</v>
      </c>
      <c r="O646" s="1" t="s">
        <v>57</v>
      </c>
      <c r="P646" s="1" t="s">
        <v>243</v>
      </c>
      <c r="Q646" s="1" t="s">
        <v>244</v>
      </c>
      <c r="R646" s="1">
        <v>0.0</v>
      </c>
      <c r="S646" s="1"/>
    </row>
    <row r="647" ht="15.75" customHeight="1">
      <c r="A647" s="1" t="s">
        <v>1599</v>
      </c>
      <c r="B647" s="1" t="s">
        <v>1600</v>
      </c>
      <c r="C647" s="1" t="s">
        <v>142</v>
      </c>
      <c r="E647" s="1">
        <v>19.3680971</v>
      </c>
      <c r="F647" s="1">
        <v>72.8160451</v>
      </c>
      <c r="G647" s="1" t="s">
        <v>54</v>
      </c>
      <c r="H647" s="1" t="s">
        <v>55</v>
      </c>
      <c r="J647" s="1" t="s">
        <v>221</v>
      </c>
      <c r="K647" s="1" t="s">
        <v>26</v>
      </c>
      <c r="L647" s="1" t="s">
        <v>27</v>
      </c>
      <c r="N647" s="1" t="s">
        <v>143</v>
      </c>
      <c r="O647" s="1" t="s">
        <v>57</v>
      </c>
      <c r="P647" s="1" t="s">
        <v>144</v>
      </c>
      <c r="Q647" s="1" t="s">
        <v>145</v>
      </c>
      <c r="R647" s="1">
        <v>1.0</v>
      </c>
      <c r="S647" s="1"/>
    </row>
    <row r="648" ht="15.75" customHeight="1">
      <c r="A648" s="1" t="s">
        <v>1601</v>
      </c>
      <c r="B648" s="1" t="s">
        <v>1602</v>
      </c>
      <c r="C648" s="1" t="s">
        <v>446</v>
      </c>
      <c r="E648" s="1">
        <v>22.3002752</v>
      </c>
      <c r="F648" s="1">
        <v>73.1946514</v>
      </c>
      <c r="G648" s="1" t="s">
        <v>54</v>
      </c>
      <c r="H648" s="1" t="s">
        <v>55</v>
      </c>
      <c r="J648" s="1" t="s">
        <v>221</v>
      </c>
      <c r="K648" s="1" t="s">
        <v>26</v>
      </c>
      <c r="L648" s="1" t="s">
        <v>27</v>
      </c>
      <c r="N648" s="1" t="s">
        <v>216</v>
      </c>
      <c r="O648" s="1" t="s">
        <v>57</v>
      </c>
      <c r="P648" s="1" t="s">
        <v>243</v>
      </c>
      <c r="Q648" s="1" t="s">
        <v>244</v>
      </c>
      <c r="R648" s="1">
        <v>1.0</v>
      </c>
      <c r="S648" s="1"/>
    </row>
    <row r="649" ht="15.75" customHeight="1">
      <c r="A649" s="1" t="s">
        <v>1603</v>
      </c>
      <c r="B649" s="1" t="s">
        <v>1604</v>
      </c>
      <c r="C649" s="1" t="s">
        <v>1605</v>
      </c>
      <c r="E649" s="1">
        <v>20.9482443</v>
      </c>
      <c r="F649" s="1">
        <v>72.95573929999999</v>
      </c>
      <c r="G649" s="1" t="s">
        <v>54</v>
      </c>
      <c r="H649" s="1" t="s">
        <v>55</v>
      </c>
      <c r="J649" s="1" t="s">
        <v>56</v>
      </c>
      <c r="K649" s="1" t="s">
        <v>26</v>
      </c>
      <c r="L649" s="1" t="s">
        <v>27</v>
      </c>
      <c r="N649" s="1" t="s">
        <v>216</v>
      </c>
      <c r="O649" s="1" t="s">
        <v>57</v>
      </c>
      <c r="P649" s="1" t="s">
        <v>243</v>
      </c>
      <c r="Q649" s="1" t="s">
        <v>244</v>
      </c>
      <c r="R649" s="1">
        <v>0.0</v>
      </c>
      <c r="S649" s="1"/>
    </row>
    <row r="650" ht="15.75" customHeight="1">
      <c r="A650" s="1" t="s">
        <v>1606</v>
      </c>
      <c r="B650" s="1" t="s">
        <v>1607</v>
      </c>
      <c r="C650" s="1" t="s">
        <v>1516</v>
      </c>
      <c r="E650" s="1">
        <v>22.2750982</v>
      </c>
      <c r="F650" s="1">
        <v>70.7787278</v>
      </c>
      <c r="G650" s="1" t="s">
        <v>54</v>
      </c>
      <c r="H650" s="1" t="s">
        <v>55</v>
      </c>
      <c r="J650" s="1" t="s">
        <v>221</v>
      </c>
      <c r="K650" s="1" t="s">
        <v>26</v>
      </c>
      <c r="L650" s="1" t="s">
        <v>27</v>
      </c>
      <c r="N650" s="1" t="s">
        <v>216</v>
      </c>
      <c r="O650" s="1" t="s">
        <v>57</v>
      </c>
      <c r="P650" s="1" t="s">
        <v>243</v>
      </c>
      <c r="Q650" s="1" t="s">
        <v>244</v>
      </c>
      <c r="R650" s="1">
        <v>0.0</v>
      </c>
      <c r="S650" s="1"/>
    </row>
    <row r="651" ht="15.75" customHeight="1">
      <c r="A651" s="1" t="s">
        <v>1608</v>
      </c>
      <c r="B651" s="1" t="s">
        <v>1609</v>
      </c>
      <c r="C651" s="1" t="s">
        <v>1459</v>
      </c>
      <c r="E651" s="1">
        <v>20.3675529</v>
      </c>
      <c r="F651" s="1">
        <v>72.9245378</v>
      </c>
      <c r="G651" s="1" t="s">
        <v>54</v>
      </c>
      <c r="H651" s="1" t="s">
        <v>55</v>
      </c>
      <c r="J651" s="1" t="s">
        <v>56</v>
      </c>
      <c r="K651" s="1" t="s">
        <v>26</v>
      </c>
      <c r="L651" s="1" t="s">
        <v>27</v>
      </c>
      <c r="N651" s="1" t="s">
        <v>216</v>
      </c>
      <c r="O651" s="1" t="s">
        <v>57</v>
      </c>
      <c r="P651" s="1" t="s">
        <v>243</v>
      </c>
      <c r="Q651" s="1" t="s">
        <v>244</v>
      </c>
      <c r="R651" s="1">
        <v>0.0</v>
      </c>
      <c r="S651" s="1"/>
    </row>
    <row r="652" ht="15.75" customHeight="1">
      <c r="A652" s="1" t="s">
        <v>1610</v>
      </c>
      <c r="B652" s="1" t="s">
        <v>1611</v>
      </c>
      <c r="C652" s="1" t="s">
        <v>142</v>
      </c>
      <c r="E652" s="1">
        <v>19.690255</v>
      </c>
      <c r="F652" s="1">
        <v>72.7583942</v>
      </c>
      <c r="G652" s="1" t="s">
        <v>54</v>
      </c>
      <c r="H652" s="1" t="s">
        <v>55</v>
      </c>
      <c r="J652" s="1" t="s">
        <v>56</v>
      </c>
      <c r="K652" s="1" t="s">
        <v>26</v>
      </c>
      <c r="L652" s="1" t="s">
        <v>27</v>
      </c>
      <c r="N652" s="1" t="s">
        <v>143</v>
      </c>
      <c r="O652" s="1" t="s">
        <v>57</v>
      </c>
      <c r="P652" s="1" t="s">
        <v>144</v>
      </c>
      <c r="Q652" s="1" t="s">
        <v>145</v>
      </c>
      <c r="R652" s="1">
        <v>0.0</v>
      </c>
      <c r="S652" s="1"/>
    </row>
    <row r="653" ht="15.75" customHeight="1">
      <c r="A653" s="1" t="s">
        <v>1612</v>
      </c>
      <c r="B653" s="1" t="s">
        <v>1613</v>
      </c>
      <c r="C653" s="1" t="s">
        <v>1614</v>
      </c>
      <c r="E653" s="1">
        <v>23.2548747</v>
      </c>
      <c r="F653" s="1">
        <v>69.640575</v>
      </c>
      <c r="G653" s="1" t="s">
        <v>54</v>
      </c>
      <c r="H653" s="1" t="s">
        <v>55</v>
      </c>
      <c r="J653" s="1" t="s">
        <v>56</v>
      </c>
      <c r="K653" s="1" t="s">
        <v>26</v>
      </c>
      <c r="L653" s="1" t="s">
        <v>27</v>
      </c>
      <c r="N653" s="1" t="s">
        <v>216</v>
      </c>
      <c r="O653" s="1" t="s">
        <v>57</v>
      </c>
      <c r="P653" s="1" t="s">
        <v>243</v>
      </c>
      <c r="Q653" s="1" t="s">
        <v>244</v>
      </c>
      <c r="R653" s="1">
        <v>0.0</v>
      </c>
      <c r="S653" s="1"/>
    </row>
    <row r="654" ht="15.75" customHeight="1">
      <c r="A654" s="1" t="s">
        <v>1615</v>
      </c>
      <c r="B654" s="1" t="s">
        <v>1616</v>
      </c>
      <c r="C654" s="1" t="s">
        <v>1617</v>
      </c>
      <c r="E654" s="1">
        <v>23.5919846</v>
      </c>
      <c r="F654" s="1">
        <v>72.3788807</v>
      </c>
      <c r="G654" s="1" t="s">
        <v>54</v>
      </c>
      <c r="H654" s="1" t="s">
        <v>55</v>
      </c>
      <c r="J654" s="1" t="s">
        <v>56</v>
      </c>
      <c r="K654" s="1" t="s">
        <v>26</v>
      </c>
      <c r="L654" s="1" t="s">
        <v>27</v>
      </c>
      <c r="N654" s="1" t="s">
        <v>216</v>
      </c>
      <c r="O654" s="1" t="s">
        <v>57</v>
      </c>
      <c r="P654" s="1" t="s">
        <v>243</v>
      </c>
      <c r="Q654" s="1" t="s">
        <v>244</v>
      </c>
      <c r="R654" s="1">
        <v>0.0</v>
      </c>
      <c r="S654" s="1"/>
    </row>
    <row r="655" ht="15.75" customHeight="1">
      <c r="A655" s="1" t="s">
        <v>1618</v>
      </c>
      <c r="B655" s="1" t="s">
        <v>1619</v>
      </c>
      <c r="C655" s="1" t="s">
        <v>446</v>
      </c>
      <c r="E655" s="1">
        <v>22.3187668</v>
      </c>
      <c r="F655" s="1">
        <v>73.1209909</v>
      </c>
      <c r="G655" s="1" t="s">
        <v>54</v>
      </c>
      <c r="H655" s="1" t="s">
        <v>55</v>
      </c>
      <c r="J655" s="1" t="s">
        <v>56</v>
      </c>
      <c r="K655" s="1" t="s">
        <v>26</v>
      </c>
      <c r="L655" s="1" t="s">
        <v>27</v>
      </c>
      <c r="N655" s="1" t="s">
        <v>216</v>
      </c>
      <c r="O655" s="1" t="s">
        <v>57</v>
      </c>
      <c r="P655" s="1" t="s">
        <v>243</v>
      </c>
      <c r="Q655" s="1" t="s">
        <v>244</v>
      </c>
      <c r="R655" s="1">
        <v>1.0</v>
      </c>
      <c r="S655" s="1"/>
    </row>
    <row r="656" ht="15.75" customHeight="1">
      <c r="A656" s="1" t="s">
        <v>1620</v>
      </c>
      <c r="B656" s="1" t="s">
        <v>1621</v>
      </c>
      <c r="C656" s="1" t="s">
        <v>174</v>
      </c>
      <c r="E656" s="1">
        <v>24.1854724</v>
      </c>
      <c r="F656" s="1">
        <v>72.4220114</v>
      </c>
      <c r="G656" s="1" t="s">
        <v>54</v>
      </c>
      <c r="H656" s="1" t="s">
        <v>55</v>
      </c>
      <c r="J656" s="1" t="s">
        <v>221</v>
      </c>
      <c r="K656" s="1" t="s">
        <v>26</v>
      </c>
      <c r="L656" s="1" t="s">
        <v>27</v>
      </c>
      <c r="N656" s="1" t="s">
        <v>174</v>
      </c>
      <c r="O656" s="1" t="s">
        <v>57</v>
      </c>
      <c r="P656" s="1" t="s">
        <v>243</v>
      </c>
      <c r="Q656" s="1" t="s">
        <v>244</v>
      </c>
      <c r="R656" s="1">
        <v>0.0</v>
      </c>
      <c r="S656" s="1"/>
    </row>
    <row r="657" ht="15.75" customHeight="1">
      <c r="A657" s="1" t="s">
        <v>1622</v>
      </c>
      <c r="B657" s="1" t="s">
        <v>1623</v>
      </c>
      <c r="C657" s="1" t="s">
        <v>1624</v>
      </c>
      <c r="E657" s="1">
        <v>22.7198435</v>
      </c>
      <c r="F657" s="1">
        <v>71.6555717</v>
      </c>
      <c r="G657" s="1" t="s">
        <v>54</v>
      </c>
      <c r="H657" s="1" t="s">
        <v>55</v>
      </c>
      <c r="J657" s="1" t="s">
        <v>221</v>
      </c>
      <c r="K657" s="1" t="s">
        <v>26</v>
      </c>
      <c r="L657" s="1" t="s">
        <v>27</v>
      </c>
      <c r="N657" s="1" t="s">
        <v>216</v>
      </c>
      <c r="O657" s="1" t="s">
        <v>57</v>
      </c>
      <c r="P657" s="1" t="s">
        <v>243</v>
      </c>
      <c r="Q657" s="1" t="s">
        <v>244</v>
      </c>
      <c r="R657" s="1">
        <v>0.0</v>
      </c>
      <c r="S657" s="1"/>
    </row>
    <row r="658" ht="15.75" customHeight="1">
      <c r="A658" s="1" t="s">
        <v>1625</v>
      </c>
      <c r="B658" s="1" t="s">
        <v>1626</v>
      </c>
      <c r="C658" s="1" t="s">
        <v>1516</v>
      </c>
      <c r="E658" s="1">
        <v>22.310111</v>
      </c>
      <c r="F658" s="1">
        <v>70.8233893</v>
      </c>
      <c r="G658" s="1" t="s">
        <v>54</v>
      </c>
      <c r="H658" s="1" t="s">
        <v>55</v>
      </c>
      <c r="J658" s="1" t="s">
        <v>56</v>
      </c>
      <c r="K658" s="1" t="s">
        <v>26</v>
      </c>
      <c r="L658" s="1" t="s">
        <v>27</v>
      </c>
      <c r="N658" s="1" t="s">
        <v>216</v>
      </c>
      <c r="O658" s="1" t="s">
        <v>57</v>
      </c>
      <c r="P658" s="1" t="s">
        <v>243</v>
      </c>
      <c r="Q658" s="1" t="s">
        <v>244</v>
      </c>
      <c r="R658" s="1">
        <v>0.0</v>
      </c>
      <c r="S658" s="1"/>
    </row>
    <row r="659" ht="15.75" customHeight="1">
      <c r="A659" s="1" t="s">
        <v>1627</v>
      </c>
      <c r="B659" s="1" t="s">
        <v>1628</v>
      </c>
      <c r="C659" s="1" t="s">
        <v>1588</v>
      </c>
      <c r="E659" s="1">
        <v>21.7306675</v>
      </c>
      <c r="F659" s="1">
        <v>73.04969419999999</v>
      </c>
      <c r="G659" s="1" t="s">
        <v>54</v>
      </c>
      <c r="H659" s="1" t="s">
        <v>55</v>
      </c>
      <c r="J659" s="1" t="s">
        <v>56</v>
      </c>
      <c r="K659" s="1" t="s">
        <v>26</v>
      </c>
      <c r="L659" s="1" t="s">
        <v>27</v>
      </c>
      <c r="N659" s="1" t="s">
        <v>216</v>
      </c>
      <c r="O659" s="1" t="s">
        <v>57</v>
      </c>
      <c r="P659" s="1" t="s">
        <v>243</v>
      </c>
      <c r="Q659" s="1" t="s">
        <v>244</v>
      </c>
      <c r="R659" s="1">
        <v>0.0</v>
      </c>
      <c r="S659" s="1"/>
    </row>
    <row r="660" ht="15.75" customHeight="1">
      <c r="A660" s="1" t="s">
        <v>1629</v>
      </c>
      <c r="B660" s="1" t="s">
        <v>1630</v>
      </c>
      <c r="C660" s="1" t="s">
        <v>1631</v>
      </c>
      <c r="E660" s="1">
        <v>22.7970404</v>
      </c>
      <c r="F660" s="1">
        <v>70.812016</v>
      </c>
      <c r="G660" s="1" t="s">
        <v>54</v>
      </c>
      <c r="H660" s="1" t="s">
        <v>55</v>
      </c>
      <c r="J660" s="1" t="s">
        <v>56</v>
      </c>
      <c r="K660" s="1" t="s">
        <v>26</v>
      </c>
      <c r="L660" s="1" t="s">
        <v>27</v>
      </c>
      <c r="N660" s="1" t="s">
        <v>216</v>
      </c>
      <c r="O660" s="1" t="s">
        <v>57</v>
      </c>
      <c r="P660" s="1" t="s">
        <v>243</v>
      </c>
      <c r="Q660" s="1" t="s">
        <v>244</v>
      </c>
      <c r="R660" s="1">
        <v>0.0</v>
      </c>
      <c r="S660" s="1"/>
    </row>
    <row r="661" ht="15.75" customHeight="1">
      <c r="A661" s="1" t="s">
        <v>1632</v>
      </c>
      <c r="B661" s="1" t="s">
        <v>1633</v>
      </c>
      <c r="C661" s="1" t="s">
        <v>1634</v>
      </c>
      <c r="E661" s="1">
        <v>21.5233709</v>
      </c>
      <c r="F661" s="1">
        <v>70.435673</v>
      </c>
      <c r="G661" s="1" t="s">
        <v>54</v>
      </c>
      <c r="H661" s="1" t="s">
        <v>55</v>
      </c>
      <c r="J661" s="1" t="s">
        <v>56</v>
      </c>
      <c r="K661" s="1" t="s">
        <v>26</v>
      </c>
      <c r="L661" s="1" t="s">
        <v>27</v>
      </c>
      <c r="N661" s="1" t="s">
        <v>216</v>
      </c>
      <c r="O661" s="1" t="s">
        <v>57</v>
      </c>
      <c r="P661" s="1" t="s">
        <v>243</v>
      </c>
      <c r="Q661" s="1" t="s">
        <v>244</v>
      </c>
      <c r="R661" s="1">
        <v>0.0</v>
      </c>
      <c r="S661" s="1"/>
    </row>
    <row r="662" ht="15.75" customHeight="1">
      <c r="A662" s="1" t="s">
        <v>1635</v>
      </c>
      <c r="B662" s="1" t="s">
        <v>1636</v>
      </c>
      <c r="C662" s="1" t="s">
        <v>142</v>
      </c>
      <c r="E662" s="1">
        <v>19.2291104</v>
      </c>
      <c r="F662" s="1">
        <v>73.16477</v>
      </c>
      <c r="G662" s="1" t="s">
        <v>54</v>
      </c>
      <c r="H662" s="1" t="s">
        <v>55</v>
      </c>
      <c r="J662" s="1" t="s">
        <v>56</v>
      </c>
      <c r="K662" s="1" t="s">
        <v>26</v>
      </c>
      <c r="L662" s="1" t="s">
        <v>27</v>
      </c>
      <c r="N662" s="1" t="s">
        <v>143</v>
      </c>
      <c r="O662" s="1" t="s">
        <v>57</v>
      </c>
      <c r="P662" s="1" t="s">
        <v>144</v>
      </c>
      <c r="Q662" s="1" t="s">
        <v>145</v>
      </c>
      <c r="R662" s="1">
        <v>0.0</v>
      </c>
      <c r="S662" s="1"/>
    </row>
    <row r="663" ht="15.75" customHeight="1">
      <c r="A663" s="1" t="s">
        <v>1637</v>
      </c>
      <c r="B663" s="1" t="s">
        <v>1638</v>
      </c>
      <c r="C663" s="1" t="s">
        <v>1516</v>
      </c>
      <c r="E663" s="1">
        <v>22.2930779</v>
      </c>
      <c r="F663" s="1">
        <v>70.8000801</v>
      </c>
      <c r="G663" s="1" t="s">
        <v>54</v>
      </c>
      <c r="H663" s="1" t="s">
        <v>55</v>
      </c>
      <c r="J663" s="1" t="s">
        <v>56</v>
      </c>
      <c r="K663" s="1" t="s">
        <v>26</v>
      </c>
      <c r="L663" s="1" t="s">
        <v>27</v>
      </c>
      <c r="N663" s="1" t="s">
        <v>216</v>
      </c>
      <c r="O663" s="1" t="s">
        <v>57</v>
      </c>
      <c r="P663" s="1" t="s">
        <v>243</v>
      </c>
      <c r="Q663" s="1" t="s">
        <v>244</v>
      </c>
      <c r="R663" s="1">
        <v>0.0</v>
      </c>
      <c r="S663" s="1"/>
    </row>
    <row r="664" ht="15.75" customHeight="1">
      <c r="A664" s="1" t="s">
        <v>1639</v>
      </c>
      <c r="B664" s="1" t="s">
        <v>1640</v>
      </c>
      <c r="C664" s="1" t="s">
        <v>1641</v>
      </c>
      <c r="E664" s="1">
        <v>21.1591818</v>
      </c>
      <c r="F664" s="1">
        <v>73.084795</v>
      </c>
      <c r="G664" s="1" t="s">
        <v>54</v>
      </c>
      <c r="H664" s="1" t="s">
        <v>55</v>
      </c>
      <c r="J664" s="1" t="s">
        <v>221</v>
      </c>
      <c r="K664" s="1" t="s">
        <v>26</v>
      </c>
      <c r="L664" s="1" t="s">
        <v>27</v>
      </c>
      <c r="N664" s="1" t="s">
        <v>216</v>
      </c>
      <c r="O664" s="1" t="s">
        <v>57</v>
      </c>
      <c r="P664" s="1" t="s">
        <v>243</v>
      </c>
      <c r="Q664" s="1" t="s">
        <v>244</v>
      </c>
      <c r="R664" s="1">
        <v>0.0</v>
      </c>
      <c r="S664" s="1"/>
    </row>
    <row r="665" ht="15.75" customHeight="1">
      <c r="A665" s="1" t="s">
        <v>1642</v>
      </c>
      <c r="B665" s="1" t="s">
        <v>1643</v>
      </c>
      <c r="C665" s="1" t="s">
        <v>1644</v>
      </c>
      <c r="E665" s="1">
        <v>21.640774</v>
      </c>
      <c r="F665" s="1">
        <v>69.62707739999999</v>
      </c>
      <c r="G665" s="1" t="s">
        <v>54</v>
      </c>
      <c r="H665" s="1" t="s">
        <v>55</v>
      </c>
      <c r="J665" s="1" t="s">
        <v>221</v>
      </c>
      <c r="K665" s="1" t="s">
        <v>26</v>
      </c>
      <c r="L665" s="1" t="s">
        <v>27</v>
      </c>
      <c r="N665" s="1" t="s">
        <v>216</v>
      </c>
      <c r="O665" s="1" t="s">
        <v>57</v>
      </c>
      <c r="P665" s="1" t="s">
        <v>243</v>
      </c>
      <c r="Q665" s="1" t="s">
        <v>244</v>
      </c>
      <c r="R665" s="1">
        <v>0.0</v>
      </c>
      <c r="S665" s="1"/>
    </row>
    <row r="666" ht="15.75" customHeight="1">
      <c r="A666" s="1" t="s">
        <v>1645</v>
      </c>
      <c r="B666" s="1" t="s">
        <v>1646</v>
      </c>
      <c r="C666" s="1" t="s">
        <v>142</v>
      </c>
      <c r="E666" s="1">
        <v>19.4038716</v>
      </c>
      <c r="F666" s="1">
        <v>72.8471567</v>
      </c>
      <c r="G666" s="1" t="s">
        <v>54</v>
      </c>
      <c r="H666" s="1" t="s">
        <v>55</v>
      </c>
      <c r="J666" s="1" t="s">
        <v>56</v>
      </c>
      <c r="K666" s="1" t="s">
        <v>26</v>
      </c>
      <c r="L666" s="1" t="s">
        <v>27</v>
      </c>
      <c r="N666" s="1" t="s">
        <v>143</v>
      </c>
      <c r="O666" s="1" t="s">
        <v>57</v>
      </c>
      <c r="P666" s="1" t="s">
        <v>144</v>
      </c>
      <c r="Q666" s="1" t="s">
        <v>145</v>
      </c>
      <c r="R666" s="1">
        <v>0.0</v>
      </c>
      <c r="S666" s="1"/>
    </row>
    <row r="667" ht="15.75" customHeight="1">
      <c r="A667" s="1" t="s">
        <v>1647</v>
      </c>
      <c r="B667" s="1" t="s">
        <v>1648</v>
      </c>
      <c r="C667" s="1" t="s">
        <v>1649</v>
      </c>
      <c r="E667" s="1">
        <v>23.8354522</v>
      </c>
      <c r="F667" s="1">
        <v>72.1231796</v>
      </c>
      <c r="G667" s="1" t="s">
        <v>54</v>
      </c>
      <c r="H667" s="1" t="s">
        <v>55</v>
      </c>
      <c r="J667" s="1" t="s">
        <v>56</v>
      </c>
      <c r="K667" s="1" t="s">
        <v>26</v>
      </c>
      <c r="L667" s="1" t="s">
        <v>27</v>
      </c>
      <c r="N667" s="1" t="s">
        <v>216</v>
      </c>
      <c r="O667" s="1" t="s">
        <v>57</v>
      </c>
      <c r="P667" s="1" t="s">
        <v>243</v>
      </c>
      <c r="Q667" s="1" t="s">
        <v>244</v>
      </c>
      <c r="R667" s="1">
        <v>0.0</v>
      </c>
      <c r="S667" s="1"/>
    </row>
    <row r="668" ht="15.75" customHeight="1">
      <c r="A668" s="1" t="s">
        <v>1650</v>
      </c>
      <c r="B668" s="1" t="s">
        <v>1651</v>
      </c>
      <c r="C668" s="1" t="s">
        <v>1652</v>
      </c>
      <c r="E668" s="1">
        <v>21.6021198</v>
      </c>
      <c r="F668" s="1">
        <v>71.2179091</v>
      </c>
      <c r="G668" s="1" t="s">
        <v>54</v>
      </c>
      <c r="H668" s="1" t="s">
        <v>55</v>
      </c>
      <c r="J668" s="1" t="s">
        <v>56</v>
      </c>
      <c r="K668" s="1" t="s">
        <v>26</v>
      </c>
      <c r="L668" s="1" t="s">
        <v>27</v>
      </c>
      <c r="N668" s="1" t="s">
        <v>216</v>
      </c>
      <c r="O668" s="1" t="s">
        <v>57</v>
      </c>
      <c r="P668" s="1" t="s">
        <v>243</v>
      </c>
      <c r="Q668" s="1" t="s">
        <v>244</v>
      </c>
      <c r="R668" s="1">
        <v>0.0</v>
      </c>
      <c r="S668" s="1"/>
    </row>
    <row r="669" ht="15.75" customHeight="1">
      <c r="A669" s="1" t="s">
        <v>1653</v>
      </c>
      <c r="B669" s="1" t="s">
        <v>1654</v>
      </c>
      <c r="C669" s="1" t="s">
        <v>1573</v>
      </c>
      <c r="E669" s="1">
        <v>22.4261827</v>
      </c>
      <c r="F669" s="1">
        <v>70.0661361</v>
      </c>
      <c r="G669" s="1" t="s">
        <v>54</v>
      </c>
      <c r="H669" s="1" t="s">
        <v>55</v>
      </c>
      <c r="J669" s="1" t="s">
        <v>56</v>
      </c>
      <c r="K669" s="1" t="s">
        <v>26</v>
      </c>
      <c r="L669" s="1" t="s">
        <v>27</v>
      </c>
      <c r="N669" s="1" t="s">
        <v>216</v>
      </c>
      <c r="O669" s="1" t="s">
        <v>57</v>
      </c>
      <c r="P669" s="1" t="s">
        <v>243</v>
      </c>
      <c r="Q669" s="1" t="s">
        <v>244</v>
      </c>
      <c r="R669" s="1">
        <v>0.0</v>
      </c>
      <c r="S669" s="1"/>
    </row>
    <row r="670" ht="15.75" customHeight="1">
      <c r="A670" s="1" t="s">
        <v>1655</v>
      </c>
      <c r="B670" s="1" t="s">
        <v>1656</v>
      </c>
      <c r="C670" s="1" t="s">
        <v>1605</v>
      </c>
      <c r="E670" s="1">
        <v>20.7635365</v>
      </c>
      <c r="F670" s="1">
        <v>73.05811779999999</v>
      </c>
      <c r="G670" s="1" t="s">
        <v>54</v>
      </c>
      <c r="H670" s="1" t="s">
        <v>55</v>
      </c>
      <c r="J670" s="1" t="s">
        <v>221</v>
      </c>
      <c r="K670" s="1" t="s">
        <v>26</v>
      </c>
      <c r="L670" s="1" t="s">
        <v>27</v>
      </c>
      <c r="N670" s="1" t="s">
        <v>216</v>
      </c>
      <c r="O670" s="1" t="s">
        <v>57</v>
      </c>
      <c r="P670" s="1" t="s">
        <v>243</v>
      </c>
      <c r="Q670" s="1" t="s">
        <v>244</v>
      </c>
      <c r="R670" s="1">
        <v>0.0</v>
      </c>
      <c r="S670" s="1"/>
    </row>
    <row r="671" ht="15.75" customHeight="1">
      <c r="A671" s="1" t="s">
        <v>1657</v>
      </c>
      <c r="B671" s="1" t="s">
        <v>1658</v>
      </c>
      <c r="C671" s="1" t="s">
        <v>1659</v>
      </c>
      <c r="E671" s="1">
        <v>23.5809908</v>
      </c>
      <c r="F671" s="1">
        <v>72.958129</v>
      </c>
      <c r="G671" s="1" t="s">
        <v>54</v>
      </c>
      <c r="H671" s="1" t="s">
        <v>55</v>
      </c>
      <c r="J671" s="1" t="s">
        <v>221</v>
      </c>
      <c r="K671" s="1" t="s">
        <v>26</v>
      </c>
      <c r="L671" s="1" t="s">
        <v>27</v>
      </c>
      <c r="N671" s="1" t="s">
        <v>216</v>
      </c>
      <c r="O671" s="1" t="s">
        <v>57</v>
      </c>
      <c r="P671" s="1" t="s">
        <v>243</v>
      </c>
      <c r="Q671" s="1" t="s">
        <v>244</v>
      </c>
      <c r="R671" s="1">
        <v>0.0</v>
      </c>
      <c r="S671" s="1"/>
    </row>
    <row r="672" ht="15.75" customHeight="1">
      <c r="A672" s="1" t="s">
        <v>1660</v>
      </c>
      <c r="B672" s="1" t="s">
        <v>1661</v>
      </c>
      <c r="C672" s="1" t="s">
        <v>1516</v>
      </c>
      <c r="E672" s="1">
        <v>22.3212253</v>
      </c>
      <c r="F672" s="1">
        <v>70.767226</v>
      </c>
      <c r="G672" s="1" t="s">
        <v>54</v>
      </c>
      <c r="H672" s="1" t="s">
        <v>55</v>
      </c>
      <c r="J672" s="1" t="s">
        <v>56</v>
      </c>
      <c r="K672" s="1" t="s">
        <v>26</v>
      </c>
      <c r="L672" s="1" t="s">
        <v>27</v>
      </c>
      <c r="N672" s="1" t="s">
        <v>216</v>
      </c>
      <c r="O672" s="1" t="s">
        <v>57</v>
      </c>
      <c r="P672" s="1" t="s">
        <v>243</v>
      </c>
      <c r="Q672" s="1" t="s">
        <v>244</v>
      </c>
      <c r="R672" s="1">
        <v>0.0</v>
      </c>
      <c r="S672" s="1"/>
    </row>
    <row r="673" ht="15.75" customHeight="1">
      <c r="A673" s="1" t="s">
        <v>1662</v>
      </c>
      <c r="B673" s="1" t="s">
        <v>1663</v>
      </c>
      <c r="C673" s="1" t="s">
        <v>1516</v>
      </c>
      <c r="E673" s="1">
        <v>22.2523039</v>
      </c>
      <c r="F673" s="1">
        <v>70.7896943</v>
      </c>
      <c r="G673" s="1" t="s">
        <v>54</v>
      </c>
      <c r="H673" s="1" t="s">
        <v>55</v>
      </c>
      <c r="J673" s="1" t="s">
        <v>221</v>
      </c>
      <c r="P673" s="1" t="s">
        <v>243</v>
      </c>
      <c r="Q673" s="1" t="s">
        <v>244</v>
      </c>
      <c r="R673" s="1">
        <v>0.0</v>
      </c>
      <c r="S673" s="1"/>
    </row>
    <row r="674" ht="15.75" customHeight="1">
      <c r="A674" s="1" t="s">
        <v>1664</v>
      </c>
      <c r="B674" s="1" t="s">
        <v>1665</v>
      </c>
      <c r="C674" s="1" t="s">
        <v>617</v>
      </c>
      <c r="E674" s="1">
        <v>26.8624272</v>
      </c>
      <c r="F674" s="1">
        <v>81.0377083</v>
      </c>
      <c r="G674" s="1" t="s">
        <v>97</v>
      </c>
      <c r="H674" s="1" t="s">
        <v>98</v>
      </c>
      <c r="J674" s="1" t="s">
        <v>56</v>
      </c>
      <c r="K674" s="1" t="s">
        <v>99</v>
      </c>
      <c r="L674" s="1" t="s">
        <v>27</v>
      </c>
      <c r="N674" s="1" t="s">
        <v>28</v>
      </c>
      <c r="O674" s="1" t="s">
        <v>29</v>
      </c>
      <c r="P674" s="1" t="s">
        <v>1666</v>
      </c>
      <c r="Q674" s="1" t="s">
        <v>1667</v>
      </c>
      <c r="R674" s="1">
        <v>13.0</v>
      </c>
      <c r="S674" s="1"/>
    </row>
    <row r="675" ht="15.75" customHeight="1">
      <c r="A675" s="1" t="s">
        <v>1668</v>
      </c>
      <c r="B675" s="1" t="s">
        <v>1669</v>
      </c>
      <c r="C675" s="1" t="s">
        <v>115</v>
      </c>
      <c r="E675" s="1">
        <v>31.6297558</v>
      </c>
      <c r="F675" s="1">
        <v>74.8759343</v>
      </c>
      <c r="G675" s="1" t="s">
        <v>97</v>
      </c>
      <c r="H675" s="1" t="s">
        <v>98</v>
      </c>
      <c r="J675" s="1" t="s">
        <v>44</v>
      </c>
      <c r="K675" s="1" t="s">
        <v>99</v>
      </c>
      <c r="L675" s="1" t="s">
        <v>27</v>
      </c>
      <c r="N675" s="1" t="s">
        <v>123</v>
      </c>
      <c r="O675" s="1" t="s">
        <v>29</v>
      </c>
      <c r="R675" s="1">
        <v>6.0</v>
      </c>
      <c r="S675" s="1"/>
    </row>
    <row r="676" ht="15.75" customHeight="1">
      <c r="A676" s="1" t="s">
        <v>1670</v>
      </c>
      <c r="B676" s="1" t="s">
        <v>1671</v>
      </c>
      <c r="C676" s="1" t="s">
        <v>617</v>
      </c>
      <c r="E676" s="1">
        <v>26.8732963</v>
      </c>
      <c r="F676" s="1">
        <v>80.991919</v>
      </c>
      <c r="G676" s="1" t="s">
        <v>97</v>
      </c>
      <c r="H676" s="1" t="s">
        <v>98</v>
      </c>
      <c r="J676" s="1" t="s">
        <v>56</v>
      </c>
      <c r="P676" s="1" t="s">
        <v>1666</v>
      </c>
      <c r="Q676" s="1" t="s">
        <v>1667</v>
      </c>
      <c r="R676" s="1">
        <v>13.0</v>
      </c>
      <c r="S676" s="1"/>
    </row>
    <row r="677" ht="15.75" customHeight="1">
      <c r="A677" s="1" t="s">
        <v>1672</v>
      </c>
      <c r="B677" s="1" t="s">
        <v>1673</v>
      </c>
      <c r="C677" s="1" t="s">
        <v>617</v>
      </c>
      <c r="E677" s="1">
        <v>26.754603</v>
      </c>
      <c r="F677" s="1">
        <v>80.8684705</v>
      </c>
      <c r="G677" s="1" t="s">
        <v>97</v>
      </c>
      <c r="H677" s="1" t="s">
        <v>98</v>
      </c>
      <c r="J677" s="1" t="s">
        <v>118</v>
      </c>
      <c r="P677" s="1" t="s">
        <v>1666</v>
      </c>
      <c r="Q677" s="1" t="s">
        <v>1667</v>
      </c>
      <c r="R677" s="1">
        <v>4.0</v>
      </c>
      <c r="S677" s="1"/>
    </row>
    <row r="678" ht="15.75" customHeight="1">
      <c r="A678" s="1" t="s">
        <v>1674</v>
      </c>
      <c r="B678" s="1" t="s">
        <v>1675</v>
      </c>
      <c r="C678" s="1" t="s">
        <v>617</v>
      </c>
      <c r="E678" s="1">
        <v>26.852749</v>
      </c>
      <c r="F678" s="1">
        <v>81.003061</v>
      </c>
      <c r="G678" s="1" t="s">
        <v>1676</v>
      </c>
      <c r="H678" s="1" t="s">
        <v>1677</v>
      </c>
      <c r="I678" s="1" t="s">
        <v>24</v>
      </c>
      <c r="J678" s="1" t="s">
        <v>1678</v>
      </c>
      <c r="P678" s="1" t="s">
        <v>1666</v>
      </c>
      <c r="Q678" s="1" t="s">
        <v>1667</v>
      </c>
      <c r="R678" s="1">
        <v>9.0</v>
      </c>
      <c r="S678" s="1"/>
    </row>
    <row r="679" ht="15.75" customHeight="1">
      <c r="A679" s="1" t="s">
        <v>1679</v>
      </c>
      <c r="B679" s="1" t="s">
        <v>1680</v>
      </c>
      <c r="C679" s="1" t="s">
        <v>115</v>
      </c>
      <c r="E679" s="1">
        <v>31.8598978</v>
      </c>
      <c r="F679" s="1">
        <v>74.95389349999999</v>
      </c>
      <c r="G679" s="1" t="s">
        <v>97</v>
      </c>
      <c r="H679" s="1" t="s">
        <v>98</v>
      </c>
      <c r="J679" s="1" t="s">
        <v>25</v>
      </c>
      <c r="K679" s="1" t="s">
        <v>99</v>
      </c>
      <c r="L679" s="1" t="s">
        <v>27</v>
      </c>
      <c r="N679" s="1" t="s">
        <v>123</v>
      </c>
      <c r="O679" s="1" t="s">
        <v>29</v>
      </c>
      <c r="R679" s="1">
        <v>6.0</v>
      </c>
      <c r="S679" s="1"/>
    </row>
    <row r="680" ht="15.75" customHeight="1">
      <c r="A680" s="1" t="s">
        <v>1681</v>
      </c>
      <c r="B680" s="1" t="s">
        <v>1682</v>
      </c>
      <c r="C680" s="1" t="s">
        <v>115</v>
      </c>
      <c r="E680" s="1">
        <v>31.22061699999999</v>
      </c>
      <c r="F680" s="1">
        <v>75.771121</v>
      </c>
      <c r="G680" s="1" t="s">
        <v>97</v>
      </c>
      <c r="H680" s="1" t="s">
        <v>98</v>
      </c>
      <c r="J680" s="1" t="s">
        <v>25</v>
      </c>
      <c r="R680" s="1">
        <v>12.0</v>
      </c>
      <c r="S680" s="1"/>
    </row>
    <row r="681" ht="15.75" customHeight="1">
      <c r="A681" s="1" t="s">
        <v>1683</v>
      </c>
      <c r="B681" s="1" t="s">
        <v>1684</v>
      </c>
      <c r="C681" s="1" t="s">
        <v>115</v>
      </c>
      <c r="E681" s="1">
        <v>31.5401545</v>
      </c>
      <c r="F681" s="1">
        <v>75.236896</v>
      </c>
      <c r="G681" s="1" t="s">
        <v>97</v>
      </c>
      <c r="H681" s="1" t="s">
        <v>98</v>
      </c>
      <c r="J681" s="1" t="s">
        <v>25</v>
      </c>
      <c r="K681" s="1" t="s">
        <v>99</v>
      </c>
      <c r="L681" s="1" t="s">
        <v>27</v>
      </c>
      <c r="N681" s="1" t="s">
        <v>123</v>
      </c>
      <c r="O681" s="1" t="s">
        <v>29</v>
      </c>
      <c r="R681" s="1">
        <v>4.0</v>
      </c>
      <c r="S681" s="1"/>
    </row>
    <row r="682" ht="15.75" customHeight="1">
      <c r="A682" s="1" t="s">
        <v>1685</v>
      </c>
      <c r="B682" s="1" t="s">
        <v>1686</v>
      </c>
      <c r="C682" s="1" t="s">
        <v>617</v>
      </c>
      <c r="E682" s="1">
        <v>26.9018828</v>
      </c>
      <c r="F682" s="1">
        <v>80.955153</v>
      </c>
      <c r="G682" s="1" t="s">
        <v>1676</v>
      </c>
      <c r="H682" s="1" t="s">
        <v>1677</v>
      </c>
      <c r="I682" s="1" t="s">
        <v>24</v>
      </c>
      <c r="J682" s="1" t="s">
        <v>1678</v>
      </c>
      <c r="P682" s="1" t="s">
        <v>1666</v>
      </c>
      <c r="Q682" s="1" t="s">
        <v>1667</v>
      </c>
      <c r="R682" s="1">
        <v>8.0</v>
      </c>
      <c r="S682" s="1"/>
    </row>
    <row r="683" ht="15.75" customHeight="1">
      <c r="A683" s="1" t="s">
        <v>1687</v>
      </c>
      <c r="B683" s="1" t="s">
        <v>1688</v>
      </c>
      <c r="C683" s="1" t="s">
        <v>765</v>
      </c>
      <c r="E683" s="1">
        <v>26.7605482</v>
      </c>
      <c r="F683" s="1">
        <v>83.3729754</v>
      </c>
      <c r="G683" s="1" t="s">
        <v>97</v>
      </c>
      <c r="H683" s="1" t="s">
        <v>98</v>
      </c>
      <c r="J683" s="1" t="s">
        <v>118</v>
      </c>
      <c r="P683" s="1" t="s">
        <v>1666</v>
      </c>
      <c r="Q683" s="1" t="s">
        <v>1667</v>
      </c>
      <c r="R683" s="1">
        <v>1.0</v>
      </c>
      <c r="S683" s="1"/>
    </row>
    <row r="684" ht="15.75" customHeight="1">
      <c r="A684" s="1" t="s">
        <v>1689</v>
      </c>
      <c r="B684" s="1" t="s">
        <v>1690</v>
      </c>
      <c r="C684" s="1" t="s">
        <v>115</v>
      </c>
      <c r="E684" s="1">
        <v>31.2896284</v>
      </c>
      <c r="F684" s="1">
        <v>75.6261461</v>
      </c>
      <c r="G684" s="1" t="s">
        <v>97</v>
      </c>
      <c r="H684" s="1" t="s">
        <v>98</v>
      </c>
      <c r="J684" s="1" t="s">
        <v>56</v>
      </c>
      <c r="R684" s="1">
        <v>3.0</v>
      </c>
      <c r="S684" s="1"/>
    </row>
    <row r="685" ht="15.75" customHeight="1">
      <c r="A685" s="1" t="s">
        <v>1691</v>
      </c>
      <c r="B685" s="1" t="s">
        <v>1692</v>
      </c>
      <c r="C685" s="1" t="s">
        <v>1693</v>
      </c>
      <c r="E685" s="1">
        <v>23.0814809</v>
      </c>
      <c r="F685" s="1">
        <v>88.52915589999999</v>
      </c>
      <c r="G685" s="1" t="s">
        <v>97</v>
      </c>
      <c r="H685" s="1" t="s">
        <v>98</v>
      </c>
      <c r="J685" s="1" t="s">
        <v>56</v>
      </c>
      <c r="P685" s="1" t="s">
        <v>1037</v>
      </c>
      <c r="Q685" s="1" t="s">
        <v>1038</v>
      </c>
      <c r="R685" s="1">
        <v>1.0</v>
      </c>
      <c r="S685" s="1"/>
    </row>
    <row r="686" ht="15.75" customHeight="1">
      <c r="A686" s="1" t="s">
        <v>1694</v>
      </c>
      <c r="B686" s="1" t="s">
        <v>1695</v>
      </c>
      <c r="C686" s="1" t="s">
        <v>115</v>
      </c>
      <c r="E686" s="1">
        <v>30.6668614</v>
      </c>
      <c r="F686" s="1">
        <v>76.29277569999999</v>
      </c>
      <c r="G686" s="1" t="s">
        <v>97</v>
      </c>
      <c r="H686" s="1" t="s">
        <v>98</v>
      </c>
      <c r="J686" s="1" t="s">
        <v>56</v>
      </c>
      <c r="R686" s="1">
        <v>1.0</v>
      </c>
      <c r="S686" s="1"/>
    </row>
    <row r="687" ht="15.75" customHeight="1">
      <c r="A687" s="1" t="s">
        <v>1696</v>
      </c>
      <c r="B687" s="1" t="s">
        <v>1697</v>
      </c>
      <c r="C687" s="1" t="s">
        <v>115</v>
      </c>
      <c r="E687" s="1">
        <v>31.6288532</v>
      </c>
      <c r="F687" s="1">
        <v>74.87671879999999</v>
      </c>
      <c r="G687" s="1" t="s">
        <v>97</v>
      </c>
      <c r="H687" s="1" t="s">
        <v>98</v>
      </c>
      <c r="J687" s="1" t="s">
        <v>118</v>
      </c>
      <c r="K687" s="1" t="s">
        <v>99</v>
      </c>
      <c r="L687" s="1" t="s">
        <v>27</v>
      </c>
      <c r="N687" s="1" t="s">
        <v>123</v>
      </c>
      <c r="O687" s="1" t="s">
        <v>29</v>
      </c>
      <c r="R687" s="1">
        <v>2.0</v>
      </c>
      <c r="S687" s="1"/>
    </row>
    <row r="688" ht="15.75" customHeight="1">
      <c r="A688" s="1" t="s">
        <v>1698</v>
      </c>
      <c r="B688" s="1" t="s">
        <v>1699</v>
      </c>
      <c r="C688" s="1" t="s">
        <v>531</v>
      </c>
      <c r="E688" s="1">
        <v>22.6601266</v>
      </c>
      <c r="F688" s="1">
        <v>88.3835854</v>
      </c>
      <c r="G688" s="1" t="s">
        <v>111</v>
      </c>
      <c r="H688" s="1" t="s">
        <v>112</v>
      </c>
      <c r="I688" s="1" t="s">
        <v>24</v>
      </c>
      <c r="J688" s="1" t="s">
        <v>56</v>
      </c>
      <c r="P688" s="1" t="s">
        <v>533</v>
      </c>
      <c r="Q688" s="1" t="s">
        <v>534</v>
      </c>
      <c r="R688" s="1">
        <v>4.0</v>
      </c>
      <c r="S688" s="1"/>
    </row>
    <row r="689" ht="15.75" customHeight="1">
      <c r="A689" s="1" t="s">
        <v>1700</v>
      </c>
      <c r="B689" s="1" t="s">
        <v>1701</v>
      </c>
      <c r="C689" s="1" t="s">
        <v>115</v>
      </c>
      <c r="E689" s="1">
        <v>31.62868739999999</v>
      </c>
      <c r="F689" s="1">
        <v>74.87686939999999</v>
      </c>
      <c r="G689" s="1" t="s">
        <v>97</v>
      </c>
      <c r="H689" s="1" t="s">
        <v>98</v>
      </c>
      <c r="J689" s="1" t="s">
        <v>56</v>
      </c>
      <c r="R689" s="1">
        <v>2.0</v>
      </c>
      <c r="S689" s="1"/>
    </row>
    <row r="690" ht="15.75" customHeight="1">
      <c r="A690" s="1" t="s">
        <v>1702</v>
      </c>
      <c r="B690" s="1" t="s">
        <v>1703</v>
      </c>
      <c r="C690" s="1" t="s">
        <v>531</v>
      </c>
      <c r="E690" s="1">
        <v>22.4848437</v>
      </c>
      <c r="F690" s="1">
        <v>88.34200129999999</v>
      </c>
      <c r="G690" s="1" t="s">
        <v>97</v>
      </c>
      <c r="H690" s="1" t="s">
        <v>98</v>
      </c>
      <c r="J690" s="1" t="s">
        <v>56</v>
      </c>
      <c r="P690" s="1" t="s">
        <v>533</v>
      </c>
      <c r="Q690" s="1" t="s">
        <v>534</v>
      </c>
      <c r="R690" s="1">
        <v>2.0</v>
      </c>
      <c r="S690" s="1"/>
    </row>
    <row r="691" ht="15.75" customHeight="1">
      <c r="A691" s="1" t="s">
        <v>1704</v>
      </c>
      <c r="B691" s="1" t="s">
        <v>1705</v>
      </c>
      <c r="C691" s="1" t="s">
        <v>162</v>
      </c>
      <c r="E691" s="1">
        <v>28.3499664</v>
      </c>
      <c r="F691" s="1">
        <v>77.32971049999999</v>
      </c>
      <c r="G691" s="1" t="s">
        <v>97</v>
      </c>
      <c r="H691" s="1" t="s">
        <v>98</v>
      </c>
      <c r="J691" s="1" t="s">
        <v>56</v>
      </c>
      <c r="P691" s="1" t="s">
        <v>1706</v>
      </c>
      <c r="Q691" s="1" t="s">
        <v>1707</v>
      </c>
      <c r="R691" s="1">
        <v>4.0</v>
      </c>
      <c r="S691" s="1"/>
    </row>
    <row r="692" ht="15.75" customHeight="1">
      <c r="A692" s="1" t="s">
        <v>1708</v>
      </c>
      <c r="B692" s="1" t="s">
        <v>1709</v>
      </c>
      <c r="C692" s="1" t="s">
        <v>162</v>
      </c>
      <c r="E692" s="1">
        <v>28.3393018</v>
      </c>
      <c r="F692" s="1">
        <v>77.3209201</v>
      </c>
      <c r="G692" s="1" t="s">
        <v>97</v>
      </c>
      <c r="H692" s="1" t="s">
        <v>98</v>
      </c>
      <c r="J692" s="1" t="s">
        <v>118</v>
      </c>
      <c r="P692" s="1" t="s">
        <v>1706</v>
      </c>
      <c r="Q692" s="1" t="s">
        <v>1707</v>
      </c>
      <c r="R692" s="1">
        <v>2.0</v>
      </c>
      <c r="S692" s="1" t="str">
        <f>IFERROR(__xludf.DUMMYFUNCTION("""COMPUTED_VALUE"""),"store_006175")</f>
        <v>store_006175</v>
      </c>
    </row>
    <row r="693" ht="15.75" customHeight="1">
      <c r="A693" s="1" t="s">
        <v>1710</v>
      </c>
      <c r="B693" s="1" t="s">
        <v>1711</v>
      </c>
      <c r="C693" s="1" t="s">
        <v>162</v>
      </c>
      <c r="E693" s="1">
        <v>28.3659648</v>
      </c>
      <c r="F693" s="1">
        <v>77.2817195</v>
      </c>
      <c r="G693" s="1" t="s">
        <v>97</v>
      </c>
      <c r="H693" s="1" t="s">
        <v>98</v>
      </c>
      <c r="J693" s="1" t="s">
        <v>44</v>
      </c>
      <c r="P693" s="1" t="s">
        <v>1706</v>
      </c>
      <c r="Q693" s="1" t="s">
        <v>1707</v>
      </c>
      <c r="R693" s="1">
        <v>2.0</v>
      </c>
      <c r="S693" s="1"/>
    </row>
    <row r="694" ht="15.75" customHeight="1">
      <c r="A694" s="1" t="s">
        <v>1712</v>
      </c>
      <c r="B694" s="1" t="s">
        <v>1713</v>
      </c>
      <c r="C694" s="1" t="s">
        <v>162</v>
      </c>
      <c r="E694" s="1">
        <v>28.3628369</v>
      </c>
      <c r="F694" s="1">
        <v>77.28809609999999</v>
      </c>
      <c r="G694" s="1" t="s">
        <v>97</v>
      </c>
      <c r="H694" s="1" t="s">
        <v>98</v>
      </c>
      <c r="J694" s="1" t="s">
        <v>44</v>
      </c>
      <c r="K694" s="1" t="s">
        <v>99</v>
      </c>
      <c r="L694" s="1" t="s">
        <v>27</v>
      </c>
      <c r="N694" s="1" t="s">
        <v>163</v>
      </c>
      <c r="O694" s="1" t="s">
        <v>29</v>
      </c>
      <c r="P694" s="1" t="s">
        <v>1706</v>
      </c>
      <c r="Q694" s="1" t="s">
        <v>1707</v>
      </c>
      <c r="R694" s="1">
        <v>2.0</v>
      </c>
      <c r="S694" s="1"/>
    </row>
    <row r="695" ht="15.75" customHeight="1">
      <c r="A695" s="1" t="s">
        <v>1714</v>
      </c>
      <c r="B695" s="1" t="s">
        <v>1715</v>
      </c>
      <c r="C695" s="1" t="s">
        <v>1716</v>
      </c>
      <c r="E695" s="1">
        <v>28.3392731</v>
      </c>
      <c r="F695" s="1">
        <v>77.3209049</v>
      </c>
      <c r="G695" s="1" t="s">
        <v>97</v>
      </c>
      <c r="H695" s="1" t="s">
        <v>98</v>
      </c>
      <c r="J695" s="1" t="s">
        <v>25</v>
      </c>
      <c r="K695" s="1" t="s">
        <v>99</v>
      </c>
      <c r="L695" s="1" t="s">
        <v>27</v>
      </c>
      <c r="N695" s="1" t="s">
        <v>163</v>
      </c>
      <c r="O695" s="1" t="s">
        <v>29</v>
      </c>
      <c r="P695" s="1" t="s">
        <v>1717</v>
      </c>
      <c r="Q695" s="1" t="s">
        <v>1718</v>
      </c>
      <c r="R695" s="1">
        <v>1.0</v>
      </c>
      <c r="S695" s="1"/>
    </row>
    <row r="696" ht="15.75" customHeight="1">
      <c r="A696" s="1" t="s">
        <v>1719</v>
      </c>
      <c r="B696" s="1" t="s">
        <v>1720</v>
      </c>
      <c r="C696" s="1" t="s">
        <v>259</v>
      </c>
      <c r="E696" s="1">
        <v>28.4632085</v>
      </c>
      <c r="F696" s="1">
        <v>77.03045589999999</v>
      </c>
      <c r="G696" s="1" t="s">
        <v>97</v>
      </c>
      <c r="H696" s="1" t="s">
        <v>98</v>
      </c>
      <c r="J696" s="1" t="s">
        <v>118</v>
      </c>
      <c r="K696" s="1" t="s">
        <v>99</v>
      </c>
      <c r="L696" s="1" t="s">
        <v>27</v>
      </c>
      <c r="N696" s="1" t="s">
        <v>163</v>
      </c>
      <c r="O696" s="1" t="s">
        <v>29</v>
      </c>
      <c r="P696" s="1" t="s">
        <v>1717</v>
      </c>
      <c r="Q696" s="1" t="s">
        <v>1718</v>
      </c>
      <c r="R696" s="1">
        <v>2.0</v>
      </c>
      <c r="S696" s="1"/>
    </row>
    <row r="697" ht="15.75" customHeight="1">
      <c r="A697" s="1" t="s">
        <v>1721</v>
      </c>
      <c r="B697" s="1" t="s">
        <v>1722</v>
      </c>
      <c r="C697" s="1" t="s">
        <v>162</v>
      </c>
      <c r="E697" s="1">
        <v>28.3392731</v>
      </c>
      <c r="F697" s="1">
        <v>77.3209049</v>
      </c>
      <c r="G697" s="1" t="s">
        <v>1676</v>
      </c>
      <c r="H697" s="1" t="s">
        <v>1677</v>
      </c>
      <c r="I697" s="1" t="s">
        <v>24</v>
      </c>
      <c r="J697" s="1" t="s">
        <v>1723</v>
      </c>
      <c r="K697" s="1" t="s">
        <v>99</v>
      </c>
      <c r="L697" s="1" t="s">
        <v>27</v>
      </c>
      <c r="N697" s="1" t="s">
        <v>163</v>
      </c>
      <c r="O697" s="1" t="s">
        <v>29</v>
      </c>
      <c r="P697" s="1" t="s">
        <v>1724</v>
      </c>
      <c r="Q697" s="1" t="s">
        <v>1725</v>
      </c>
      <c r="R697" s="1">
        <v>8.0</v>
      </c>
      <c r="S697" s="1" t="str">
        <f>IFERROR(__xludf.DUMMYFUNCTION("""COMPUTED_VALUE"""),"store_004027")</f>
        <v>store_004027</v>
      </c>
    </row>
    <row r="698" ht="15.75" customHeight="1">
      <c r="A698" s="1" t="s">
        <v>1726</v>
      </c>
      <c r="B698" s="1" t="s">
        <v>1727</v>
      </c>
      <c r="C698" s="1" t="s">
        <v>162</v>
      </c>
      <c r="E698" s="1">
        <v>28.34277</v>
      </c>
      <c r="F698" s="1">
        <v>77.32617499999999</v>
      </c>
      <c r="G698" s="1" t="s">
        <v>97</v>
      </c>
      <c r="H698" s="1" t="s">
        <v>98</v>
      </c>
      <c r="J698" s="1" t="s">
        <v>118</v>
      </c>
      <c r="P698" s="1" t="s">
        <v>1706</v>
      </c>
      <c r="Q698" s="1" t="s">
        <v>1707</v>
      </c>
      <c r="R698" s="1">
        <v>4.0</v>
      </c>
      <c r="S698" s="1"/>
    </row>
    <row r="699" ht="15.75" customHeight="1">
      <c r="A699" s="1" t="s">
        <v>1728</v>
      </c>
      <c r="B699" s="1" t="s">
        <v>1729</v>
      </c>
      <c r="C699" s="1" t="s">
        <v>1016</v>
      </c>
      <c r="E699" s="1">
        <v>28.9597173</v>
      </c>
      <c r="F699" s="1">
        <v>77.099113</v>
      </c>
      <c r="G699" s="1" t="s">
        <v>97</v>
      </c>
      <c r="H699" s="1" t="s">
        <v>98</v>
      </c>
      <c r="J699" s="1" t="s">
        <v>118</v>
      </c>
      <c r="K699" s="1" t="s">
        <v>99</v>
      </c>
      <c r="L699" s="1" t="s">
        <v>27</v>
      </c>
      <c r="N699" s="1" t="s">
        <v>163</v>
      </c>
      <c r="O699" s="1" t="s">
        <v>29</v>
      </c>
      <c r="P699" s="1" t="s">
        <v>1730</v>
      </c>
      <c r="Q699" s="1" t="s">
        <v>1731</v>
      </c>
      <c r="R699" s="1">
        <v>2.0</v>
      </c>
      <c r="S699" s="1"/>
    </row>
    <row r="700" ht="15.75" customHeight="1">
      <c r="A700" s="1" t="s">
        <v>1732</v>
      </c>
      <c r="B700" s="1" t="s">
        <v>1733</v>
      </c>
      <c r="C700" s="1" t="s">
        <v>1734</v>
      </c>
      <c r="E700" s="1">
        <v>29.3961864</v>
      </c>
      <c r="F700" s="1">
        <v>76.96920159999999</v>
      </c>
      <c r="G700" s="1" t="s">
        <v>97</v>
      </c>
      <c r="H700" s="1" t="s">
        <v>98</v>
      </c>
      <c r="J700" s="1" t="s">
        <v>25</v>
      </c>
      <c r="P700" s="1" t="s">
        <v>1730</v>
      </c>
      <c r="Q700" s="1" t="s">
        <v>1731</v>
      </c>
      <c r="R700" s="1">
        <v>1.0</v>
      </c>
      <c r="S700" s="1"/>
    </row>
    <row r="701" ht="15.75" customHeight="1">
      <c r="A701" s="1" t="s">
        <v>1735</v>
      </c>
      <c r="B701" s="1" t="s">
        <v>1736</v>
      </c>
      <c r="C701" s="1" t="s">
        <v>1016</v>
      </c>
      <c r="E701" s="1">
        <v>28.99639749999999</v>
      </c>
      <c r="F701" s="1">
        <v>77.02743629999999</v>
      </c>
      <c r="G701" s="1" t="s">
        <v>97</v>
      </c>
      <c r="H701" s="1" t="s">
        <v>98</v>
      </c>
      <c r="J701" s="1" t="s">
        <v>118</v>
      </c>
      <c r="P701" s="1" t="s">
        <v>1737</v>
      </c>
      <c r="Q701" s="1" t="s">
        <v>1738</v>
      </c>
      <c r="R701" s="1">
        <v>2.0</v>
      </c>
      <c r="S701" s="1"/>
    </row>
    <row r="702" ht="15.75" customHeight="1">
      <c r="A702" s="1" t="s">
        <v>1739</v>
      </c>
      <c r="B702" s="1" t="s">
        <v>1740</v>
      </c>
      <c r="C702" s="1" t="s">
        <v>1016</v>
      </c>
      <c r="E702" s="1">
        <v>28.980767</v>
      </c>
      <c r="F702" s="1">
        <v>77.01361399999999</v>
      </c>
      <c r="G702" s="1" t="s">
        <v>97</v>
      </c>
      <c r="H702" s="1" t="s">
        <v>98</v>
      </c>
      <c r="J702" s="1" t="s">
        <v>118</v>
      </c>
      <c r="P702" s="1" t="s">
        <v>1737</v>
      </c>
      <c r="Q702" s="1" t="s">
        <v>1738</v>
      </c>
      <c r="R702" s="1">
        <v>1.0</v>
      </c>
      <c r="S702" s="1"/>
    </row>
    <row r="703" ht="15.75" customHeight="1">
      <c r="A703" s="1" t="s">
        <v>1741</v>
      </c>
      <c r="B703" s="1" t="s">
        <v>1742</v>
      </c>
      <c r="C703" s="1" t="s">
        <v>1734</v>
      </c>
      <c r="E703" s="1">
        <v>29.6921473</v>
      </c>
      <c r="F703" s="1">
        <v>76.97487819999999</v>
      </c>
      <c r="G703" s="1" t="s">
        <v>97</v>
      </c>
      <c r="H703" s="1" t="s">
        <v>98</v>
      </c>
      <c r="J703" s="1" t="s">
        <v>118</v>
      </c>
      <c r="P703" s="1" t="s">
        <v>1730</v>
      </c>
      <c r="Q703" s="1" t="s">
        <v>1731</v>
      </c>
      <c r="R703" s="1">
        <v>1.0</v>
      </c>
      <c r="S703" s="1"/>
    </row>
    <row r="704" ht="15.75" customHeight="1">
      <c r="A704" s="1" t="s">
        <v>1743</v>
      </c>
      <c r="B704" s="1" t="s">
        <v>1744</v>
      </c>
      <c r="C704" s="1" t="s">
        <v>174</v>
      </c>
      <c r="E704" s="1">
        <v>28.5103493</v>
      </c>
      <c r="F704" s="1">
        <v>77.2323641</v>
      </c>
      <c r="G704" s="1" t="s">
        <v>97</v>
      </c>
      <c r="H704" s="1" t="s">
        <v>98</v>
      </c>
      <c r="J704" s="1" t="s">
        <v>25</v>
      </c>
      <c r="K704" s="1" t="s">
        <v>99</v>
      </c>
      <c r="L704" s="1" t="s">
        <v>27</v>
      </c>
      <c r="N704" s="1" t="s">
        <v>174</v>
      </c>
      <c r="O704" s="1" t="s">
        <v>29</v>
      </c>
      <c r="P704" s="1" t="s">
        <v>1745</v>
      </c>
      <c r="Q704" s="1" t="s">
        <v>1746</v>
      </c>
      <c r="R704" s="1">
        <v>6.0</v>
      </c>
      <c r="S704" s="1"/>
    </row>
    <row r="705" ht="15.75" customHeight="1">
      <c r="A705" s="1" t="s">
        <v>1747</v>
      </c>
      <c r="B705" s="1" t="s">
        <v>1748</v>
      </c>
      <c r="C705" s="1" t="s">
        <v>174</v>
      </c>
      <c r="E705" s="1">
        <v>28.6383709</v>
      </c>
      <c r="F705" s="1">
        <v>77.0974669</v>
      </c>
      <c r="G705" s="1" t="s">
        <v>97</v>
      </c>
      <c r="H705" s="1" t="s">
        <v>98</v>
      </c>
      <c r="J705" s="1" t="s">
        <v>25</v>
      </c>
      <c r="P705" s="1" t="s">
        <v>1749</v>
      </c>
      <c r="Q705" s="1" t="s">
        <v>1750</v>
      </c>
      <c r="R705" s="1">
        <v>4.0</v>
      </c>
      <c r="S705" s="1"/>
    </row>
    <row r="706" ht="15.75" customHeight="1">
      <c r="A706" s="1" t="s">
        <v>1751</v>
      </c>
      <c r="B706" s="1" t="s">
        <v>1752</v>
      </c>
      <c r="C706" s="1" t="s">
        <v>174</v>
      </c>
      <c r="E706" s="1">
        <v>28.5428896</v>
      </c>
      <c r="F706" s="1">
        <v>77.25239359999999</v>
      </c>
      <c r="G706" s="1" t="s">
        <v>97</v>
      </c>
      <c r="H706" s="1" t="s">
        <v>98</v>
      </c>
      <c r="J706" s="1" t="s">
        <v>25</v>
      </c>
      <c r="K706" s="1" t="s">
        <v>99</v>
      </c>
      <c r="L706" s="1" t="s">
        <v>27</v>
      </c>
      <c r="N706" s="1" t="s">
        <v>174</v>
      </c>
      <c r="O706" s="1" t="s">
        <v>29</v>
      </c>
      <c r="P706" s="1" t="s">
        <v>1753</v>
      </c>
      <c r="Q706" s="1" t="s">
        <v>1754</v>
      </c>
      <c r="R706" s="1">
        <v>1.0</v>
      </c>
      <c r="S706" s="1"/>
    </row>
    <row r="707" ht="15.75" customHeight="1">
      <c r="A707" s="1" t="s">
        <v>1755</v>
      </c>
      <c r="B707" s="1" t="s">
        <v>1756</v>
      </c>
      <c r="C707" s="1" t="s">
        <v>38</v>
      </c>
      <c r="E707" s="1">
        <v>28.642504</v>
      </c>
      <c r="F707" s="1">
        <v>77.3601545</v>
      </c>
      <c r="G707" s="1" t="s">
        <v>97</v>
      </c>
      <c r="H707" s="1" t="s">
        <v>98</v>
      </c>
      <c r="J707" s="1" t="s">
        <v>25</v>
      </c>
      <c r="K707" s="1" t="s">
        <v>99</v>
      </c>
      <c r="L707" s="1" t="s">
        <v>27</v>
      </c>
      <c r="N707" s="1" t="s">
        <v>28</v>
      </c>
      <c r="O707" s="1" t="s">
        <v>29</v>
      </c>
      <c r="P707" s="1" t="s">
        <v>1749</v>
      </c>
      <c r="Q707" s="1" t="s">
        <v>1750</v>
      </c>
      <c r="R707" s="1">
        <v>3.0</v>
      </c>
      <c r="S707" s="1" t="str">
        <f>IFERROR(__xludf.DUMMYFUNCTION("""COMPUTED_VALUE"""),"store_004015")</f>
        <v>store_004015</v>
      </c>
    </row>
    <row r="708" ht="15.75" customHeight="1">
      <c r="A708" s="1" t="s">
        <v>1757</v>
      </c>
      <c r="B708" s="1" t="s">
        <v>1758</v>
      </c>
      <c r="C708" s="1" t="s">
        <v>174</v>
      </c>
      <c r="E708" s="1">
        <v>28.7118689</v>
      </c>
      <c r="F708" s="1">
        <v>77.1158497</v>
      </c>
      <c r="G708" s="1" t="s">
        <v>97</v>
      </c>
      <c r="H708" s="1" t="s">
        <v>98</v>
      </c>
      <c r="J708" s="1" t="s">
        <v>25</v>
      </c>
      <c r="P708" s="1" t="s">
        <v>1749</v>
      </c>
      <c r="Q708" s="1" t="s">
        <v>1750</v>
      </c>
      <c r="R708" s="1">
        <v>2.0</v>
      </c>
      <c r="S708" s="1"/>
    </row>
    <row r="709" ht="15.75" customHeight="1">
      <c r="A709" s="1" t="s">
        <v>1759</v>
      </c>
      <c r="B709" s="1" t="s">
        <v>1760</v>
      </c>
      <c r="C709" s="1" t="s">
        <v>174</v>
      </c>
      <c r="E709" s="1">
        <v>28.6998424</v>
      </c>
      <c r="F709" s="1">
        <v>77.1417151</v>
      </c>
      <c r="G709" s="1" t="s">
        <v>97</v>
      </c>
      <c r="H709" s="1" t="s">
        <v>98</v>
      </c>
      <c r="J709" s="1" t="s">
        <v>44</v>
      </c>
      <c r="K709" s="1" t="s">
        <v>99</v>
      </c>
      <c r="L709" s="1" t="s">
        <v>27</v>
      </c>
      <c r="N709" s="1" t="s">
        <v>174</v>
      </c>
      <c r="O709" s="1" t="s">
        <v>29</v>
      </c>
      <c r="P709" s="1" t="s">
        <v>1749</v>
      </c>
      <c r="Q709" s="1" t="s">
        <v>1750</v>
      </c>
      <c r="R709" s="1">
        <v>2.0</v>
      </c>
      <c r="S709" s="1"/>
    </row>
    <row r="710" ht="15.75" customHeight="1">
      <c r="A710" s="1" t="s">
        <v>1761</v>
      </c>
      <c r="B710" s="1" t="s">
        <v>1762</v>
      </c>
      <c r="C710" s="1" t="s">
        <v>174</v>
      </c>
      <c r="E710" s="1">
        <v>28.7007529</v>
      </c>
      <c r="F710" s="1">
        <v>77.12879939999999</v>
      </c>
      <c r="G710" s="1" t="s">
        <v>97</v>
      </c>
      <c r="H710" s="1" t="s">
        <v>98</v>
      </c>
      <c r="J710" s="1" t="s">
        <v>118</v>
      </c>
      <c r="P710" s="1" t="s">
        <v>1749</v>
      </c>
      <c r="Q710" s="1" t="s">
        <v>1750</v>
      </c>
      <c r="R710" s="1">
        <v>1.0</v>
      </c>
      <c r="S710" s="1"/>
    </row>
    <row r="711" ht="15.75" customHeight="1">
      <c r="A711" s="1" t="s">
        <v>1763</v>
      </c>
      <c r="B711" s="1" t="s">
        <v>1764</v>
      </c>
      <c r="C711" s="1" t="s">
        <v>174</v>
      </c>
      <c r="E711" s="1">
        <v>28.6681412</v>
      </c>
      <c r="F711" s="1">
        <v>77.2815078</v>
      </c>
      <c r="G711" s="1" t="s">
        <v>97</v>
      </c>
      <c r="H711" s="1" t="s">
        <v>98</v>
      </c>
      <c r="J711" s="1" t="s">
        <v>56</v>
      </c>
      <c r="K711" s="1" t="s">
        <v>99</v>
      </c>
      <c r="L711" s="1" t="s">
        <v>27</v>
      </c>
      <c r="N711" s="1" t="s">
        <v>174</v>
      </c>
      <c r="O711" s="1" t="s">
        <v>29</v>
      </c>
      <c r="P711" s="1" t="s">
        <v>1749</v>
      </c>
      <c r="Q711" s="1" t="s">
        <v>1750</v>
      </c>
      <c r="R711" s="1">
        <v>3.0</v>
      </c>
      <c r="S711" s="1"/>
    </row>
    <row r="712" ht="15.75" customHeight="1">
      <c r="A712" s="1" t="s">
        <v>1765</v>
      </c>
      <c r="B712" s="1" t="s">
        <v>1766</v>
      </c>
      <c r="C712" s="1" t="s">
        <v>174</v>
      </c>
      <c r="E712" s="1">
        <v>28.7746684</v>
      </c>
      <c r="F712" s="1">
        <v>77.1738163</v>
      </c>
      <c r="G712" s="1" t="s">
        <v>97</v>
      </c>
      <c r="H712" s="1" t="s">
        <v>98</v>
      </c>
      <c r="J712" s="1" t="s">
        <v>118</v>
      </c>
      <c r="K712" s="1" t="s">
        <v>99</v>
      </c>
      <c r="L712" s="1" t="s">
        <v>27</v>
      </c>
      <c r="N712" s="1" t="s">
        <v>174</v>
      </c>
      <c r="O712" s="1" t="s">
        <v>29</v>
      </c>
      <c r="P712" s="1" t="s">
        <v>1767</v>
      </c>
      <c r="Q712" s="1" t="s">
        <v>1768</v>
      </c>
      <c r="R712" s="1">
        <v>2.0</v>
      </c>
      <c r="S712" s="1"/>
    </row>
    <row r="713" ht="15.75" customHeight="1">
      <c r="A713" s="1" t="s">
        <v>1769</v>
      </c>
      <c r="B713" s="1" t="s">
        <v>1770</v>
      </c>
      <c r="C713" s="1" t="s">
        <v>174</v>
      </c>
      <c r="E713" s="1">
        <v>28.637556</v>
      </c>
      <c r="F713" s="1">
        <v>77.05198899999999</v>
      </c>
      <c r="G713" s="1" t="s">
        <v>97</v>
      </c>
      <c r="H713" s="1" t="s">
        <v>98</v>
      </c>
      <c r="J713" s="1" t="s">
        <v>25</v>
      </c>
      <c r="K713" s="1" t="s">
        <v>99</v>
      </c>
      <c r="L713" s="1" t="s">
        <v>27</v>
      </c>
      <c r="N713" s="1" t="s">
        <v>174</v>
      </c>
      <c r="O713" s="1" t="s">
        <v>29</v>
      </c>
      <c r="P713" s="1" t="s">
        <v>1767</v>
      </c>
      <c r="Q713" s="1" t="s">
        <v>1768</v>
      </c>
      <c r="R713" s="1">
        <v>4.0</v>
      </c>
      <c r="S713" s="1"/>
    </row>
    <row r="714" ht="15.75" customHeight="1">
      <c r="A714" s="1" t="s">
        <v>1771</v>
      </c>
      <c r="B714" s="1" t="s">
        <v>1772</v>
      </c>
      <c r="C714" s="1" t="s">
        <v>174</v>
      </c>
      <c r="E714" s="1">
        <v>28.7206653</v>
      </c>
      <c r="F714" s="1">
        <v>77.2771035</v>
      </c>
      <c r="G714" s="1" t="s">
        <v>1676</v>
      </c>
      <c r="H714" s="1" t="s">
        <v>1677</v>
      </c>
      <c r="I714" s="1" t="s">
        <v>24</v>
      </c>
      <c r="J714" s="1" t="s">
        <v>1773</v>
      </c>
      <c r="K714" s="1" t="s">
        <v>99</v>
      </c>
      <c r="L714" s="1" t="s">
        <v>27</v>
      </c>
      <c r="N714" s="1" t="s">
        <v>174</v>
      </c>
      <c r="O714" s="1" t="s">
        <v>29</v>
      </c>
      <c r="P714" s="1" t="s">
        <v>1774</v>
      </c>
      <c r="Q714" s="1" t="s">
        <v>1775</v>
      </c>
      <c r="R714" s="1">
        <v>3.0</v>
      </c>
      <c r="S714" s="1"/>
    </row>
    <row r="715" ht="15.75" customHeight="1">
      <c r="A715" s="1" t="s">
        <v>1776</v>
      </c>
      <c r="B715" s="1" t="s">
        <v>1777</v>
      </c>
      <c r="C715" s="1" t="s">
        <v>174</v>
      </c>
      <c r="E715" s="1">
        <v>28.6471051</v>
      </c>
      <c r="F715" s="1">
        <v>77.21780079999999</v>
      </c>
      <c r="G715" s="1" t="s">
        <v>97</v>
      </c>
      <c r="H715" s="1" t="s">
        <v>98</v>
      </c>
      <c r="J715" s="1" t="s">
        <v>44</v>
      </c>
      <c r="P715" s="1" t="s">
        <v>1749</v>
      </c>
      <c r="Q715" s="1" t="s">
        <v>1750</v>
      </c>
      <c r="R715" s="1">
        <v>2.0</v>
      </c>
      <c r="S715" s="1"/>
    </row>
    <row r="716" ht="15.75" customHeight="1">
      <c r="A716" s="1" t="s">
        <v>1778</v>
      </c>
      <c r="B716" s="1" t="s">
        <v>1779</v>
      </c>
      <c r="C716" s="1" t="s">
        <v>174</v>
      </c>
      <c r="E716" s="1">
        <v>28.544561</v>
      </c>
      <c r="F716" s="1">
        <v>77.29097229999999</v>
      </c>
      <c r="G716" s="1" t="s">
        <v>97</v>
      </c>
      <c r="H716" s="1" t="s">
        <v>98</v>
      </c>
      <c r="J716" s="1" t="s">
        <v>25</v>
      </c>
      <c r="K716" s="1" t="s">
        <v>99</v>
      </c>
      <c r="L716" s="1" t="s">
        <v>27</v>
      </c>
      <c r="N716" s="1" t="s">
        <v>174</v>
      </c>
      <c r="O716" s="1" t="s">
        <v>29</v>
      </c>
      <c r="P716" s="1" t="s">
        <v>1753</v>
      </c>
      <c r="Q716" s="1" t="s">
        <v>1754</v>
      </c>
      <c r="R716" s="1">
        <v>5.0</v>
      </c>
      <c r="S716" s="1"/>
    </row>
    <row r="717" ht="15.75" customHeight="1">
      <c r="A717" s="1" t="s">
        <v>1780</v>
      </c>
      <c r="B717" s="1" t="s">
        <v>1781</v>
      </c>
      <c r="C717" s="1" t="s">
        <v>174</v>
      </c>
      <c r="E717" s="1">
        <v>28.6602</v>
      </c>
      <c r="F717" s="1">
        <v>77.2705658</v>
      </c>
      <c r="G717" s="1" t="s">
        <v>97</v>
      </c>
      <c r="H717" s="1" t="s">
        <v>98</v>
      </c>
      <c r="J717" s="1" t="s">
        <v>44</v>
      </c>
      <c r="K717" s="1" t="s">
        <v>99</v>
      </c>
      <c r="L717" s="1" t="s">
        <v>27</v>
      </c>
      <c r="N717" s="1" t="s">
        <v>174</v>
      </c>
      <c r="O717" s="1" t="s">
        <v>29</v>
      </c>
      <c r="P717" s="1" t="s">
        <v>1749</v>
      </c>
      <c r="Q717" s="1" t="s">
        <v>1750</v>
      </c>
      <c r="R717" s="1">
        <v>1.0</v>
      </c>
      <c r="S717" s="1"/>
    </row>
    <row r="718" ht="15.75" customHeight="1">
      <c r="A718" s="1" t="s">
        <v>1782</v>
      </c>
      <c r="B718" s="1" t="s">
        <v>1783</v>
      </c>
      <c r="C718" s="1" t="s">
        <v>115</v>
      </c>
      <c r="E718" s="1">
        <v>31.657623</v>
      </c>
      <c r="F718" s="1">
        <v>74.877388</v>
      </c>
      <c r="G718" s="1" t="s">
        <v>97</v>
      </c>
      <c r="H718" s="1" t="s">
        <v>98</v>
      </c>
      <c r="J718" s="1" t="s">
        <v>118</v>
      </c>
      <c r="R718" s="1">
        <v>1.0</v>
      </c>
      <c r="S718" s="1"/>
    </row>
    <row r="719" ht="15.75" customHeight="1">
      <c r="A719" s="1" t="s">
        <v>1784</v>
      </c>
      <c r="B719" s="1" t="s">
        <v>1785</v>
      </c>
      <c r="C719" s="1" t="s">
        <v>1786</v>
      </c>
      <c r="E719" s="1">
        <v>18.6972543</v>
      </c>
      <c r="F719" s="1">
        <v>82.7926569</v>
      </c>
      <c r="G719" s="1" t="s">
        <v>97</v>
      </c>
      <c r="H719" s="1" t="s">
        <v>98</v>
      </c>
      <c r="J719" s="1" t="s">
        <v>56</v>
      </c>
      <c r="P719" s="1" t="s">
        <v>1787</v>
      </c>
      <c r="Q719" s="1" t="s">
        <v>1788</v>
      </c>
      <c r="R719" s="1">
        <v>1.0</v>
      </c>
      <c r="S719" s="1"/>
    </row>
    <row r="720" ht="15.75" customHeight="1">
      <c r="A720" s="1" t="s">
        <v>1789</v>
      </c>
      <c r="B720" s="1" t="s">
        <v>1790</v>
      </c>
      <c r="C720" s="1" t="s">
        <v>1786</v>
      </c>
      <c r="E720" s="1">
        <v>20.241241</v>
      </c>
      <c r="F720" s="1">
        <v>85.76467099999999</v>
      </c>
      <c r="G720" s="1" t="s">
        <v>97</v>
      </c>
      <c r="H720" s="1" t="s">
        <v>98</v>
      </c>
      <c r="J720" s="1" t="s">
        <v>56</v>
      </c>
      <c r="P720" s="1" t="s">
        <v>1787</v>
      </c>
      <c r="Q720" s="1" t="s">
        <v>1788</v>
      </c>
      <c r="R720" s="1">
        <v>1.0</v>
      </c>
      <c r="S720" s="1"/>
    </row>
    <row r="721" ht="15.75" customHeight="1">
      <c r="A721" s="1" t="s">
        <v>1791</v>
      </c>
      <c r="B721" s="1" t="s">
        <v>1792</v>
      </c>
      <c r="C721" s="1" t="s">
        <v>174</v>
      </c>
      <c r="E721" s="1">
        <v>28.5382456</v>
      </c>
      <c r="F721" s="1">
        <v>77.272198</v>
      </c>
      <c r="G721" s="1" t="s">
        <v>97</v>
      </c>
      <c r="H721" s="1" t="s">
        <v>98</v>
      </c>
      <c r="J721" s="1" t="s">
        <v>118</v>
      </c>
      <c r="P721" s="1" t="s">
        <v>1749</v>
      </c>
      <c r="Q721" s="1" t="s">
        <v>1750</v>
      </c>
      <c r="R721" s="1">
        <v>1.0</v>
      </c>
      <c r="S721" s="1"/>
    </row>
    <row r="722" ht="15.75" customHeight="1">
      <c r="A722" s="1" t="s">
        <v>1793</v>
      </c>
      <c r="B722" s="1" t="s">
        <v>1794</v>
      </c>
      <c r="C722" s="1" t="s">
        <v>174</v>
      </c>
      <c r="E722" s="1">
        <v>28.566285</v>
      </c>
      <c r="F722" s="1">
        <v>77.1762548</v>
      </c>
      <c r="G722" s="1" t="s">
        <v>97</v>
      </c>
      <c r="H722" s="1" t="s">
        <v>98</v>
      </c>
      <c r="J722" s="1" t="s">
        <v>56</v>
      </c>
      <c r="K722" s="1" t="s">
        <v>99</v>
      </c>
      <c r="L722" s="1" t="s">
        <v>27</v>
      </c>
      <c r="N722" s="1" t="s">
        <v>174</v>
      </c>
      <c r="O722" s="1" t="s">
        <v>29</v>
      </c>
      <c r="P722" s="1" t="s">
        <v>1749</v>
      </c>
      <c r="Q722" s="1" t="s">
        <v>1750</v>
      </c>
      <c r="R722" s="1">
        <v>1.0</v>
      </c>
      <c r="S722" s="1"/>
    </row>
    <row r="723" ht="15.75" customHeight="1">
      <c r="A723" s="1" t="s">
        <v>1795</v>
      </c>
      <c r="B723" s="1" t="s">
        <v>1796</v>
      </c>
      <c r="C723" s="1" t="s">
        <v>174</v>
      </c>
      <c r="E723" s="1">
        <v>28.6393713</v>
      </c>
      <c r="F723" s="1">
        <v>77.0822695</v>
      </c>
      <c r="G723" s="1" t="s">
        <v>1797</v>
      </c>
      <c r="H723" s="1" t="s">
        <v>1798</v>
      </c>
      <c r="I723" s="1" t="s">
        <v>1799</v>
      </c>
      <c r="J723" s="1" t="s">
        <v>1800</v>
      </c>
      <c r="K723" s="1" t="s">
        <v>99</v>
      </c>
      <c r="L723" s="1" t="s">
        <v>27</v>
      </c>
      <c r="N723" s="1" t="s">
        <v>174</v>
      </c>
      <c r="O723" s="1" t="s">
        <v>29</v>
      </c>
      <c r="P723" s="1" t="s">
        <v>1801</v>
      </c>
      <c r="Q723" s="1" t="s">
        <v>1802</v>
      </c>
      <c r="R723" s="1">
        <v>6.0</v>
      </c>
      <c r="S723" s="1"/>
    </row>
    <row r="724" ht="15.75" customHeight="1">
      <c r="A724" s="1" t="s">
        <v>1803</v>
      </c>
      <c r="B724" s="1" t="s">
        <v>1804</v>
      </c>
      <c r="C724" s="1" t="s">
        <v>174</v>
      </c>
      <c r="E724" s="1">
        <v>28.6894466</v>
      </c>
      <c r="F724" s="1">
        <v>77.28599129999999</v>
      </c>
      <c r="G724" s="1" t="s">
        <v>97</v>
      </c>
      <c r="H724" s="1" t="s">
        <v>98</v>
      </c>
      <c r="J724" s="1" t="s">
        <v>25</v>
      </c>
      <c r="K724" s="1" t="s">
        <v>99</v>
      </c>
      <c r="L724" s="1" t="s">
        <v>27</v>
      </c>
      <c r="N724" s="1" t="s">
        <v>174</v>
      </c>
      <c r="O724" s="1" t="s">
        <v>29</v>
      </c>
      <c r="P724" s="1" t="s">
        <v>1805</v>
      </c>
      <c r="Q724" s="1" t="s">
        <v>1806</v>
      </c>
      <c r="R724" s="1">
        <v>5.0</v>
      </c>
      <c r="S724" s="1"/>
    </row>
    <row r="725" ht="15.75" customHeight="1">
      <c r="A725" s="1" t="s">
        <v>1807</v>
      </c>
      <c r="B725" s="1" t="s">
        <v>1808</v>
      </c>
      <c r="C725" s="1" t="s">
        <v>174</v>
      </c>
      <c r="E725" s="1">
        <v>28.7272319</v>
      </c>
      <c r="F725" s="1">
        <v>77.0509506</v>
      </c>
      <c r="G725" s="1" t="s">
        <v>97</v>
      </c>
      <c r="H725" s="1" t="s">
        <v>98</v>
      </c>
      <c r="J725" s="1" t="s">
        <v>56</v>
      </c>
      <c r="P725" s="1" t="s">
        <v>1749</v>
      </c>
      <c r="Q725" s="1" t="s">
        <v>1750</v>
      </c>
      <c r="R725" s="1">
        <v>5.0</v>
      </c>
      <c r="S725" s="1"/>
    </row>
    <row r="726" ht="15.75" customHeight="1">
      <c r="A726" s="1" t="s">
        <v>1809</v>
      </c>
      <c r="B726" s="1" t="s">
        <v>1810</v>
      </c>
      <c r="C726" s="1" t="s">
        <v>174</v>
      </c>
      <c r="E726" s="1">
        <v>28.6736073</v>
      </c>
      <c r="F726" s="1">
        <v>77.27358989999999</v>
      </c>
      <c r="G726" s="1" t="s">
        <v>97</v>
      </c>
      <c r="H726" s="1" t="s">
        <v>98</v>
      </c>
      <c r="J726" s="1" t="s">
        <v>118</v>
      </c>
      <c r="P726" s="1" t="s">
        <v>1749</v>
      </c>
      <c r="Q726" s="1" t="s">
        <v>1750</v>
      </c>
      <c r="R726" s="1">
        <v>2.0</v>
      </c>
      <c r="S726" s="1"/>
    </row>
    <row r="727" ht="15.75" customHeight="1">
      <c r="A727" s="1" t="s">
        <v>1811</v>
      </c>
      <c r="B727" s="1" t="s">
        <v>1812</v>
      </c>
      <c r="C727" s="1" t="s">
        <v>174</v>
      </c>
      <c r="E727" s="1">
        <v>28.8010615</v>
      </c>
      <c r="F727" s="1">
        <v>77.0351586</v>
      </c>
      <c r="G727" s="1" t="s">
        <v>97</v>
      </c>
      <c r="H727" s="1" t="s">
        <v>98</v>
      </c>
      <c r="J727" s="1" t="s">
        <v>118</v>
      </c>
      <c r="K727" s="1" t="s">
        <v>99</v>
      </c>
      <c r="L727" s="1" t="s">
        <v>27</v>
      </c>
      <c r="N727" s="1" t="s">
        <v>174</v>
      </c>
      <c r="O727" s="1" t="s">
        <v>29</v>
      </c>
      <c r="P727" s="1" t="s">
        <v>1749</v>
      </c>
      <c r="Q727" s="1" t="s">
        <v>1750</v>
      </c>
      <c r="R727" s="1">
        <v>2.0</v>
      </c>
      <c r="S727" s="1"/>
    </row>
    <row r="728" ht="15.75" customHeight="1">
      <c r="A728" s="1" t="s">
        <v>1813</v>
      </c>
      <c r="B728" s="1" t="s">
        <v>1814</v>
      </c>
      <c r="C728" s="3" t="s">
        <v>1815</v>
      </c>
      <c r="E728" s="1">
        <v>28.5353212</v>
      </c>
      <c r="F728" s="1">
        <v>77.2602816</v>
      </c>
      <c r="G728" s="1" t="s">
        <v>1676</v>
      </c>
      <c r="H728" s="1" t="s">
        <v>1677</v>
      </c>
      <c r="I728" s="1" t="s">
        <v>24</v>
      </c>
      <c r="J728" s="1" t="s">
        <v>1816</v>
      </c>
      <c r="K728" s="1" t="s">
        <v>99</v>
      </c>
      <c r="L728" s="1" t="s">
        <v>27</v>
      </c>
      <c r="N728" s="1" t="s">
        <v>174</v>
      </c>
      <c r="O728" s="1" t="s">
        <v>29</v>
      </c>
      <c r="P728" s="1" t="s">
        <v>1774</v>
      </c>
      <c r="Q728" s="1" t="s">
        <v>1775</v>
      </c>
      <c r="R728" s="1">
        <v>3.0</v>
      </c>
      <c r="S728" s="1" t="str">
        <f>IFERROR(__xludf.DUMMYFUNCTION("""COMPUTED_VALUE"""),"store_004111")</f>
        <v>store_004111</v>
      </c>
    </row>
    <row r="729" ht="15.75" customHeight="1">
      <c r="A729" s="1" t="s">
        <v>1817</v>
      </c>
      <c r="B729" s="1" t="s">
        <v>1818</v>
      </c>
      <c r="C729" s="3" t="s">
        <v>1819</v>
      </c>
      <c r="E729" s="1">
        <v>28.7481319</v>
      </c>
      <c r="F729" s="1">
        <v>77.1986107</v>
      </c>
      <c r="G729" s="1" t="s">
        <v>97</v>
      </c>
      <c r="H729" s="1" t="s">
        <v>98</v>
      </c>
      <c r="J729" s="1" t="s">
        <v>118</v>
      </c>
      <c r="P729" s="1" t="s">
        <v>1767</v>
      </c>
      <c r="Q729" s="1" t="s">
        <v>1768</v>
      </c>
      <c r="R729" s="1">
        <v>1.0</v>
      </c>
      <c r="S729" s="1"/>
    </row>
    <row r="730" ht="15.75" customHeight="1">
      <c r="A730" s="1" t="s">
        <v>1820</v>
      </c>
      <c r="B730" s="1" t="s">
        <v>1821</v>
      </c>
      <c r="C730" s="4" t="s">
        <v>1822</v>
      </c>
      <c r="D730" s="4" t="s">
        <v>1823</v>
      </c>
      <c r="E730" s="4" t="s">
        <v>1824</v>
      </c>
      <c r="F730" s="4" t="s">
        <v>1825</v>
      </c>
      <c r="G730" s="4" t="s">
        <v>2</v>
      </c>
      <c r="H730" s="4" t="s">
        <v>13</v>
      </c>
      <c r="I730" s="1" t="s">
        <v>24</v>
      </c>
      <c r="J730" s="1" t="s">
        <v>118</v>
      </c>
      <c r="P730" s="1" t="s">
        <v>1749</v>
      </c>
      <c r="Q730" s="1" t="s">
        <v>1750</v>
      </c>
      <c r="R730" s="1">
        <v>2.0</v>
      </c>
      <c r="S730" s="1"/>
    </row>
    <row r="731" ht="15.75" customHeight="1">
      <c r="A731" s="1" t="s">
        <v>1826</v>
      </c>
      <c r="B731" s="1" t="s">
        <v>1827</v>
      </c>
      <c r="C731" s="4" t="s">
        <v>1828</v>
      </c>
      <c r="D731" s="4" t="s">
        <v>1829</v>
      </c>
      <c r="E731" s="4" t="s">
        <v>1830</v>
      </c>
      <c r="F731" s="4" t="s">
        <v>1831</v>
      </c>
      <c r="G731" s="4" t="s">
        <v>1832</v>
      </c>
      <c r="H731" s="4" t="s">
        <v>28</v>
      </c>
      <c r="J731" s="1" t="s">
        <v>118</v>
      </c>
      <c r="K731" s="1" t="s">
        <v>99</v>
      </c>
      <c r="L731" s="1" t="s">
        <v>27</v>
      </c>
      <c r="N731" s="1" t="s">
        <v>174</v>
      </c>
      <c r="O731" s="1" t="s">
        <v>29</v>
      </c>
      <c r="P731" s="1" t="s">
        <v>1749</v>
      </c>
      <c r="Q731" s="1" t="s">
        <v>1750</v>
      </c>
      <c r="R731" s="1">
        <v>1.0</v>
      </c>
      <c r="S731" s="1"/>
    </row>
    <row r="732" ht="15.75" customHeight="1">
      <c r="A732" s="1" t="s">
        <v>1833</v>
      </c>
      <c r="B732" s="1" t="s">
        <v>1834</v>
      </c>
      <c r="C732" s="4" t="s">
        <v>1722</v>
      </c>
      <c r="D732" s="4" t="s">
        <v>1721</v>
      </c>
      <c r="E732" s="4" t="s">
        <v>1835</v>
      </c>
      <c r="F732" s="4" t="s">
        <v>1836</v>
      </c>
      <c r="G732" s="4" t="s">
        <v>162</v>
      </c>
      <c r="H732" s="4" t="s">
        <v>163</v>
      </c>
      <c r="J732" s="1" t="s">
        <v>44</v>
      </c>
      <c r="P732" s="1" t="s">
        <v>1749</v>
      </c>
      <c r="Q732" s="1" t="s">
        <v>1750</v>
      </c>
      <c r="R732" s="1">
        <v>2.0</v>
      </c>
      <c r="S732" s="1"/>
    </row>
    <row r="733" ht="15.75" customHeight="1">
      <c r="A733" s="1" t="s">
        <v>1837</v>
      </c>
      <c r="B733" s="1" t="s">
        <v>1838</v>
      </c>
      <c r="C733" s="4" t="s">
        <v>1839</v>
      </c>
      <c r="D733" s="4" t="s">
        <v>1840</v>
      </c>
      <c r="E733" s="4" t="s">
        <v>1841</v>
      </c>
      <c r="F733" s="4" t="s">
        <v>1842</v>
      </c>
      <c r="G733" s="4" t="s">
        <v>148</v>
      </c>
      <c r="H733" s="4" t="s">
        <v>143</v>
      </c>
      <c r="J733" s="1" t="s">
        <v>56</v>
      </c>
      <c r="P733" s="1" t="s">
        <v>1749</v>
      </c>
      <c r="Q733" s="1" t="s">
        <v>1750</v>
      </c>
      <c r="R733" s="1">
        <v>4.0</v>
      </c>
      <c r="S733" s="1"/>
    </row>
    <row r="734" ht="15.75" customHeight="1">
      <c r="A734" s="1" t="s">
        <v>1843</v>
      </c>
      <c r="B734" s="1" t="s">
        <v>1844</v>
      </c>
      <c r="C734" s="4" t="s">
        <v>1756</v>
      </c>
      <c r="D734" s="4" t="s">
        <v>1755</v>
      </c>
      <c r="E734" s="4" t="s">
        <v>1845</v>
      </c>
      <c r="F734" s="4" t="s">
        <v>1846</v>
      </c>
      <c r="G734" s="4" t="s">
        <v>38</v>
      </c>
      <c r="H734" s="4" t="s">
        <v>28</v>
      </c>
      <c r="I734" s="1" t="s">
        <v>24</v>
      </c>
      <c r="J734" s="1" t="s">
        <v>1816</v>
      </c>
      <c r="P734" s="1" t="s">
        <v>1774</v>
      </c>
      <c r="Q734" s="1" t="s">
        <v>1775</v>
      </c>
      <c r="R734" s="1">
        <v>4.0</v>
      </c>
      <c r="S734" s="1"/>
    </row>
    <row r="735" ht="15.75" customHeight="1">
      <c r="A735" s="1" t="s">
        <v>1847</v>
      </c>
      <c r="B735" s="1" t="s">
        <v>1848</v>
      </c>
      <c r="C735" s="4" t="s">
        <v>1849</v>
      </c>
      <c r="D735" s="4" t="s">
        <v>1850</v>
      </c>
      <c r="E735" s="4" t="s">
        <v>1851</v>
      </c>
      <c r="F735" s="4" t="s">
        <v>1852</v>
      </c>
      <c r="G735" s="4" t="s">
        <v>617</v>
      </c>
      <c r="H735" s="4" t="s">
        <v>28</v>
      </c>
      <c r="J735" s="1" t="s">
        <v>118</v>
      </c>
      <c r="K735" s="1" t="s">
        <v>99</v>
      </c>
      <c r="L735" s="1" t="s">
        <v>27</v>
      </c>
      <c r="N735" s="1" t="s">
        <v>174</v>
      </c>
      <c r="O735" s="1" t="s">
        <v>29</v>
      </c>
      <c r="P735" s="1" t="s">
        <v>1749</v>
      </c>
      <c r="Q735" s="1" t="s">
        <v>1750</v>
      </c>
      <c r="R735" s="1">
        <v>2.0</v>
      </c>
      <c r="S735" s="1"/>
    </row>
    <row r="736" ht="15.75" customHeight="1">
      <c r="A736" s="1" t="s">
        <v>1853</v>
      </c>
      <c r="B736" s="1" t="s">
        <v>1854</v>
      </c>
      <c r="C736" s="3" t="s">
        <v>1855</v>
      </c>
      <c r="E736" s="1">
        <v>28.659112</v>
      </c>
      <c r="F736" s="1">
        <v>77.23416399999999</v>
      </c>
      <c r="G736" s="1" t="s">
        <v>97</v>
      </c>
      <c r="H736" s="1" t="s">
        <v>98</v>
      </c>
      <c r="J736" s="1" t="s">
        <v>25</v>
      </c>
      <c r="K736" s="1" t="s">
        <v>99</v>
      </c>
      <c r="L736" s="1" t="s">
        <v>27</v>
      </c>
      <c r="N736" s="1" t="s">
        <v>174</v>
      </c>
      <c r="O736" s="1" t="s">
        <v>29</v>
      </c>
      <c r="P736" s="1" t="s">
        <v>1767</v>
      </c>
      <c r="Q736" s="1" t="s">
        <v>1768</v>
      </c>
      <c r="R736" s="1">
        <v>4.0</v>
      </c>
      <c r="S736" s="1"/>
    </row>
    <row r="737" ht="15.75" customHeight="1">
      <c r="A737" s="1" t="s">
        <v>1856</v>
      </c>
      <c r="B737" s="1" t="s">
        <v>1857</v>
      </c>
      <c r="C737" s="3" t="s">
        <v>1858</v>
      </c>
      <c r="E737" s="1">
        <v>28.6268641</v>
      </c>
      <c r="F737" s="1">
        <v>77.299801</v>
      </c>
      <c r="G737" s="1" t="s">
        <v>97</v>
      </c>
      <c r="H737" s="1" t="s">
        <v>98</v>
      </c>
      <c r="J737" s="1" t="s">
        <v>56</v>
      </c>
      <c r="P737" s="1" t="s">
        <v>1753</v>
      </c>
      <c r="Q737" s="1" t="s">
        <v>1754</v>
      </c>
      <c r="R737" s="1">
        <v>1.0</v>
      </c>
      <c r="S737" s="1"/>
    </row>
    <row r="738" ht="15.75" customHeight="1">
      <c r="A738" s="1" t="s">
        <v>1859</v>
      </c>
      <c r="B738" s="1" t="s">
        <v>1860</v>
      </c>
      <c r="C738" s="4" t="s">
        <v>1</v>
      </c>
      <c r="D738" s="4" t="s">
        <v>2</v>
      </c>
      <c r="E738" s="4" t="s">
        <v>13</v>
      </c>
      <c r="F738" s="4" t="s">
        <v>1823</v>
      </c>
      <c r="G738" s="4" t="s">
        <v>1825</v>
      </c>
      <c r="H738" s="1" t="s">
        <v>98</v>
      </c>
      <c r="J738" s="1" t="s">
        <v>118</v>
      </c>
      <c r="P738" s="1" t="s">
        <v>1749</v>
      </c>
      <c r="Q738" s="1" t="s">
        <v>1750</v>
      </c>
      <c r="R738" s="1">
        <v>3.0</v>
      </c>
      <c r="S738" s="1"/>
    </row>
    <row r="739" ht="15.75" customHeight="1">
      <c r="A739" s="1" t="s">
        <v>1861</v>
      </c>
      <c r="B739" s="1" t="s">
        <v>1862</v>
      </c>
      <c r="C739" s="4" t="s">
        <v>1814</v>
      </c>
      <c r="D739" s="4" t="s">
        <v>174</v>
      </c>
      <c r="E739" s="4" t="s">
        <v>174</v>
      </c>
      <c r="F739" s="4" t="s">
        <v>1813</v>
      </c>
      <c r="G739" s="4" t="s">
        <v>1863</v>
      </c>
      <c r="H739" s="1" t="s">
        <v>98</v>
      </c>
      <c r="J739" s="1" t="s">
        <v>56</v>
      </c>
      <c r="P739" s="1" t="s">
        <v>1767</v>
      </c>
      <c r="Q739" s="1" t="s">
        <v>1768</v>
      </c>
      <c r="R739" s="1">
        <v>1.0</v>
      </c>
      <c r="S739" s="1"/>
    </row>
    <row r="740" ht="15.75" customHeight="1">
      <c r="A740" s="1" t="s">
        <v>1864</v>
      </c>
      <c r="B740" s="1" t="s">
        <v>1865</v>
      </c>
      <c r="C740" s="4" t="s">
        <v>1866</v>
      </c>
      <c r="D740" s="4" t="s">
        <v>148</v>
      </c>
      <c r="E740" s="4" t="s">
        <v>143</v>
      </c>
      <c r="F740" s="4" t="s">
        <v>1867</v>
      </c>
      <c r="G740" s="4" t="s">
        <v>1868</v>
      </c>
      <c r="H740" s="1" t="s">
        <v>98</v>
      </c>
      <c r="J740" s="1" t="s">
        <v>118</v>
      </c>
      <c r="K740" s="1" t="s">
        <v>99</v>
      </c>
      <c r="L740" s="1" t="s">
        <v>27</v>
      </c>
      <c r="N740" s="1" t="s">
        <v>174</v>
      </c>
      <c r="O740" s="1" t="s">
        <v>29</v>
      </c>
      <c r="P740" s="1" t="s">
        <v>1749</v>
      </c>
      <c r="Q740" s="1" t="s">
        <v>1750</v>
      </c>
      <c r="R740" s="1">
        <v>1.0</v>
      </c>
      <c r="S740" s="1"/>
    </row>
    <row r="741" ht="15.75" customHeight="1">
      <c r="A741" s="1" t="s">
        <v>1869</v>
      </c>
      <c r="B741" s="1" t="s">
        <v>1870</v>
      </c>
      <c r="C741" s="4" t="s">
        <v>1871</v>
      </c>
      <c r="D741" s="4" t="s">
        <v>174</v>
      </c>
      <c r="E741" s="4" t="s">
        <v>174</v>
      </c>
      <c r="F741" s="4" t="s">
        <v>1872</v>
      </c>
      <c r="G741" s="4" t="s">
        <v>1873</v>
      </c>
      <c r="H741" s="1" t="s">
        <v>98</v>
      </c>
      <c r="J741" s="1" t="s">
        <v>25</v>
      </c>
      <c r="K741" s="1" t="s">
        <v>99</v>
      </c>
      <c r="L741" s="1" t="s">
        <v>27</v>
      </c>
      <c r="N741" s="1" t="s">
        <v>1874</v>
      </c>
      <c r="O741" s="1" t="s">
        <v>29</v>
      </c>
      <c r="P741" s="1" t="s">
        <v>1787</v>
      </c>
      <c r="Q741" s="1" t="s">
        <v>1788</v>
      </c>
      <c r="R741" s="1">
        <v>5.0</v>
      </c>
      <c r="S741" s="1"/>
    </row>
    <row r="742" ht="15.75" customHeight="1">
      <c r="A742" s="1" t="s">
        <v>1875</v>
      </c>
      <c r="B742" s="1" t="s">
        <v>1876</v>
      </c>
      <c r="C742" s="4" t="s">
        <v>1877</v>
      </c>
      <c r="D742" s="4" t="s">
        <v>174</v>
      </c>
      <c r="E742" s="4" t="s">
        <v>174</v>
      </c>
      <c r="F742" s="4" t="s">
        <v>1878</v>
      </c>
      <c r="G742" s="4" t="s">
        <v>1879</v>
      </c>
      <c r="H742" s="1" t="s">
        <v>98</v>
      </c>
      <c r="J742" s="1" t="s">
        <v>118</v>
      </c>
      <c r="K742" s="1" t="s">
        <v>99</v>
      </c>
      <c r="L742" s="1" t="s">
        <v>27</v>
      </c>
      <c r="N742" s="1" t="s">
        <v>174</v>
      </c>
      <c r="O742" s="1" t="s">
        <v>29</v>
      </c>
      <c r="P742" s="1" t="s">
        <v>1749</v>
      </c>
      <c r="Q742" s="1" t="s">
        <v>1750</v>
      </c>
      <c r="R742" s="1">
        <v>2.0</v>
      </c>
      <c r="S742" s="1"/>
    </row>
    <row r="743" ht="15.75" customHeight="1">
      <c r="A743" s="1" t="s">
        <v>1880</v>
      </c>
      <c r="B743" s="1" t="s">
        <v>1881</v>
      </c>
      <c r="C743" s="4" t="s">
        <v>1882</v>
      </c>
      <c r="D743" s="4" t="s">
        <v>1883</v>
      </c>
      <c r="E743" s="4" t="s">
        <v>123</v>
      </c>
      <c r="F743" s="4" t="s">
        <v>1884</v>
      </c>
      <c r="G743" s="4" t="s">
        <v>1885</v>
      </c>
      <c r="H743" s="1" t="s">
        <v>98</v>
      </c>
      <c r="J743" s="1" t="s">
        <v>56</v>
      </c>
      <c r="P743" s="1" t="s">
        <v>1767</v>
      </c>
      <c r="Q743" s="1" t="s">
        <v>1768</v>
      </c>
      <c r="R743" s="1">
        <v>3.0</v>
      </c>
      <c r="S743" s="1"/>
    </row>
    <row r="744" ht="15.75" customHeight="1">
      <c r="A744" s="1" t="s">
        <v>1886</v>
      </c>
      <c r="B744" s="1" t="s">
        <v>1887</v>
      </c>
      <c r="C744" s="5"/>
      <c r="E744" s="1">
        <v>28.6898007</v>
      </c>
      <c r="F744" s="1">
        <v>77.2851795</v>
      </c>
      <c r="G744" s="1" t="s">
        <v>97</v>
      </c>
      <c r="H744" s="1" t="s">
        <v>98</v>
      </c>
      <c r="J744" s="1" t="s">
        <v>118</v>
      </c>
      <c r="P744" s="1" t="s">
        <v>1753</v>
      </c>
      <c r="Q744" s="1" t="s">
        <v>1754</v>
      </c>
      <c r="R744" s="1">
        <v>2.0</v>
      </c>
      <c r="S744" s="1"/>
    </row>
    <row r="745" ht="15.75" customHeight="1">
      <c r="A745" s="1" t="s">
        <v>1888</v>
      </c>
      <c r="B745" s="1" t="s">
        <v>1889</v>
      </c>
      <c r="C745" s="1" t="s">
        <v>174</v>
      </c>
      <c r="E745" s="1">
        <v>28.7203684</v>
      </c>
      <c r="F745" s="1">
        <v>77.2777867</v>
      </c>
      <c r="G745" s="1" t="s">
        <v>97</v>
      </c>
      <c r="H745" s="1" t="s">
        <v>98</v>
      </c>
      <c r="J745" s="1" t="s">
        <v>25</v>
      </c>
      <c r="P745" s="1" t="s">
        <v>1753</v>
      </c>
      <c r="Q745" s="1" t="s">
        <v>1754</v>
      </c>
      <c r="R745" s="1">
        <v>3.0</v>
      </c>
      <c r="S745" s="1"/>
    </row>
    <row r="746" ht="15.75" customHeight="1">
      <c r="A746" s="1" t="s">
        <v>1890</v>
      </c>
      <c r="B746" s="1" t="s">
        <v>1891</v>
      </c>
      <c r="C746" s="1" t="s">
        <v>174</v>
      </c>
      <c r="E746" s="1">
        <v>28.6575228</v>
      </c>
      <c r="F746" s="1">
        <v>77.11056169999999</v>
      </c>
      <c r="G746" s="1" t="s">
        <v>97</v>
      </c>
      <c r="H746" s="1" t="s">
        <v>98</v>
      </c>
      <c r="J746" s="1" t="s">
        <v>118</v>
      </c>
      <c r="K746" s="1" t="s">
        <v>99</v>
      </c>
      <c r="L746" s="1" t="s">
        <v>27</v>
      </c>
      <c r="N746" s="1" t="s">
        <v>174</v>
      </c>
      <c r="O746" s="1" t="s">
        <v>29</v>
      </c>
      <c r="P746" s="1" t="s">
        <v>1749</v>
      </c>
      <c r="Q746" s="1" t="s">
        <v>1750</v>
      </c>
      <c r="R746" s="1">
        <v>5.0</v>
      </c>
      <c r="S746" s="1"/>
    </row>
    <row r="747" ht="15.75" customHeight="1">
      <c r="A747" s="1" t="s">
        <v>1892</v>
      </c>
      <c r="B747" s="1" t="s">
        <v>1893</v>
      </c>
      <c r="C747" s="1" t="s">
        <v>174</v>
      </c>
      <c r="E747" s="1">
        <v>28.6094552</v>
      </c>
      <c r="F747" s="1">
        <v>77.3099965</v>
      </c>
      <c r="G747" s="1" t="s">
        <v>97</v>
      </c>
      <c r="H747" s="1" t="s">
        <v>98</v>
      </c>
      <c r="J747" s="1" t="s">
        <v>44</v>
      </c>
      <c r="P747" s="1" t="s">
        <v>1749</v>
      </c>
      <c r="Q747" s="1" t="s">
        <v>1750</v>
      </c>
      <c r="R747" s="1">
        <v>2.0</v>
      </c>
      <c r="S747" s="1"/>
    </row>
    <row r="748" ht="15.75" customHeight="1">
      <c r="A748" s="1" t="s">
        <v>1894</v>
      </c>
      <c r="B748" s="1" t="s">
        <v>1895</v>
      </c>
      <c r="C748" s="1" t="s">
        <v>174</v>
      </c>
      <c r="E748" s="1">
        <v>28.644943</v>
      </c>
      <c r="F748" s="1">
        <v>77.10410999999999</v>
      </c>
      <c r="G748" s="1" t="s">
        <v>97</v>
      </c>
      <c r="H748" s="1" t="s">
        <v>98</v>
      </c>
      <c r="J748" s="1" t="s">
        <v>118</v>
      </c>
      <c r="P748" s="1" t="s">
        <v>1749</v>
      </c>
      <c r="Q748" s="1" t="s">
        <v>1750</v>
      </c>
      <c r="R748" s="1">
        <v>1.0</v>
      </c>
      <c r="S748" s="1"/>
    </row>
    <row r="749" ht="15.75" customHeight="1">
      <c r="A749" s="1" t="s">
        <v>1896</v>
      </c>
      <c r="B749" s="1" t="s">
        <v>1897</v>
      </c>
      <c r="C749" s="1" t="s">
        <v>174</v>
      </c>
      <c r="E749" s="1">
        <v>28.5193392</v>
      </c>
      <c r="F749" s="1">
        <v>77.2063927</v>
      </c>
      <c r="G749" s="1" t="s">
        <v>97</v>
      </c>
      <c r="H749" s="1" t="s">
        <v>98</v>
      </c>
      <c r="J749" s="1" t="s">
        <v>118</v>
      </c>
      <c r="K749" s="1" t="s">
        <v>99</v>
      </c>
      <c r="L749" s="1" t="s">
        <v>27</v>
      </c>
      <c r="N749" s="1" t="s">
        <v>174</v>
      </c>
      <c r="O749" s="1" t="s">
        <v>29</v>
      </c>
      <c r="P749" s="1" t="s">
        <v>1749</v>
      </c>
      <c r="Q749" s="1" t="s">
        <v>1750</v>
      </c>
      <c r="R749" s="1">
        <v>1.0</v>
      </c>
      <c r="S749" s="1"/>
    </row>
    <row r="750" ht="15.75" customHeight="1">
      <c r="A750" s="1" t="s">
        <v>1898</v>
      </c>
      <c r="B750" s="1" t="s">
        <v>1899</v>
      </c>
      <c r="C750" s="1" t="s">
        <v>174</v>
      </c>
      <c r="E750" s="1">
        <v>28.5401501</v>
      </c>
      <c r="F750" s="1">
        <v>77.2579093</v>
      </c>
      <c r="G750" s="1" t="s">
        <v>97</v>
      </c>
      <c r="H750" s="1" t="s">
        <v>98</v>
      </c>
      <c r="J750" s="1" t="s">
        <v>25</v>
      </c>
      <c r="P750" s="1" t="s">
        <v>1749</v>
      </c>
      <c r="Q750" s="1" t="s">
        <v>1750</v>
      </c>
      <c r="R750" s="1">
        <v>5.0</v>
      </c>
      <c r="S750" s="1"/>
    </row>
    <row r="751" ht="15.75" customHeight="1">
      <c r="A751" s="1" t="s">
        <v>1900</v>
      </c>
      <c r="B751" s="1" t="s">
        <v>1901</v>
      </c>
      <c r="C751" s="1" t="s">
        <v>174</v>
      </c>
      <c r="E751" s="1">
        <v>28.6359623</v>
      </c>
      <c r="F751" s="1">
        <v>77.3055631</v>
      </c>
      <c r="G751" s="1" t="s">
        <v>97</v>
      </c>
      <c r="H751" s="1" t="s">
        <v>98</v>
      </c>
      <c r="J751" s="1" t="s">
        <v>56</v>
      </c>
      <c r="P751" s="1" t="s">
        <v>1902</v>
      </c>
      <c r="Q751" s="1" t="s">
        <v>1903</v>
      </c>
      <c r="R751" s="1">
        <v>1.0</v>
      </c>
      <c r="S751" s="1"/>
    </row>
    <row r="752" ht="15.75" customHeight="1">
      <c r="A752" s="1" t="s">
        <v>1904</v>
      </c>
      <c r="B752" s="1" t="s">
        <v>1905</v>
      </c>
      <c r="C752" s="1" t="s">
        <v>174</v>
      </c>
      <c r="E752" s="1">
        <v>28.7131276</v>
      </c>
      <c r="F752" s="1">
        <v>77.27781759999999</v>
      </c>
      <c r="G752" s="1" t="s">
        <v>97</v>
      </c>
      <c r="H752" s="1" t="s">
        <v>98</v>
      </c>
      <c r="J752" s="1" t="s">
        <v>56</v>
      </c>
      <c r="P752" s="1" t="s">
        <v>1906</v>
      </c>
      <c r="Q752" s="1" t="s">
        <v>1907</v>
      </c>
      <c r="R752" s="1">
        <v>2.0</v>
      </c>
      <c r="S752" s="1"/>
    </row>
    <row r="753" ht="15.75" customHeight="1">
      <c r="A753" s="1" t="s">
        <v>1908</v>
      </c>
      <c r="B753" s="1" t="s">
        <v>1909</v>
      </c>
      <c r="C753" s="1" t="s">
        <v>174</v>
      </c>
      <c r="E753" s="1">
        <v>28.6634773</v>
      </c>
      <c r="F753" s="1">
        <v>77.2584601</v>
      </c>
      <c r="G753" s="1" t="s">
        <v>97</v>
      </c>
      <c r="H753" s="1" t="s">
        <v>98</v>
      </c>
      <c r="J753" s="1" t="s">
        <v>25</v>
      </c>
      <c r="K753" s="1" t="s">
        <v>1910</v>
      </c>
      <c r="L753" s="1" t="s">
        <v>1911</v>
      </c>
      <c r="N753" s="1" t="s">
        <v>174</v>
      </c>
      <c r="O753" s="1" t="s">
        <v>29</v>
      </c>
      <c r="P753" s="1" t="s">
        <v>1749</v>
      </c>
      <c r="Q753" s="1" t="s">
        <v>1750</v>
      </c>
      <c r="R753" s="1">
        <v>1.0</v>
      </c>
      <c r="S753" s="1"/>
    </row>
    <row r="754" ht="15.75" customHeight="1">
      <c r="A754" s="1" t="s">
        <v>1912</v>
      </c>
      <c r="B754" s="1" t="s">
        <v>1913</v>
      </c>
      <c r="C754" s="1" t="s">
        <v>174</v>
      </c>
      <c r="E754" s="1">
        <v>28.5938079</v>
      </c>
      <c r="F754" s="1">
        <v>77.0957169</v>
      </c>
      <c r="G754" s="1" t="s">
        <v>97</v>
      </c>
      <c r="H754" s="1" t="s">
        <v>98</v>
      </c>
      <c r="J754" s="1" t="s">
        <v>56</v>
      </c>
      <c r="P754" s="1" t="s">
        <v>1749</v>
      </c>
      <c r="Q754" s="1" t="s">
        <v>1750</v>
      </c>
      <c r="R754" s="1">
        <v>1.0</v>
      </c>
      <c r="S754" s="1"/>
    </row>
    <row r="755" ht="15.75" customHeight="1">
      <c r="A755" s="1" t="s">
        <v>1914</v>
      </c>
      <c r="B755" s="1" t="s">
        <v>1915</v>
      </c>
      <c r="C755" s="1" t="s">
        <v>174</v>
      </c>
      <c r="E755" s="1">
        <v>28.6462669</v>
      </c>
      <c r="F755" s="1">
        <v>77.1041755</v>
      </c>
      <c r="G755" s="1" t="s">
        <v>97</v>
      </c>
      <c r="H755" s="1" t="s">
        <v>98</v>
      </c>
      <c r="J755" s="1" t="s">
        <v>118</v>
      </c>
      <c r="P755" s="1" t="s">
        <v>1749</v>
      </c>
      <c r="Q755" s="1" t="s">
        <v>1750</v>
      </c>
      <c r="R755" s="1">
        <v>1.0</v>
      </c>
      <c r="S755" s="1"/>
    </row>
    <row r="756" ht="15.75" customHeight="1">
      <c r="A756" s="1" t="s">
        <v>1916</v>
      </c>
      <c r="B756" s="1" t="s">
        <v>1917</v>
      </c>
      <c r="C756" s="1" t="s">
        <v>174</v>
      </c>
      <c r="E756" s="1">
        <v>28.6510822</v>
      </c>
      <c r="F756" s="1">
        <v>77.12503869999999</v>
      </c>
      <c r="G756" s="1" t="s">
        <v>1676</v>
      </c>
      <c r="H756" s="1" t="s">
        <v>1677</v>
      </c>
      <c r="I756" s="1" t="s">
        <v>24</v>
      </c>
      <c r="J756" s="1" t="s">
        <v>1918</v>
      </c>
      <c r="K756" s="1" t="s">
        <v>99</v>
      </c>
      <c r="L756" s="1" t="s">
        <v>27</v>
      </c>
      <c r="N756" s="1" t="s">
        <v>174</v>
      </c>
      <c r="O756" s="1" t="s">
        <v>29</v>
      </c>
      <c r="P756" s="1" t="s">
        <v>1767</v>
      </c>
      <c r="Q756" s="1" t="s">
        <v>1768</v>
      </c>
      <c r="R756" s="1">
        <v>8.0</v>
      </c>
      <c r="S756" s="1"/>
    </row>
    <row r="757" ht="15.75" customHeight="1">
      <c r="A757" s="1" t="s">
        <v>1919</v>
      </c>
      <c r="B757" s="1" t="s">
        <v>1920</v>
      </c>
      <c r="C757" s="1" t="s">
        <v>174</v>
      </c>
      <c r="E757" s="1">
        <v>28.558376</v>
      </c>
      <c r="F757" s="1">
        <v>77.2070391</v>
      </c>
      <c r="G757" s="1" t="s">
        <v>97</v>
      </c>
      <c r="H757" s="1" t="s">
        <v>98</v>
      </c>
      <c r="J757" s="1" t="s">
        <v>56</v>
      </c>
      <c r="K757" s="1" t="s">
        <v>99</v>
      </c>
      <c r="L757" s="1" t="s">
        <v>27</v>
      </c>
      <c r="N757" s="1" t="s">
        <v>174</v>
      </c>
      <c r="O757" s="1" t="s">
        <v>29</v>
      </c>
      <c r="P757" s="1" t="s">
        <v>1749</v>
      </c>
      <c r="Q757" s="1" t="s">
        <v>1750</v>
      </c>
      <c r="R757" s="1">
        <v>1.0</v>
      </c>
      <c r="S757" s="1"/>
    </row>
    <row r="758" ht="15.75" customHeight="1">
      <c r="A758" s="1" t="s">
        <v>1921</v>
      </c>
      <c r="B758" s="1" t="s">
        <v>1922</v>
      </c>
      <c r="C758" s="1" t="s">
        <v>1786</v>
      </c>
      <c r="E758" s="1">
        <v>20.476195</v>
      </c>
      <c r="F758" s="1">
        <v>85.877073</v>
      </c>
      <c r="G758" s="1" t="s">
        <v>97</v>
      </c>
      <c r="H758" s="1" t="s">
        <v>98</v>
      </c>
      <c r="J758" s="1" t="s">
        <v>56</v>
      </c>
      <c r="P758" s="1" t="s">
        <v>1787</v>
      </c>
      <c r="Q758" s="1" t="s">
        <v>1788</v>
      </c>
      <c r="R758" s="1">
        <v>1.0</v>
      </c>
      <c r="S758" s="1"/>
    </row>
    <row r="759" ht="15.75" customHeight="1">
      <c r="A759" s="1" t="s">
        <v>1923</v>
      </c>
      <c r="B759" s="1" t="s">
        <v>1924</v>
      </c>
      <c r="C759" s="1" t="s">
        <v>174</v>
      </c>
      <c r="E759" s="1">
        <v>28.6467445</v>
      </c>
      <c r="F759" s="1">
        <v>77.2839121</v>
      </c>
      <c r="G759" s="1" t="s">
        <v>1676</v>
      </c>
      <c r="H759" s="1" t="s">
        <v>1677</v>
      </c>
      <c r="I759" s="1" t="s">
        <v>24</v>
      </c>
      <c r="J759" s="1" t="s">
        <v>1678</v>
      </c>
      <c r="K759" s="1" t="s">
        <v>99</v>
      </c>
      <c r="L759" s="1" t="s">
        <v>27</v>
      </c>
      <c r="N759" s="1" t="s">
        <v>174</v>
      </c>
      <c r="O759" s="1" t="s">
        <v>29</v>
      </c>
      <c r="P759" s="1" t="s">
        <v>1767</v>
      </c>
      <c r="Q759" s="1" t="s">
        <v>1768</v>
      </c>
      <c r="R759" s="1">
        <v>3.0</v>
      </c>
      <c r="S759" s="1"/>
    </row>
    <row r="760" ht="15.75" customHeight="1">
      <c r="A760" s="1" t="s">
        <v>1925</v>
      </c>
      <c r="B760" s="1" t="s">
        <v>1926</v>
      </c>
      <c r="C760" s="1" t="s">
        <v>1786</v>
      </c>
      <c r="E760" s="1">
        <v>20.7677094</v>
      </c>
      <c r="F760" s="1">
        <v>86.1535684</v>
      </c>
      <c r="G760" s="1" t="s">
        <v>97</v>
      </c>
      <c r="H760" s="1" t="s">
        <v>98</v>
      </c>
      <c r="J760" s="1" t="s">
        <v>56</v>
      </c>
      <c r="P760" s="1" t="s">
        <v>1787</v>
      </c>
      <c r="Q760" s="1" t="s">
        <v>1788</v>
      </c>
      <c r="R760" s="1">
        <v>2.0</v>
      </c>
      <c r="S760" s="1"/>
    </row>
    <row r="761" ht="15.75" customHeight="1">
      <c r="A761" s="1" t="s">
        <v>1927</v>
      </c>
      <c r="B761" s="1" t="s">
        <v>1928</v>
      </c>
      <c r="C761" s="1" t="s">
        <v>497</v>
      </c>
      <c r="E761" s="1">
        <v>25.6363196</v>
      </c>
      <c r="F761" s="1">
        <v>85.04922570000001</v>
      </c>
      <c r="G761" s="1" t="s">
        <v>97</v>
      </c>
      <c r="H761" s="1" t="s">
        <v>98</v>
      </c>
      <c r="J761" s="1" t="s">
        <v>56</v>
      </c>
      <c r="P761" s="1" t="s">
        <v>507</v>
      </c>
      <c r="Q761" s="1" t="s">
        <v>508</v>
      </c>
      <c r="R761" s="1">
        <v>1.0</v>
      </c>
      <c r="S761" s="1"/>
    </row>
    <row r="762" ht="15.75" customHeight="1">
      <c r="A762" s="1" t="s">
        <v>1929</v>
      </c>
      <c r="B762" s="1" t="s">
        <v>1930</v>
      </c>
      <c r="C762" s="1" t="s">
        <v>497</v>
      </c>
      <c r="E762" s="1">
        <v>25.6106848</v>
      </c>
      <c r="F762" s="1">
        <v>85.1385743</v>
      </c>
      <c r="G762" s="1" t="s">
        <v>97</v>
      </c>
      <c r="H762" s="1" t="s">
        <v>98</v>
      </c>
      <c r="J762" s="1" t="s">
        <v>44</v>
      </c>
      <c r="K762" s="1" t="s">
        <v>99</v>
      </c>
      <c r="L762" s="1" t="s">
        <v>27</v>
      </c>
      <c r="N762" s="1" t="s">
        <v>498</v>
      </c>
      <c r="O762" s="1" t="s">
        <v>29</v>
      </c>
      <c r="P762" s="1" t="s">
        <v>507</v>
      </c>
      <c r="Q762" s="1" t="s">
        <v>508</v>
      </c>
      <c r="R762" s="1">
        <v>1.0</v>
      </c>
      <c r="S762" s="1"/>
    </row>
    <row r="763" ht="15.75" customHeight="1">
      <c r="A763" s="1" t="s">
        <v>1931</v>
      </c>
      <c r="B763" s="1" t="s">
        <v>1932</v>
      </c>
      <c r="C763" s="1" t="s">
        <v>497</v>
      </c>
      <c r="E763" s="1">
        <v>25.5845013</v>
      </c>
      <c r="F763" s="1">
        <v>85.0943508</v>
      </c>
      <c r="G763" s="1" t="s">
        <v>97</v>
      </c>
      <c r="H763" s="1" t="s">
        <v>98</v>
      </c>
      <c r="J763" s="1" t="s">
        <v>56</v>
      </c>
      <c r="P763" s="1" t="s">
        <v>507</v>
      </c>
      <c r="Q763" s="1" t="s">
        <v>508</v>
      </c>
      <c r="R763" s="1">
        <v>1.0</v>
      </c>
      <c r="S763" s="1"/>
    </row>
    <row r="764" ht="15.75" customHeight="1">
      <c r="A764" s="1" t="s">
        <v>1933</v>
      </c>
      <c r="B764" s="1" t="s">
        <v>1934</v>
      </c>
      <c r="C764" s="1" t="s">
        <v>497</v>
      </c>
      <c r="E764" s="1">
        <v>25.6132819</v>
      </c>
      <c r="F764" s="1">
        <v>85.1391714</v>
      </c>
      <c r="G764" s="1" t="s">
        <v>97</v>
      </c>
      <c r="H764" s="1" t="s">
        <v>98</v>
      </c>
      <c r="J764" s="1" t="s">
        <v>56</v>
      </c>
      <c r="P764" s="1" t="s">
        <v>507</v>
      </c>
      <c r="Q764" s="1" t="s">
        <v>508</v>
      </c>
      <c r="R764" s="1">
        <v>2.0</v>
      </c>
      <c r="S764" s="1"/>
    </row>
    <row r="765" ht="15.75" customHeight="1">
      <c r="A765" s="1" t="s">
        <v>1935</v>
      </c>
      <c r="B765" s="1" t="s">
        <v>1936</v>
      </c>
      <c r="C765" s="1" t="s">
        <v>497</v>
      </c>
      <c r="E765" s="1">
        <v>28.65785799999999</v>
      </c>
      <c r="F765" s="1">
        <v>77.233974</v>
      </c>
      <c r="G765" s="1" t="s">
        <v>97</v>
      </c>
      <c r="H765" s="1" t="s">
        <v>98</v>
      </c>
      <c r="J765" s="1" t="s">
        <v>118</v>
      </c>
      <c r="P765" s="1" t="s">
        <v>507</v>
      </c>
      <c r="Q765" s="1" t="s">
        <v>508</v>
      </c>
      <c r="R765" s="1">
        <v>1.0</v>
      </c>
      <c r="S765" s="1"/>
    </row>
    <row r="766" ht="15.75" customHeight="1">
      <c r="A766" s="1" t="s">
        <v>1937</v>
      </c>
      <c r="B766" s="1" t="s">
        <v>1938</v>
      </c>
      <c r="C766" s="1" t="s">
        <v>1786</v>
      </c>
      <c r="E766" s="1">
        <v>20.2504634</v>
      </c>
      <c r="F766" s="1">
        <v>85.8396655</v>
      </c>
      <c r="G766" s="1" t="s">
        <v>97</v>
      </c>
      <c r="H766" s="1" t="s">
        <v>98</v>
      </c>
      <c r="J766" s="1" t="s">
        <v>56</v>
      </c>
      <c r="P766" s="1" t="s">
        <v>1787</v>
      </c>
      <c r="Q766" s="1" t="s">
        <v>1788</v>
      </c>
      <c r="R766" s="1">
        <v>1.0</v>
      </c>
      <c r="S766" s="1"/>
    </row>
    <row r="767" ht="15.75" customHeight="1">
      <c r="A767" s="1" t="s">
        <v>1939</v>
      </c>
      <c r="B767" s="1" t="s">
        <v>1940</v>
      </c>
      <c r="C767" s="1" t="s">
        <v>497</v>
      </c>
      <c r="E767" s="1">
        <v>25.6172659</v>
      </c>
      <c r="F767" s="1">
        <v>85.0410016</v>
      </c>
      <c r="G767" s="1" t="s">
        <v>97</v>
      </c>
      <c r="H767" s="1" t="s">
        <v>98</v>
      </c>
      <c r="J767" s="1" t="s">
        <v>56</v>
      </c>
      <c r="P767" s="1" t="s">
        <v>507</v>
      </c>
      <c r="Q767" s="1" t="s">
        <v>508</v>
      </c>
      <c r="R767" s="1">
        <v>1.0</v>
      </c>
      <c r="S767" s="1"/>
    </row>
    <row r="768" ht="15.75" customHeight="1">
      <c r="A768" s="1" t="s">
        <v>1941</v>
      </c>
      <c r="B768" s="1" t="s">
        <v>1942</v>
      </c>
      <c r="C768" s="1" t="s">
        <v>1786</v>
      </c>
      <c r="E768" s="1">
        <v>20.4672583</v>
      </c>
      <c r="F768" s="1">
        <v>85.89368160000001</v>
      </c>
      <c r="G768" s="1" t="s">
        <v>97</v>
      </c>
      <c r="H768" s="1" t="s">
        <v>98</v>
      </c>
      <c r="J768" s="1" t="s">
        <v>56</v>
      </c>
      <c r="K768" s="1" t="s">
        <v>99</v>
      </c>
      <c r="L768" s="1" t="s">
        <v>27</v>
      </c>
      <c r="N768" s="1" t="s">
        <v>1874</v>
      </c>
      <c r="O768" s="1" t="s">
        <v>29</v>
      </c>
      <c r="P768" s="1" t="s">
        <v>1787</v>
      </c>
      <c r="Q768" s="1" t="s">
        <v>1788</v>
      </c>
      <c r="R768" s="1">
        <v>4.0</v>
      </c>
      <c r="S768" s="1"/>
    </row>
    <row r="769" ht="15.75" customHeight="1">
      <c r="A769" s="1" t="s">
        <v>1943</v>
      </c>
      <c r="B769" s="1" t="s">
        <v>1944</v>
      </c>
      <c r="C769" s="1" t="s">
        <v>497</v>
      </c>
      <c r="E769" s="1">
        <v>25.6150612</v>
      </c>
      <c r="F769" s="1">
        <v>85.1602958</v>
      </c>
      <c r="G769" s="1" t="s">
        <v>97</v>
      </c>
      <c r="H769" s="1" t="s">
        <v>98</v>
      </c>
      <c r="J769" s="1" t="s">
        <v>118</v>
      </c>
      <c r="P769" s="1" t="s">
        <v>507</v>
      </c>
      <c r="Q769" s="1" t="s">
        <v>508</v>
      </c>
      <c r="R769" s="1">
        <v>1.0</v>
      </c>
      <c r="S769" s="1"/>
    </row>
    <row r="770" ht="15.75" customHeight="1">
      <c r="A770" s="1" t="s">
        <v>1945</v>
      </c>
      <c r="B770" s="1" t="s">
        <v>1946</v>
      </c>
      <c r="C770" s="1" t="s">
        <v>1786</v>
      </c>
      <c r="E770" s="1">
        <v>20.2568457</v>
      </c>
      <c r="F770" s="1">
        <v>85.8334457</v>
      </c>
      <c r="G770" s="1" t="s">
        <v>97</v>
      </c>
      <c r="H770" s="1" t="s">
        <v>98</v>
      </c>
      <c r="J770" s="1" t="s">
        <v>56</v>
      </c>
      <c r="K770" s="1" t="s">
        <v>99</v>
      </c>
      <c r="L770" s="1" t="s">
        <v>27</v>
      </c>
      <c r="N770" s="1" t="s">
        <v>1874</v>
      </c>
      <c r="O770" s="1" t="s">
        <v>29</v>
      </c>
      <c r="P770" s="1" t="s">
        <v>1787</v>
      </c>
      <c r="Q770" s="1" t="s">
        <v>1788</v>
      </c>
      <c r="R770" s="1">
        <v>1.0</v>
      </c>
      <c r="S770" s="1"/>
    </row>
    <row r="771" ht="15.75" customHeight="1">
      <c r="A771" s="1" t="s">
        <v>1947</v>
      </c>
      <c r="B771" s="1" t="s">
        <v>1948</v>
      </c>
      <c r="C771" s="1" t="s">
        <v>1949</v>
      </c>
      <c r="E771" s="1">
        <v>30.3331731</v>
      </c>
      <c r="F771" s="1">
        <v>78.0505568</v>
      </c>
      <c r="G771" s="1" t="s">
        <v>54</v>
      </c>
      <c r="H771" s="1" t="s">
        <v>55</v>
      </c>
      <c r="J771" s="1" t="s">
        <v>56</v>
      </c>
      <c r="K771" s="1" t="s">
        <v>26</v>
      </c>
      <c r="L771" s="1" t="s">
        <v>27</v>
      </c>
      <c r="N771" s="1" t="s">
        <v>1950</v>
      </c>
      <c r="O771" s="1" t="s">
        <v>57</v>
      </c>
      <c r="P771" s="1" t="s">
        <v>1951</v>
      </c>
      <c r="Q771" s="1" t="s">
        <v>1952</v>
      </c>
      <c r="R771" s="1">
        <v>2.0</v>
      </c>
      <c r="S771" s="1"/>
    </row>
    <row r="772" ht="15.75" customHeight="1">
      <c r="A772" s="1" t="s">
        <v>1953</v>
      </c>
      <c r="B772" s="1" t="s">
        <v>1954</v>
      </c>
      <c r="C772" s="1" t="s">
        <v>1949</v>
      </c>
      <c r="E772" s="1">
        <v>30.2660634</v>
      </c>
      <c r="F772" s="1">
        <v>78.0819203</v>
      </c>
      <c r="G772" s="1" t="s">
        <v>54</v>
      </c>
      <c r="H772" s="1" t="s">
        <v>55</v>
      </c>
      <c r="J772" s="1" t="s">
        <v>56</v>
      </c>
      <c r="K772" s="1" t="s">
        <v>26</v>
      </c>
      <c r="L772" s="1" t="s">
        <v>27</v>
      </c>
      <c r="N772" s="1" t="s">
        <v>1950</v>
      </c>
      <c r="O772" s="1" t="s">
        <v>57</v>
      </c>
      <c r="P772" s="1" t="s">
        <v>1951</v>
      </c>
      <c r="Q772" s="1" t="s">
        <v>1952</v>
      </c>
      <c r="R772" s="1">
        <v>1.0</v>
      </c>
      <c r="S772" s="1"/>
    </row>
    <row r="773" ht="15.75" customHeight="1">
      <c r="A773" s="1" t="s">
        <v>1955</v>
      </c>
      <c r="B773" s="1" t="s">
        <v>1956</v>
      </c>
      <c r="C773" s="1" t="s">
        <v>1957</v>
      </c>
      <c r="E773" s="1">
        <v>29.9348825</v>
      </c>
      <c r="F773" s="1">
        <v>78.13396019999999</v>
      </c>
      <c r="G773" s="1" t="s">
        <v>54</v>
      </c>
      <c r="H773" s="1" t="s">
        <v>55</v>
      </c>
      <c r="J773" s="1" t="s">
        <v>56</v>
      </c>
      <c r="K773" s="1" t="s">
        <v>26</v>
      </c>
      <c r="L773" s="1" t="s">
        <v>27</v>
      </c>
      <c r="N773" s="1" t="s">
        <v>1950</v>
      </c>
      <c r="O773" s="1" t="s">
        <v>57</v>
      </c>
      <c r="P773" s="1" t="s">
        <v>1951</v>
      </c>
      <c r="Q773" s="1" t="s">
        <v>1952</v>
      </c>
      <c r="R773" s="1">
        <v>1.0</v>
      </c>
      <c r="S773" s="1"/>
    </row>
    <row r="774" ht="15.75" customHeight="1">
      <c r="A774" s="1" t="s">
        <v>1958</v>
      </c>
      <c r="B774" s="1" t="s">
        <v>1959</v>
      </c>
      <c r="C774" s="1" t="s">
        <v>1949</v>
      </c>
      <c r="E774" s="1">
        <v>30.3280624</v>
      </c>
      <c r="F774" s="1">
        <v>78.0319004</v>
      </c>
      <c r="G774" s="1" t="s">
        <v>54</v>
      </c>
      <c r="H774" s="1" t="s">
        <v>55</v>
      </c>
      <c r="J774" s="1" t="s">
        <v>56</v>
      </c>
      <c r="K774" s="1" t="s">
        <v>26</v>
      </c>
      <c r="L774" s="1" t="s">
        <v>27</v>
      </c>
      <c r="N774" s="1" t="s">
        <v>1950</v>
      </c>
      <c r="O774" s="1" t="s">
        <v>57</v>
      </c>
      <c r="P774" s="1" t="s">
        <v>1951</v>
      </c>
      <c r="Q774" s="1" t="s">
        <v>1952</v>
      </c>
      <c r="R774" s="1">
        <v>3.0</v>
      </c>
      <c r="S774" s="1"/>
    </row>
    <row r="775" ht="15.75" customHeight="1">
      <c r="A775" s="1" t="s">
        <v>1960</v>
      </c>
      <c r="B775" s="1" t="s">
        <v>1961</v>
      </c>
      <c r="C775" s="1" t="s">
        <v>1949</v>
      </c>
      <c r="E775" s="1">
        <v>30.3012233</v>
      </c>
      <c r="F775" s="1">
        <v>78.0092821</v>
      </c>
      <c r="G775" s="1" t="s">
        <v>54</v>
      </c>
      <c r="H775" s="1" t="s">
        <v>55</v>
      </c>
      <c r="J775" s="1" t="s">
        <v>56</v>
      </c>
      <c r="K775" s="1" t="s">
        <v>26</v>
      </c>
      <c r="L775" s="1" t="s">
        <v>27</v>
      </c>
      <c r="N775" s="1" t="s">
        <v>1950</v>
      </c>
      <c r="O775" s="1" t="s">
        <v>57</v>
      </c>
      <c r="P775" s="1" t="s">
        <v>1951</v>
      </c>
      <c r="Q775" s="1" t="s">
        <v>1952</v>
      </c>
      <c r="R775" s="1">
        <v>3.0</v>
      </c>
      <c r="S775" s="1"/>
    </row>
    <row r="776" ht="15.75" customHeight="1">
      <c r="A776" s="1" t="s">
        <v>1962</v>
      </c>
      <c r="B776" s="1" t="s">
        <v>1963</v>
      </c>
      <c r="C776" s="1" t="s">
        <v>1786</v>
      </c>
      <c r="E776" s="1">
        <v>20.2855982</v>
      </c>
      <c r="F776" s="1">
        <v>85.8430747</v>
      </c>
      <c r="G776" s="1" t="s">
        <v>54</v>
      </c>
      <c r="H776" s="1" t="s">
        <v>55</v>
      </c>
      <c r="J776" s="1" t="s">
        <v>118</v>
      </c>
      <c r="K776" s="1" t="s">
        <v>26</v>
      </c>
      <c r="L776" s="1" t="s">
        <v>27</v>
      </c>
      <c r="N776" s="1" t="s">
        <v>1874</v>
      </c>
      <c r="O776" s="1" t="s">
        <v>29</v>
      </c>
      <c r="P776" s="1" t="s">
        <v>1964</v>
      </c>
      <c r="Q776" s="1" t="s">
        <v>1965</v>
      </c>
      <c r="R776" s="1">
        <v>9.0</v>
      </c>
      <c r="S776" s="1"/>
    </row>
    <row r="777" ht="15.75" customHeight="1">
      <c r="A777" s="1" t="s">
        <v>1966</v>
      </c>
      <c r="B777" s="1" t="s">
        <v>1967</v>
      </c>
      <c r="C777" s="1" t="s">
        <v>1968</v>
      </c>
      <c r="E777" s="1">
        <v>20.4686927</v>
      </c>
      <c r="F777" s="1">
        <v>85.89637139999999</v>
      </c>
      <c r="G777" s="1" t="s">
        <v>54</v>
      </c>
      <c r="H777" s="1" t="s">
        <v>55</v>
      </c>
      <c r="J777" s="1" t="s">
        <v>56</v>
      </c>
      <c r="K777" s="1" t="s">
        <v>26</v>
      </c>
      <c r="L777" s="1" t="s">
        <v>27</v>
      </c>
      <c r="N777" s="1" t="s">
        <v>1874</v>
      </c>
      <c r="O777" s="1" t="s">
        <v>57</v>
      </c>
      <c r="P777" s="1" t="s">
        <v>1964</v>
      </c>
      <c r="Q777" s="1" t="s">
        <v>1965</v>
      </c>
      <c r="R777" s="1">
        <v>6.0</v>
      </c>
      <c r="S777" s="1"/>
    </row>
    <row r="778" ht="15.75" customHeight="1">
      <c r="A778" s="1" t="s">
        <v>1969</v>
      </c>
      <c r="B778" s="1" t="s">
        <v>1970</v>
      </c>
      <c r="C778" s="1" t="s">
        <v>1786</v>
      </c>
      <c r="E778" s="1">
        <v>20.3417502</v>
      </c>
      <c r="F778" s="1">
        <v>85.8224142</v>
      </c>
      <c r="G778" s="1" t="s">
        <v>54</v>
      </c>
      <c r="H778" s="1" t="s">
        <v>55</v>
      </c>
      <c r="J778" s="1" t="s">
        <v>118</v>
      </c>
      <c r="K778" s="1" t="s">
        <v>26</v>
      </c>
      <c r="L778" s="1" t="s">
        <v>27</v>
      </c>
      <c r="N778" s="1" t="s">
        <v>1874</v>
      </c>
      <c r="O778" s="1" t="s">
        <v>29</v>
      </c>
      <c r="P778" s="1" t="s">
        <v>1964</v>
      </c>
      <c r="Q778" s="1" t="s">
        <v>1965</v>
      </c>
      <c r="R778" s="1">
        <v>10.0</v>
      </c>
      <c r="S778" s="1"/>
    </row>
    <row r="779" ht="15.75" customHeight="1">
      <c r="A779" s="1" t="s">
        <v>1971</v>
      </c>
      <c r="B779" s="1" t="s">
        <v>1972</v>
      </c>
      <c r="C779" s="1" t="s">
        <v>1786</v>
      </c>
      <c r="E779" s="1">
        <v>20.2387031</v>
      </c>
      <c r="F779" s="1">
        <v>85.841306</v>
      </c>
      <c r="G779" s="1" t="s">
        <v>54</v>
      </c>
      <c r="H779" s="1" t="s">
        <v>55</v>
      </c>
      <c r="J779" s="1" t="s">
        <v>56</v>
      </c>
      <c r="K779" s="1" t="s">
        <v>26</v>
      </c>
      <c r="L779" s="1" t="s">
        <v>27</v>
      </c>
      <c r="N779" s="1" t="s">
        <v>1874</v>
      </c>
      <c r="O779" s="1" t="s">
        <v>57</v>
      </c>
      <c r="P779" s="1" t="s">
        <v>1964</v>
      </c>
      <c r="Q779" s="1" t="s">
        <v>1965</v>
      </c>
      <c r="R779" s="1">
        <v>8.0</v>
      </c>
      <c r="S779" s="1"/>
    </row>
    <row r="780" ht="15.75" customHeight="1">
      <c r="A780" s="1" t="s">
        <v>1973</v>
      </c>
      <c r="B780" s="1" t="s">
        <v>1974</v>
      </c>
      <c r="C780" s="1" t="s">
        <v>1975</v>
      </c>
      <c r="E780" s="1">
        <v>19.8769632</v>
      </c>
      <c r="F780" s="1">
        <v>75.37182279999999</v>
      </c>
      <c r="G780" s="1" t="s">
        <v>54</v>
      </c>
      <c r="H780" s="1" t="s">
        <v>55</v>
      </c>
      <c r="J780" s="1" t="s">
        <v>56</v>
      </c>
      <c r="K780" s="1" t="s">
        <v>26</v>
      </c>
      <c r="L780" s="1" t="s">
        <v>27</v>
      </c>
      <c r="N780" s="1" t="s">
        <v>143</v>
      </c>
      <c r="O780" s="1" t="s">
        <v>29</v>
      </c>
      <c r="P780" s="1" t="s">
        <v>569</v>
      </c>
      <c r="Q780" s="1" t="s">
        <v>570</v>
      </c>
      <c r="R780" s="1">
        <v>0.0</v>
      </c>
      <c r="S780" s="1"/>
    </row>
    <row r="781" ht="15.75" customHeight="1">
      <c r="A781" s="1" t="s">
        <v>1976</v>
      </c>
      <c r="B781" s="1" t="s">
        <v>1977</v>
      </c>
      <c r="C781" s="1" t="s">
        <v>1978</v>
      </c>
      <c r="E781" s="1">
        <v>20.0080078</v>
      </c>
      <c r="F781" s="1">
        <v>73.7639604</v>
      </c>
      <c r="G781" s="1" t="s">
        <v>54</v>
      </c>
      <c r="H781" s="1" t="s">
        <v>55</v>
      </c>
      <c r="J781" s="1" t="s">
        <v>25</v>
      </c>
      <c r="K781" s="1" t="s">
        <v>26</v>
      </c>
      <c r="L781" s="1" t="s">
        <v>27</v>
      </c>
      <c r="N781" s="1" t="s">
        <v>143</v>
      </c>
      <c r="O781" s="1" t="s">
        <v>29</v>
      </c>
      <c r="P781" s="1" t="s">
        <v>569</v>
      </c>
      <c r="Q781" s="1" t="s">
        <v>570</v>
      </c>
      <c r="R781" s="1">
        <v>1.0</v>
      </c>
      <c r="S781" s="1"/>
    </row>
    <row r="782" ht="15.75" customHeight="1">
      <c r="A782" s="1" t="s">
        <v>1979</v>
      </c>
      <c r="B782" s="1" t="s">
        <v>1980</v>
      </c>
      <c r="C782" s="1" t="s">
        <v>1981</v>
      </c>
      <c r="E782" s="1">
        <v>18.1626071</v>
      </c>
      <c r="F782" s="1">
        <v>74.5908733</v>
      </c>
      <c r="G782" s="1" t="s">
        <v>54</v>
      </c>
      <c r="H782" s="1" t="s">
        <v>55</v>
      </c>
      <c r="J782" s="1" t="s">
        <v>56</v>
      </c>
      <c r="K782" s="1" t="s">
        <v>26</v>
      </c>
      <c r="L782" s="1" t="s">
        <v>27</v>
      </c>
      <c r="N782" s="1" t="s">
        <v>143</v>
      </c>
      <c r="O782" s="1" t="s">
        <v>57</v>
      </c>
      <c r="P782" s="1" t="s">
        <v>569</v>
      </c>
      <c r="Q782" s="1" t="s">
        <v>570</v>
      </c>
      <c r="R782" s="1">
        <v>0.0</v>
      </c>
      <c r="S782" s="1"/>
    </row>
    <row r="783" ht="15.75" customHeight="1">
      <c r="A783" s="1" t="s">
        <v>1982</v>
      </c>
      <c r="B783" s="1" t="s">
        <v>1983</v>
      </c>
      <c r="C783" s="1" t="s">
        <v>1975</v>
      </c>
      <c r="E783" s="1">
        <v>19.8404108</v>
      </c>
      <c r="F783" s="1">
        <v>75.2373392</v>
      </c>
      <c r="G783" s="1" t="s">
        <v>54</v>
      </c>
      <c r="H783" s="1" t="s">
        <v>55</v>
      </c>
      <c r="J783" s="1" t="s">
        <v>44</v>
      </c>
      <c r="K783" s="1" t="s">
        <v>26</v>
      </c>
      <c r="L783" s="1" t="s">
        <v>27</v>
      </c>
      <c r="N783" s="1" t="s">
        <v>143</v>
      </c>
      <c r="O783" s="1" t="s">
        <v>29</v>
      </c>
      <c r="P783" s="1" t="s">
        <v>569</v>
      </c>
      <c r="Q783" s="1" t="s">
        <v>570</v>
      </c>
      <c r="R783" s="1">
        <v>0.0</v>
      </c>
      <c r="S783" s="1"/>
    </row>
    <row r="784" ht="15.75" customHeight="1">
      <c r="A784" s="1" t="s">
        <v>1984</v>
      </c>
      <c r="B784" s="1" t="s">
        <v>1985</v>
      </c>
      <c r="C784" s="1" t="s">
        <v>1978</v>
      </c>
      <c r="E784" s="1">
        <v>19.9794898</v>
      </c>
      <c r="F784" s="1">
        <v>73.807147</v>
      </c>
      <c r="G784" s="1" t="s">
        <v>54</v>
      </c>
      <c r="H784" s="1" t="s">
        <v>55</v>
      </c>
      <c r="J784" s="1" t="s">
        <v>44</v>
      </c>
      <c r="K784" s="1" t="s">
        <v>26</v>
      </c>
      <c r="L784" s="1" t="s">
        <v>27</v>
      </c>
      <c r="N784" s="1" t="s">
        <v>143</v>
      </c>
      <c r="O784" s="1" t="s">
        <v>29</v>
      </c>
      <c r="P784" s="1" t="s">
        <v>569</v>
      </c>
      <c r="Q784" s="1" t="s">
        <v>570</v>
      </c>
      <c r="R784" s="1">
        <v>1.0</v>
      </c>
      <c r="S784" s="1"/>
    </row>
    <row r="785" ht="15.75" customHeight="1">
      <c r="A785" s="1" t="s">
        <v>1986</v>
      </c>
      <c r="B785" s="1" t="s">
        <v>1987</v>
      </c>
      <c r="C785" s="1" t="s">
        <v>1988</v>
      </c>
      <c r="E785" s="1">
        <v>21.2386435</v>
      </c>
      <c r="F785" s="1">
        <v>81.6787549</v>
      </c>
      <c r="G785" s="1" t="s">
        <v>54</v>
      </c>
      <c r="H785" s="1" t="s">
        <v>55</v>
      </c>
      <c r="J785" s="1" t="s">
        <v>56</v>
      </c>
      <c r="K785" s="1" t="s">
        <v>26</v>
      </c>
      <c r="L785" s="1" t="s">
        <v>27</v>
      </c>
      <c r="N785" s="1" t="s">
        <v>1989</v>
      </c>
      <c r="O785" s="1" t="s">
        <v>29</v>
      </c>
      <c r="P785" s="1" t="s">
        <v>1990</v>
      </c>
      <c r="Q785" s="1" t="s">
        <v>1991</v>
      </c>
      <c r="R785" s="1">
        <v>0.0</v>
      </c>
      <c r="S785" s="1"/>
    </row>
    <row r="786" ht="15.75" customHeight="1">
      <c r="A786" s="1" t="s">
        <v>1992</v>
      </c>
      <c r="B786" s="1" t="s">
        <v>1993</v>
      </c>
      <c r="C786" s="1" t="s">
        <v>1994</v>
      </c>
      <c r="E786" s="1">
        <v>22.0708303</v>
      </c>
      <c r="F786" s="1">
        <v>82.1498967</v>
      </c>
      <c r="G786" s="1" t="s">
        <v>54</v>
      </c>
      <c r="H786" s="1" t="s">
        <v>55</v>
      </c>
      <c r="J786" s="1" t="s">
        <v>56</v>
      </c>
      <c r="K786" s="1" t="s">
        <v>26</v>
      </c>
      <c r="L786" s="1" t="s">
        <v>27</v>
      </c>
      <c r="N786" s="1" t="s">
        <v>1989</v>
      </c>
      <c r="O786" s="1" t="s">
        <v>29</v>
      </c>
      <c r="P786" s="1" t="s">
        <v>1990</v>
      </c>
      <c r="Q786" s="1" t="s">
        <v>1991</v>
      </c>
      <c r="R786" s="1">
        <v>0.0</v>
      </c>
      <c r="S786" s="1"/>
    </row>
    <row r="787" ht="15.75" customHeight="1">
      <c r="A787" s="1" t="s">
        <v>1995</v>
      </c>
      <c r="B787" s="1" t="s">
        <v>1996</v>
      </c>
      <c r="C787" s="1" t="s">
        <v>1997</v>
      </c>
      <c r="E787" s="1">
        <v>17.6820101</v>
      </c>
      <c r="F787" s="1">
        <v>75.895833</v>
      </c>
      <c r="G787" s="1" t="s">
        <v>54</v>
      </c>
      <c r="H787" s="1" t="s">
        <v>55</v>
      </c>
      <c r="J787" s="1" t="s">
        <v>118</v>
      </c>
      <c r="K787" s="1" t="s">
        <v>26</v>
      </c>
      <c r="L787" s="1" t="s">
        <v>27</v>
      </c>
      <c r="N787" s="1" t="s">
        <v>143</v>
      </c>
      <c r="O787" s="1" t="s">
        <v>29</v>
      </c>
      <c r="P787" s="1" t="s">
        <v>569</v>
      </c>
      <c r="Q787" s="1" t="s">
        <v>570</v>
      </c>
      <c r="R787" s="1">
        <v>0.0</v>
      </c>
      <c r="S787" s="1"/>
    </row>
    <row r="788" ht="15.75" customHeight="1">
      <c r="A788" s="1" t="s">
        <v>1998</v>
      </c>
      <c r="B788" s="1" t="s">
        <v>1999</v>
      </c>
      <c r="C788" s="1" t="s">
        <v>2000</v>
      </c>
      <c r="E788" s="1">
        <v>18.4141648</v>
      </c>
      <c r="F788" s="1">
        <v>76.56888889999999</v>
      </c>
      <c r="G788" s="1" t="s">
        <v>54</v>
      </c>
      <c r="H788" s="1" t="s">
        <v>55</v>
      </c>
      <c r="J788" s="1" t="s">
        <v>56</v>
      </c>
      <c r="K788" s="1" t="s">
        <v>26</v>
      </c>
      <c r="L788" s="1" t="s">
        <v>27</v>
      </c>
      <c r="N788" s="1" t="s">
        <v>143</v>
      </c>
      <c r="O788" s="1" t="s">
        <v>57</v>
      </c>
      <c r="P788" s="1" t="s">
        <v>569</v>
      </c>
      <c r="Q788" s="1" t="s">
        <v>570</v>
      </c>
      <c r="R788" s="1">
        <v>0.0</v>
      </c>
      <c r="S788" s="1"/>
    </row>
    <row r="789" ht="15.75" customHeight="1">
      <c r="A789" s="1" t="s">
        <v>2001</v>
      </c>
      <c r="B789" s="1" t="s">
        <v>2002</v>
      </c>
      <c r="C789" s="1" t="s">
        <v>2003</v>
      </c>
      <c r="E789" s="1">
        <v>20.907373</v>
      </c>
      <c r="F789" s="1">
        <v>77.7512035</v>
      </c>
      <c r="G789" s="1" t="s">
        <v>54</v>
      </c>
      <c r="H789" s="1" t="s">
        <v>55</v>
      </c>
      <c r="J789" s="1" t="s">
        <v>56</v>
      </c>
      <c r="K789" s="1" t="s">
        <v>26</v>
      </c>
      <c r="L789" s="1" t="s">
        <v>27</v>
      </c>
      <c r="N789" s="1" t="s">
        <v>143</v>
      </c>
      <c r="O789" s="1" t="s">
        <v>57</v>
      </c>
      <c r="P789" s="1" t="s">
        <v>569</v>
      </c>
      <c r="Q789" s="1" t="s">
        <v>570</v>
      </c>
      <c r="R789" s="1">
        <v>0.0</v>
      </c>
      <c r="S789" s="1"/>
    </row>
    <row r="790" ht="15.75" customHeight="1">
      <c r="A790" s="1" t="s">
        <v>2004</v>
      </c>
      <c r="B790" s="1" t="s">
        <v>2005</v>
      </c>
      <c r="C790" s="1" t="s">
        <v>2006</v>
      </c>
      <c r="E790" s="1">
        <v>21.2057765</v>
      </c>
      <c r="F790" s="1">
        <v>81.34177319999999</v>
      </c>
      <c r="G790" s="1" t="s">
        <v>54</v>
      </c>
      <c r="H790" s="1" t="s">
        <v>55</v>
      </c>
      <c r="J790" s="1" t="s">
        <v>56</v>
      </c>
      <c r="K790" s="1" t="s">
        <v>26</v>
      </c>
      <c r="L790" s="1" t="s">
        <v>27</v>
      </c>
      <c r="N790" s="1" t="s">
        <v>1989</v>
      </c>
      <c r="O790" s="1" t="s">
        <v>29</v>
      </c>
      <c r="P790" s="1" t="s">
        <v>1990</v>
      </c>
      <c r="Q790" s="1" t="s">
        <v>1991</v>
      </c>
      <c r="R790" s="1">
        <v>0.0</v>
      </c>
      <c r="S790" s="1"/>
    </row>
    <row r="791" ht="15.75" customHeight="1">
      <c r="A791" s="1" t="s">
        <v>2007</v>
      </c>
      <c r="B791" s="1" t="s">
        <v>2008</v>
      </c>
      <c r="C791" s="1" t="s">
        <v>2009</v>
      </c>
      <c r="E791" s="1">
        <v>20.6959318</v>
      </c>
      <c r="F791" s="1">
        <v>77.0128325</v>
      </c>
      <c r="G791" s="1" t="s">
        <v>54</v>
      </c>
      <c r="H791" s="1" t="s">
        <v>55</v>
      </c>
      <c r="J791" s="1" t="s">
        <v>56</v>
      </c>
      <c r="K791" s="1" t="s">
        <v>26</v>
      </c>
      <c r="L791" s="1" t="s">
        <v>27</v>
      </c>
      <c r="N791" s="1" t="s">
        <v>143</v>
      </c>
      <c r="O791" s="1" t="s">
        <v>57</v>
      </c>
      <c r="P791" s="1" t="s">
        <v>569</v>
      </c>
      <c r="Q791" s="1" t="s">
        <v>570</v>
      </c>
      <c r="R791" s="1">
        <v>0.0</v>
      </c>
      <c r="S791" s="1"/>
    </row>
    <row r="792" ht="15.75" customHeight="1">
      <c r="A792" s="1" t="s">
        <v>2010</v>
      </c>
      <c r="B792" s="1" t="s">
        <v>2011</v>
      </c>
      <c r="C792" s="1" t="s">
        <v>2012</v>
      </c>
      <c r="E792" s="1">
        <v>19.1191774</v>
      </c>
      <c r="F792" s="1">
        <v>74.7289341</v>
      </c>
      <c r="G792" s="1" t="s">
        <v>54</v>
      </c>
      <c r="H792" s="1" t="s">
        <v>55</v>
      </c>
      <c r="J792" s="1" t="s">
        <v>44</v>
      </c>
      <c r="K792" s="1" t="s">
        <v>26</v>
      </c>
      <c r="L792" s="1" t="s">
        <v>27</v>
      </c>
      <c r="N792" s="1" t="s">
        <v>143</v>
      </c>
      <c r="O792" s="1" t="s">
        <v>29</v>
      </c>
      <c r="P792" s="1" t="s">
        <v>569</v>
      </c>
      <c r="Q792" s="1" t="s">
        <v>570</v>
      </c>
      <c r="R792" s="1">
        <v>5.0</v>
      </c>
      <c r="S792" s="1"/>
    </row>
    <row r="793" ht="15.75" customHeight="1">
      <c r="A793" s="1" t="s">
        <v>2013</v>
      </c>
      <c r="B793" s="1" t="s">
        <v>2014</v>
      </c>
      <c r="C793" s="1" t="s">
        <v>1978</v>
      </c>
      <c r="E793" s="1">
        <v>19.9480918</v>
      </c>
      <c r="F793" s="1">
        <v>73.77134219999999</v>
      </c>
      <c r="G793" s="1" t="s">
        <v>54</v>
      </c>
      <c r="H793" s="1" t="s">
        <v>55</v>
      </c>
      <c r="J793" s="1" t="s">
        <v>56</v>
      </c>
      <c r="K793" s="1" t="s">
        <v>26</v>
      </c>
      <c r="L793" s="1" t="s">
        <v>27</v>
      </c>
      <c r="N793" s="1" t="s">
        <v>143</v>
      </c>
      <c r="O793" s="1" t="s">
        <v>57</v>
      </c>
      <c r="P793" s="1" t="s">
        <v>569</v>
      </c>
      <c r="Q793" s="1" t="s">
        <v>570</v>
      </c>
      <c r="R793" s="1">
        <v>1.0</v>
      </c>
      <c r="S793" s="1"/>
    </row>
    <row r="794" ht="15.75" customHeight="1">
      <c r="A794" s="1" t="s">
        <v>2015</v>
      </c>
      <c r="B794" s="1" t="s">
        <v>2016</v>
      </c>
      <c r="C794" s="1" t="s">
        <v>1988</v>
      </c>
      <c r="E794" s="1">
        <v>21.2439722</v>
      </c>
      <c r="F794" s="1">
        <v>81.61111149999999</v>
      </c>
      <c r="G794" s="1" t="s">
        <v>54</v>
      </c>
      <c r="H794" s="1" t="s">
        <v>55</v>
      </c>
      <c r="J794" s="1" t="s">
        <v>56</v>
      </c>
      <c r="K794" s="1" t="s">
        <v>26</v>
      </c>
      <c r="L794" s="1" t="s">
        <v>27</v>
      </c>
      <c r="N794" s="1" t="s">
        <v>1989</v>
      </c>
      <c r="O794" s="1" t="s">
        <v>29</v>
      </c>
      <c r="P794" s="1" t="s">
        <v>1990</v>
      </c>
      <c r="Q794" s="1" t="s">
        <v>1991</v>
      </c>
      <c r="R794" s="1">
        <v>0.0</v>
      </c>
      <c r="S794" s="1"/>
    </row>
    <row r="795" ht="15.75" customHeight="1">
      <c r="A795" s="1" t="s">
        <v>2017</v>
      </c>
      <c r="B795" s="1" t="s">
        <v>2018</v>
      </c>
      <c r="C795" s="1" t="s">
        <v>2019</v>
      </c>
      <c r="E795" s="1">
        <v>19.9790405</v>
      </c>
      <c r="F795" s="1">
        <v>79.2799988</v>
      </c>
      <c r="G795" s="1" t="s">
        <v>54</v>
      </c>
      <c r="H795" s="1" t="s">
        <v>55</v>
      </c>
      <c r="J795" s="1" t="s">
        <v>56</v>
      </c>
      <c r="K795" s="1" t="s">
        <v>26</v>
      </c>
      <c r="L795" s="1" t="s">
        <v>27</v>
      </c>
      <c r="N795" s="1" t="s">
        <v>143</v>
      </c>
      <c r="O795" s="1" t="s">
        <v>57</v>
      </c>
      <c r="P795" s="1" t="s">
        <v>569</v>
      </c>
      <c r="Q795" s="1" t="s">
        <v>570</v>
      </c>
      <c r="R795" s="1">
        <v>0.0</v>
      </c>
      <c r="S795" s="1"/>
    </row>
    <row r="796" ht="15.75" customHeight="1">
      <c r="A796" s="1" t="s">
        <v>2020</v>
      </c>
      <c r="B796" s="1" t="s">
        <v>2021</v>
      </c>
      <c r="C796" s="1" t="s">
        <v>2022</v>
      </c>
      <c r="E796" s="1">
        <v>21.1171341</v>
      </c>
      <c r="F796" s="1">
        <v>79.0719057</v>
      </c>
      <c r="G796" s="1" t="s">
        <v>54</v>
      </c>
      <c r="H796" s="1" t="s">
        <v>55</v>
      </c>
      <c r="J796" s="1" t="s">
        <v>44</v>
      </c>
      <c r="K796" s="1" t="s">
        <v>26</v>
      </c>
      <c r="L796" s="1" t="s">
        <v>27</v>
      </c>
      <c r="N796" s="1" t="s">
        <v>143</v>
      </c>
      <c r="O796" s="1" t="s">
        <v>29</v>
      </c>
      <c r="P796" s="1" t="s">
        <v>569</v>
      </c>
      <c r="Q796" s="1" t="s">
        <v>570</v>
      </c>
      <c r="R796" s="1">
        <v>0.0</v>
      </c>
      <c r="S796" s="1"/>
    </row>
    <row r="797" ht="15.75" customHeight="1">
      <c r="A797" s="1" t="s">
        <v>2023</v>
      </c>
      <c r="B797" s="1" t="s">
        <v>2024</v>
      </c>
      <c r="C797" s="1" t="s">
        <v>2025</v>
      </c>
      <c r="E797" s="1">
        <v>19.8486838</v>
      </c>
      <c r="F797" s="1">
        <v>75.8977786</v>
      </c>
      <c r="G797" s="1" t="s">
        <v>54</v>
      </c>
      <c r="H797" s="1" t="s">
        <v>55</v>
      </c>
      <c r="J797" s="1" t="s">
        <v>56</v>
      </c>
      <c r="K797" s="1" t="s">
        <v>26</v>
      </c>
      <c r="L797" s="1" t="s">
        <v>27</v>
      </c>
      <c r="N797" s="1" t="s">
        <v>143</v>
      </c>
      <c r="O797" s="1" t="s">
        <v>57</v>
      </c>
      <c r="P797" s="1" t="s">
        <v>569</v>
      </c>
      <c r="Q797" s="1" t="s">
        <v>570</v>
      </c>
      <c r="R797" s="1">
        <v>0.0</v>
      </c>
      <c r="S797" s="1"/>
    </row>
    <row r="798" ht="15.75" customHeight="1">
      <c r="A798" s="1" t="s">
        <v>2026</v>
      </c>
      <c r="B798" s="1" t="s">
        <v>2027</v>
      </c>
      <c r="C798" s="1" t="s">
        <v>2028</v>
      </c>
      <c r="E798" s="1">
        <v>21.0866089</v>
      </c>
      <c r="F798" s="1">
        <v>81.0348732</v>
      </c>
      <c r="G798" s="1" t="s">
        <v>54</v>
      </c>
      <c r="H798" s="1" t="s">
        <v>55</v>
      </c>
      <c r="J798" s="1" t="s">
        <v>56</v>
      </c>
      <c r="K798" s="1" t="s">
        <v>26</v>
      </c>
      <c r="L798" s="1" t="s">
        <v>27</v>
      </c>
      <c r="N798" s="1" t="s">
        <v>1989</v>
      </c>
      <c r="O798" s="1" t="s">
        <v>29</v>
      </c>
      <c r="P798" s="1" t="s">
        <v>1990</v>
      </c>
      <c r="Q798" s="1" t="s">
        <v>1991</v>
      </c>
      <c r="R798" s="1">
        <v>0.0</v>
      </c>
      <c r="S798" s="1"/>
    </row>
    <row r="799" ht="15.75" customHeight="1">
      <c r="A799" s="1" t="s">
        <v>2029</v>
      </c>
      <c r="B799" s="1" t="s">
        <v>2030</v>
      </c>
      <c r="C799" s="1" t="s">
        <v>2031</v>
      </c>
      <c r="E799" s="1">
        <v>16.6784874</v>
      </c>
      <c r="F799" s="1">
        <v>74.4665466</v>
      </c>
      <c r="G799" s="1" t="s">
        <v>54</v>
      </c>
      <c r="H799" s="1" t="s">
        <v>55</v>
      </c>
      <c r="J799" s="1" t="s">
        <v>221</v>
      </c>
      <c r="K799" s="1" t="s">
        <v>26</v>
      </c>
      <c r="L799" s="1" t="s">
        <v>27</v>
      </c>
      <c r="N799" s="1" t="s">
        <v>143</v>
      </c>
      <c r="O799" s="1" t="s">
        <v>57</v>
      </c>
      <c r="P799" s="1" t="s">
        <v>569</v>
      </c>
      <c r="Q799" s="1" t="s">
        <v>570</v>
      </c>
      <c r="R799" s="1">
        <v>0.0</v>
      </c>
      <c r="S799" s="1"/>
    </row>
    <row r="800" ht="15.75" customHeight="1">
      <c r="A800" s="1" t="s">
        <v>2032</v>
      </c>
      <c r="B800" s="1" t="s">
        <v>2033</v>
      </c>
      <c r="C800" s="1" t="s">
        <v>1997</v>
      </c>
      <c r="E800" s="1">
        <v>17.6366247</v>
      </c>
      <c r="F800" s="1">
        <v>75.9201562</v>
      </c>
      <c r="G800" s="1" t="s">
        <v>54</v>
      </c>
      <c r="H800" s="1" t="s">
        <v>55</v>
      </c>
      <c r="J800" s="1" t="s">
        <v>56</v>
      </c>
      <c r="K800" s="1" t="s">
        <v>26</v>
      </c>
      <c r="L800" s="1" t="s">
        <v>27</v>
      </c>
      <c r="N800" s="1" t="s">
        <v>143</v>
      </c>
      <c r="O800" s="1" t="s">
        <v>57</v>
      </c>
      <c r="P800" s="1" t="s">
        <v>569</v>
      </c>
      <c r="Q800" s="1" t="s">
        <v>570</v>
      </c>
      <c r="R800" s="1">
        <v>0.0</v>
      </c>
      <c r="S800" s="1"/>
    </row>
    <row r="801" ht="15.75" customHeight="1">
      <c r="A801" s="1" t="s">
        <v>2034</v>
      </c>
      <c r="B801" s="1" t="s">
        <v>2035</v>
      </c>
      <c r="C801" s="1" t="s">
        <v>2036</v>
      </c>
      <c r="E801" s="1">
        <v>16.8318631</v>
      </c>
      <c r="F801" s="1">
        <v>74.641692</v>
      </c>
      <c r="G801" s="1" t="s">
        <v>54</v>
      </c>
      <c r="H801" s="1" t="s">
        <v>55</v>
      </c>
      <c r="J801" s="1" t="s">
        <v>56</v>
      </c>
      <c r="K801" s="1" t="s">
        <v>26</v>
      </c>
      <c r="L801" s="1" t="s">
        <v>27</v>
      </c>
      <c r="N801" s="1" t="s">
        <v>143</v>
      </c>
      <c r="O801" s="1" t="s">
        <v>57</v>
      </c>
      <c r="P801" s="1" t="s">
        <v>569</v>
      </c>
      <c r="Q801" s="1" t="s">
        <v>570</v>
      </c>
      <c r="R801" s="1">
        <v>0.0</v>
      </c>
      <c r="S801" s="1"/>
    </row>
    <row r="802" ht="15.75" customHeight="1">
      <c r="A802" s="1" t="s">
        <v>2037</v>
      </c>
      <c r="B802" s="1" t="s">
        <v>2038</v>
      </c>
      <c r="C802" s="1" t="s">
        <v>1975</v>
      </c>
      <c r="E802" s="1">
        <v>19.8486838</v>
      </c>
      <c r="F802" s="1">
        <v>75.8977786</v>
      </c>
      <c r="G802" s="1" t="s">
        <v>54</v>
      </c>
      <c r="H802" s="1" t="s">
        <v>55</v>
      </c>
      <c r="J802" s="1" t="s">
        <v>44</v>
      </c>
      <c r="K802" s="1" t="s">
        <v>26</v>
      </c>
      <c r="L802" s="1" t="s">
        <v>27</v>
      </c>
      <c r="N802" s="1" t="s">
        <v>143</v>
      </c>
      <c r="O802" s="1" t="s">
        <v>29</v>
      </c>
      <c r="P802" s="1" t="s">
        <v>569</v>
      </c>
      <c r="Q802" s="1" t="s">
        <v>570</v>
      </c>
      <c r="R802" s="1">
        <v>0.0</v>
      </c>
      <c r="S802" s="1"/>
    </row>
    <row r="803" ht="15.75" customHeight="1">
      <c r="A803" s="1" t="s">
        <v>2039</v>
      </c>
      <c r="B803" s="1" t="s">
        <v>2040</v>
      </c>
      <c r="C803" s="1" t="s">
        <v>2041</v>
      </c>
      <c r="E803" s="1">
        <v>18.9900072</v>
      </c>
      <c r="F803" s="1">
        <v>75.7520665</v>
      </c>
      <c r="G803" s="1" t="s">
        <v>54</v>
      </c>
      <c r="H803" s="1" t="s">
        <v>55</v>
      </c>
      <c r="J803" s="1" t="s">
        <v>56</v>
      </c>
      <c r="K803" s="1" t="s">
        <v>26</v>
      </c>
      <c r="L803" s="1" t="s">
        <v>27</v>
      </c>
      <c r="N803" s="1" t="s">
        <v>143</v>
      </c>
      <c r="O803" s="1" t="s">
        <v>57</v>
      </c>
      <c r="P803" s="1" t="s">
        <v>569</v>
      </c>
      <c r="Q803" s="1" t="s">
        <v>570</v>
      </c>
      <c r="R803" s="1">
        <v>0.0</v>
      </c>
      <c r="S803" s="1"/>
    </row>
    <row r="804" ht="15.75" customHeight="1">
      <c r="A804" s="1" t="s">
        <v>2042</v>
      </c>
      <c r="B804" s="1" t="s">
        <v>2043</v>
      </c>
      <c r="C804" s="1" t="s">
        <v>737</v>
      </c>
      <c r="E804" s="1">
        <v>20.0347241</v>
      </c>
      <c r="F804" s="1">
        <v>73.8032317</v>
      </c>
      <c r="G804" s="1" t="s">
        <v>54</v>
      </c>
      <c r="H804" s="1" t="s">
        <v>55</v>
      </c>
      <c r="J804" s="1" t="s">
        <v>44</v>
      </c>
      <c r="K804" s="1" t="s">
        <v>26</v>
      </c>
      <c r="L804" s="1" t="s">
        <v>27</v>
      </c>
      <c r="N804" s="1" t="s">
        <v>732</v>
      </c>
      <c r="O804" s="1" t="s">
        <v>29</v>
      </c>
      <c r="P804" s="1" t="s">
        <v>569</v>
      </c>
      <c r="Q804" s="1" t="s">
        <v>570</v>
      </c>
      <c r="R804" s="1">
        <v>1.0</v>
      </c>
      <c r="S804" s="1"/>
    </row>
    <row r="805" ht="15.75" customHeight="1">
      <c r="A805" s="1" t="s">
        <v>2044</v>
      </c>
      <c r="B805" s="1" t="s">
        <v>2045</v>
      </c>
      <c r="C805" s="1" t="s">
        <v>1978</v>
      </c>
      <c r="E805" s="1">
        <v>20.0148063</v>
      </c>
      <c r="F805" s="1">
        <v>73.738242</v>
      </c>
      <c r="G805" s="1" t="s">
        <v>54</v>
      </c>
      <c r="H805" s="1" t="s">
        <v>55</v>
      </c>
      <c r="J805" s="1" t="s">
        <v>56</v>
      </c>
      <c r="K805" s="1" t="s">
        <v>26</v>
      </c>
      <c r="L805" s="1" t="s">
        <v>27</v>
      </c>
      <c r="N805" s="1" t="s">
        <v>143</v>
      </c>
      <c r="O805" s="1" t="s">
        <v>57</v>
      </c>
      <c r="P805" s="1" t="s">
        <v>569</v>
      </c>
      <c r="Q805" s="1" t="s">
        <v>570</v>
      </c>
      <c r="R805" s="1">
        <v>0.0</v>
      </c>
      <c r="S805" s="1"/>
    </row>
    <row r="806" ht="15.75" customHeight="1">
      <c r="A806" s="1" t="s">
        <v>2046</v>
      </c>
      <c r="B806" s="1" t="s">
        <v>2047</v>
      </c>
      <c r="C806" s="1" t="s">
        <v>1988</v>
      </c>
      <c r="E806" s="1">
        <v>21.2189561</v>
      </c>
      <c r="F806" s="1">
        <v>81.6208042</v>
      </c>
      <c r="G806" s="1" t="s">
        <v>54</v>
      </c>
      <c r="H806" s="1" t="s">
        <v>55</v>
      </c>
      <c r="J806" s="1" t="s">
        <v>56</v>
      </c>
      <c r="K806" s="1" t="s">
        <v>26</v>
      </c>
      <c r="L806" s="1" t="s">
        <v>27</v>
      </c>
      <c r="N806" s="1" t="s">
        <v>1989</v>
      </c>
      <c r="O806" s="1" t="s">
        <v>29</v>
      </c>
      <c r="P806" s="1" t="s">
        <v>1990</v>
      </c>
      <c r="Q806" s="1" t="s">
        <v>1991</v>
      </c>
      <c r="R806" s="1">
        <v>0.0</v>
      </c>
      <c r="S806" s="1"/>
    </row>
    <row r="807" ht="15.75" customHeight="1">
      <c r="A807" s="1" t="s">
        <v>2048</v>
      </c>
      <c r="B807" s="1" t="s">
        <v>2049</v>
      </c>
      <c r="C807" s="1" t="s">
        <v>2050</v>
      </c>
      <c r="E807" s="1">
        <v>21.1962146</v>
      </c>
      <c r="F807" s="1">
        <v>81.2842302</v>
      </c>
      <c r="G807" s="1" t="s">
        <v>54</v>
      </c>
      <c r="H807" s="1" t="s">
        <v>55</v>
      </c>
      <c r="J807" s="1" t="s">
        <v>56</v>
      </c>
      <c r="K807" s="1" t="s">
        <v>26</v>
      </c>
      <c r="L807" s="1" t="s">
        <v>27</v>
      </c>
      <c r="N807" s="1" t="s">
        <v>1989</v>
      </c>
      <c r="O807" s="1" t="s">
        <v>57</v>
      </c>
      <c r="P807" s="1" t="s">
        <v>1990</v>
      </c>
      <c r="Q807" s="1" t="s">
        <v>1991</v>
      </c>
      <c r="R807" s="1">
        <v>0.0</v>
      </c>
      <c r="S807" s="1"/>
    </row>
    <row r="808" ht="15.75" customHeight="1">
      <c r="A808" s="1" t="s">
        <v>2051</v>
      </c>
      <c r="B808" s="1" t="s">
        <v>2052</v>
      </c>
      <c r="C808" s="1" t="s">
        <v>2053</v>
      </c>
      <c r="E808" s="1">
        <v>22.3644571</v>
      </c>
      <c r="F808" s="1">
        <v>82.7121738</v>
      </c>
      <c r="G808" s="1" t="s">
        <v>54</v>
      </c>
      <c r="H808" s="1" t="s">
        <v>55</v>
      </c>
      <c r="J808" s="1" t="s">
        <v>56</v>
      </c>
      <c r="K808" s="1" t="s">
        <v>26</v>
      </c>
      <c r="L808" s="1" t="s">
        <v>27</v>
      </c>
      <c r="N808" s="1" t="s">
        <v>216</v>
      </c>
      <c r="O808" s="1" t="s">
        <v>57</v>
      </c>
      <c r="P808" s="1" t="s">
        <v>1990</v>
      </c>
      <c r="Q808" s="1" t="s">
        <v>1991</v>
      </c>
      <c r="R808" s="1">
        <v>0.0</v>
      </c>
      <c r="S808" s="1"/>
    </row>
    <row r="809" ht="15.75" customHeight="1">
      <c r="A809" s="1" t="s">
        <v>2054</v>
      </c>
      <c r="B809" s="1" t="s">
        <v>2055</v>
      </c>
      <c r="C809" s="1" t="s">
        <v>2022</v>
      </c>
      <c r="E809" s="1">
        <v>21.0844009</v>
      </c>
      <c r="F809" s="1">
        <v>79.1042611</v>
      </c>
      <c r="G809" s="1" t="s">
        <v>54</v>
      </c>
      <c r="H809" s="1" t="s">
        <v>55</v>
      </c>
      <c r="J809" s="1" t="s">
        <v>44</v>
      </c>
      <c r="K809" s="1" t="s">
        <v>26</v>
      </c>
      <c r="L809" s="1" t="s">
        <v>27</v>
      </c>
      <c r="N809" s="1" t="s">
        <v>143</v>
      </c>
      <c r="O809" s="1" t="s">
        <v>29</v>
      </c>
      <c r="P809" s="1" t="s">
        <v>569</v>
      </c>
      <c r="Q809" s="1" t="s">
        <v>570</v>
      </c>
      <c r="R809" s="1">
        <v>0.0</v>
      </c>
      <c r="S809" s="1"/>
    </row>
    <row r="810" ht="15.75" customHeight="1">
      <c r="A810" s="1" t="s">
        <v>2056</v>
      </c>
      <c r="B810" s="1" t="s">
        <v>2057</v>
      </c>
      <c r="C810" s="1" t="s">
        <v>2058</v>
      </c>
      <c r="E810" s="1">
        <v>19.1675319</v>
      </c>
      <c r="F810" s="1">
        <v>77.3047174</v>
      </c>
      <c r="G810" s="1" t="s">
        <v>54</v>
      </c>
      <c r="H810" s="1" t="s">
        <v>55</v>
      </c>
      <c r="J810" s="1" t="s">
        <v>118</v>
      </c>
      <c r="K810" s="1" t="s">
        <v>26</v>
      </c>
      <c r="L810" s="1" t="s">
        <v>27</v>
      </c>
      <c r="N810" s="1" t="s">
        <v>143</v>
      </c>
      <c r="O810" s="1" t="s">
        <v>29</v>
      </c>
      <c r="P810" s="1" t="s">
        <v>569</v>
      </c>
      <c r="Q810" s="1" t="s">
        <v>570</v>
      </c>
      <c r="R810" s="1">
        <v>0.0</v>
      </c>
      <c r="S810" s="1"/>
    </row>
    <row r="811" ht="15.75" customHeight="1">
      <c r="A811" s="1" t="s">
        <v>2059</v>
      </c>
      <c r="B811" s="1" t="s">
        <v>2060</v>
      </c>
      <c r="C811" s="1" t="s">
        <v>2022</v>
      </c>
      <c r="E811" s="1">
        <v>21.1380809</v>
      </c>
      <c r="F811" s="1">
        <v>79.1016102</v>
      </c>
      <c r="G811" s="1" t="s">
        <v>54</v>
      </c>
      <c r="H811" s="1" t="s">
        <v>55</v>
      </c>
      <c r="J811" s="1" t="s">
        <v>118</v>
      </c>
      <c r="K811" s="1" t="s">
        <v>26</v>
      </c>
      <c r="L811" s="1" t="s">
        <v>27</v>
      </c>
      <c r="N811" s="1" t="s">
        <v>143</v>
      </c>
      <c r="O811" s="1" t="s">
        <v>29</v>
      </c>
      <c r="P811" s="1" t="s">
        <v>569</v>
      </c>
      <c r="Q811" s="1" t="s">
        <v>570</v>
      </c>
      <c r="R811" s="1">
        <v>0.0</v>
      </c>
      <c r="S811" s="1"/>
    </row>
    <row r="812" ht="15.75" customHeight="1">
      <c r="A812" s="1" t="s">
        <v>2061</v>
      </c>
      <c r="B812" s="1" t="s">
        <v>2062</v>
      </c>
      <c r="C812" s="1" t="s">
        <v>1994</v>
      </c>
      <c r="E812" s="1">
        <v>22.0996043</v>
      </c>
      <c r="F812" s="1">
        <v>82.15176029999999</v>
      </c>
      <c r="G812" s="1" t="s">
        <v>54</v>
      </c>
      <c r="H812" s="1" t="s">
        <v>55</v>
      </c>
      <c r="J812" s="1" t="s">
        <v>56</v>
      </c>
      <c r="K812" s="1" t="s">
        <v>26</v>
      </c>
      <c r="L812" s="1" t="s">
        <v>27</v>
      </c>
      <c r="N812" s="1" t="s">
        <v>1989</v>
      </c>
      <c r="O812" s="1" t="s">
        <v>29</v>
      </c>
      <c r="P812" s="1" t="s">
        <v>1990</v>
      </c>
      <c r="Q812" s="1" t="s">
        <v>1991</v>
      </c>
      <c r="R812" s="1">
        <v>0.0</v>
      </c>
      <c r="S812" s="1"/>
    </row>
    <row r="813" ht="15.75" customHeight="1">
      <c r="A813" s="1" t="s">
        <v>2063</v>
      </c>
      <c r="B813" s="1" t="s">
        <v>2064</v>
      </c>
      <c r="C813" s="1" t="s">
        <v>2065</v>
      </c>
      <c r="E813" s="1">
        <v>16.9921595</v>
      </c>
      <c r="F813" s="1">
        <v>73.2964405</v>
      </c>
      <c r="G813" s="1" t="s">
        <v>54</v>
      </c>
      <c r="H813" s="1" t="s">
        <v>55</v>
      </c>
      <c r="J813" s="1" t="s">
        <v>56</v>
      </c>
      <c r="K813" s="1" t="s">
        <v>26</v>
      </c>
      <c r="L813" s="1" t="s">
        <v>27</v>
      </c>
      <c r="N813" s="1" t="s">
        <v>143</v>
      </c>
      <c r="O813" s="1" t="s">
        <v>57</v>
      </c>
      <c r="P813" s="1" t="s">
        <v>569</v>
      </c>
      <c r="Q813" s="1" t="s">
        <v>570</v>
      </c>
      <c r="R813" s="1">
        <v>0.0</v>
      </c>
      <c r="S813" s="1"/>
    </row>
    <row r="814" ht="15.75" customHeight="1">
      <c r="A814" s="1" t="s">
        <v>2066</v>
      </c>
      <c r="B814" s="1" t="s">
        <v>2067</v>
      </c>
      <c r="C814" s="1" t="s">
        <v>2068</v>
      </c>
      <c r="E814" s="1">
        <v>19.5948127</v>
      </c>
      <c r="F814" s="1">
        <v>74.1941818</v>
      </c>
      <c r="G814" s="1" t="s">
        <v>54</v>
      </c>
      <c r="H814" s="1" t="s">
        <v>55</v>
      </c>
      <c r="J814" s="1" t="s">
        <v>56</v>
      </c>
      <c r="K814" s="1" t="s">
        <v>26</v>
      </c>
      <c r="L814" s="1" t="s">
        <v>27</v>
      </c>
      <c r="N814" s="1" t="s">
        <v>143</v>
      </c>
      <c r="O814" s="1" t="s">
        <v>57</v>
      </c>
      <c r="P814" s="1" t="s">
        <v>569</v>
      </c>
      <c r="Q814" s="1" t="s">
        <v>570</v>
      </c>
      <c r="R814" s="1">
        <v>0.0</v>
      </c>
      <c r="S814" s="1"/>
    </row>
    <row r="815" ht="15.75" customHeight="1">
      <c r="A815" s="1" t="s">
        <v>2069</v>
      </c>
      <c r="B815" s="1" t="s">
        <v>2070</v>
      </c>
      <c r="C815" s="1" t="s">
        <v>1978</v>
      </c>
      <c r="E815" s="1">
        <v>19.9794898</v>
      </c>
      <c r="F815" s="1">
        <v>73.807147</v>
      </c>
      <c r="G815" s="1" t="s">
        <v>54</v>
      </c>
      <c r="H815" s="1" t="s">
        <v>55</v>
      </c>
      <c r="J815" s="1" t="s">
        <v>56</v>
      </c>
      <c r="K815" s="1" t="s">
        <v>26</v>
      </c>
      <c r="L815" s="1" t="s">
        <v>27</v>
      </c>
      <c r="N815" s="1" t="s">
        <v>143</v>
      </c>
      <c r="O815" s="1" t="s">
        <v>57</v>
      </c>
      <c r="P815" s="1" t="s">
        <v>569</v>
      </c>
      <c r="Q815" s="1" t="s">
        <v>570</v>
      </c>
      <c r="R815" s="1">
        <v>1.0</v>
      </c>
      <c r="S815" s="1"/>
    </row>
    <row r="816" ht="15.75" customHeight="1">
      <c r="A816" s="1" t="s">
        <v>2071</v>
      </c>
      <c r="B816" s="1" t="s">
        <v>2072</v>
      </c>
      <c r="C816" s="1" t="s">
        <v>2073</v>
      </c>
      <c r="E816" s="1">
        <v>16.1863628</v>
      </c>
      <c r="F816" s="1">
        <v>81.1360842</v>
      </c>
      <c r="G816" s="1" t="s">
        <v>54</v>
      </c>
      <c r="H816" s="1" t="s">
        <v>55</v>
      </c>
      <c r="J816" s="1" t="s">
        <v>56</v>
      </c>
      <c r="K816" s="1" t="s">
        <v>26</v>
      </c>
      <c r="L816" s="1" t="s">
        <v>27</v>
      </c>
      <c r="N816" s="1" t="s">
        <v>464</v>
      </c>
      <c r="O816" s="1" t="s">
        <v>57</v>
      </c>
      <c r="P816" s="1" t="s">
        <v>2074</v>
      </c>
      <c r="Q816" s="1" t="s">
        <v>2075</v>
      </c>
      <c r="R816" s="1">
        <v>0.0</v>
      </c>
      <c r="S816" s="1"/>
    </row>
    <row r="817" ht="15.75" customHeight="1">
      <c r="A817" s="1" t="s">
        <v>2076</v>
      </c>
      <c r="B817" s="1" t="s">
        <v>2077</v>
      </c>
      <c r="C817" s="1" t="s">
        <v>2078</v>
      </c>
      <c r="E817" s="1">
        <v>11.332547</v>
      </c>
      <c r="F817" s="1">
        <v>77.702765</v>
      </c>
      <c r="G817" s="1" t="s">
        <v>54</v>
      </c>
      <c r="H817" s="1" t="s">
        <v>55</v>
      </c>
      <c r="J817" s="1" t="s">
        <v>56</v>
      </c>
      <c r="K817" s="1" t="s">
        <v>26</v>
      </c>
      <c r="L817" s="1" t="s">
        <v>27</v>
      </c>
      <c r="N817" s="1" t="s">
        <v>1097</v>
      </c>
      <c r="O817" s="1" t="s">
        <v>57</v>
      </c>
      <c r="P817" s="1" t="s">
        <v>1098</v>
      </c>
      <c r="Q817" s="1" t="s">
        <v>1099</v>
      </c>
      <c r="R817" s="1">
        <v>0.0</v>
      </c>
      <c r="S817" s="1"/>
    </row>
    <row r="818" ht="15.75" customHeight="1">
      <c r="A818" s="1" t="s">
        <v>2079</v>
      </c>
      <c r="B818" s="1" t="s">
        <v>2080</v>
      </c>
      <c r="C818" s="1" t="s">
        <v>1112</v>
      </c>
      <c r="E818" s="1">
        <v>12.9228611</v>
      </c>
      <c r="F818" s="1">
        <v>80.0961018</v>
      </c>
      <c r="G818" s="1" t="s">
        <v>54</v>
      </c>
      <c r="H818" s="1" t="s">
        <v>55</v>
      </c>
      <c r="J818" s="1" t="s">
        <v>56</v>
      </c>
      <c r="K818" s="1" t="s">
        <v>26</v>
      </c>
      <c r="L818" s="1" t="s">
        <v>27</v>
      </c>
      <c r="N818" s="1" t="s">
        <v>1097</v>
      </c>
      <c r="O818" s="1" t="s">
        <v>57</v>
      </c>
      <c r="P818" s="1" t="s">
        <v>1098</v>
      </c>
      <c r="Q818" s="1" t="s">
        <v>1099</v>
      </c>
      <c r="R818" s="1">
        <v>4.0</v>
      </c>
      <c r="S818" s="1"/>
    </row>
    <row r="819" ht="15.75" customHeight="1">
      <c r="A819" s="1" t="s">
        <v>2081</v>
      </c>
      <c r="B819" s="1" t="s">
        <v>2082</v>
      </c>
      <c r="C819" s="1" t="s">
        <v>2083</v>
      </c>
      <c r="E819" s="1">
        <v>16.8567023</v>
      </c>
      <c r="F819" s="1">
        <v>74.574207</v>
      </c>
      <c r="G819" s="1" t="s">
        <v>54</v>
      </c>
      <c r="H819" s="1" t="s">
        <v>55</v>
      </c>
      <c r="J819" s="1" t="s">
        <v>56</v>
      </c>
      <c r="K819" s="1" t="s">
        <v>26</v>
      </c>
      <c r="L819" s="1" t="s">
        <v>27</v>
      </c>
      <c r="N819" s="1" t="s">
        <v>143</v>
      </c>
      <c r="O819" s="1" t="s">
        <v>57</v>
      </c>
      <c r="P819" s="1" t="s">
        <v>569</v>
      </c>
      <c r="Q819" s="1" t="s">
        <v>570</v>
      </c>
      <c r="R819" s="1">
        <v>0.0</v>
      </c>
      <c r="S819" s="1"/>
    </row>
    <row r="820" ht="15.75" customHeight="1">
      <c r="A820" s="1" t="s">
        <v>2084</v>
      </c>
      <c r="B820" s="1" t="s">
        <v>2085</v>
      </c>
      <c r="C820" s="1" t="s">
        <v>2086</v>
      </c>
      <c r="E820" s="1">
        <v>19.2461122</v>
      </c>
      <c r="F820" s="1">
        <v>73.17139139999999</v>
      </c>
      <c r="G820" s="1" t="s">
        <v>54</v>
      </c>
      <c r="H820" s="1" t="s">
        <v>55</v>
      </c>
      <c r="J820" s="1" t="s">
        <v>56</v>
      </c>
      <c r="P820" s="1" t="s">
        <v>569</v>
      </c>
      <c r="Q820" s="1" t="s">
        <v>570</v>
      </c>
      <c r="R820" s="1">
        <v>0.0</v>
      </c>
      <c r="S820" s="1"/>
    </row>
    <row r="821" ht="15.75" customHeight="1">
      <c r="A821" s="1" t="s">
        <v>2087</v>
      </c>
      <c r="B821" s="1" t="s">
        <v>2088</v>
      </c>
      <c r="C821" s="1" t="s">
        <v>2089</v>
      </c>
      <c r="E821" s="1">
        <v>23.390465</v>
      </c>
      <c r="F821" s="1">
        <v>85.314032</v>
      </c>
      <c r="G821" s="1" t="s">
        <v>54</v>
      </c>
      <c r="H821" s="1" t="s">
        <v>55</v>
      </c>
      <c r="J821" s="1" t="s">
        <v>56</v>
      </c>
      <c r="K821" s="1" t="s">
        <v>26</v>
      </c>
      <c r="L821" s="1" t="s">
        <v>27</v>
      </c>
      <c r="N821" s="1" t="s">
        <v>506</v>
      </c>
      <c r="O821" s="1" t="s">
        <v>57</v>
      </c>
      <c r="P821" s="1" t="s">
        <v>2090</v>
      </c>
      <c r="Q821" s="1" t="s">
        <v>2091</v>
      </c>
      <c r="R821" s="1">
        <v>0.0</v>
      </c>
      <c r="S821" s="1"/>
    </row>
    <row r="822" ht="15.75" customHeight="1">
      <c r="A822" s="1" t="s">
        <v>2092</v>
      </c>
      <c r="B822" s="1" t="s">
        <v>2093</v>
      </c>
      <c r="C822" s="1" t="s">
        <v>2094</v>
      </c>
      <c r="E822" s="1">
        <v>16.7035435</v>
      </c>
      <c r="F822" s="1">
        <v>74.2378629</v>
      </c>
      <c r="G822" s="1" t="s">
        <v>54</v>
      </c>
      <c r="H822" s="1" t="s">
        <v>55</v>
      </c>
      <c r="J822" s="1" t="s">
        <v>56</v>
      </c>
      <c r="P822" s="1" t="s">
        <v>569</v>
      </c>
      <c r="Q822" s="1" t="s">
        <v>570</v>
      </c>
      <c r="R822" s="1">
        <v>0.0</v>
      </c>
      <c r="S822" s="1"/>
    </row>
    <row r="823" ht="15.75" customHeight="1">
      <c r="A823" s="1" t="s">
        <v>2095</v>
      </c>
      <c r="B823" s="1" t="s">
        <v>2096</v>
      </c>
      <c r="C823" s="1" t="s">
        <v>1975</v>
      </c>
      <c r="E823" s="1">
        <v>19.8508061</v>
      </c>
      <c r="F823" s="1">
        <v>75.3301796</v>
      </c>
      <c r="G823" s="1" t="s">
        <v>54</v>
      </c>
      <c r="H823" s="1" t="s">
        <v>55</v>
      </c>
      <c r="J823" s="1" t="s">
        <v>56</v>
      </c>
      <c r="K823" s="1" t="s">
        <v>26</v>
      </c>
      <c r="L823" s="1" t="s">
        <v>27</v>
      </c>
      <c r="N823" s="1" t="s">
        <v>143</v>
      </c>
      <c r="O823" s="1" t="s">
        <v>57</v>
      </c>
      <c r="P823" s="1" t="s">
        <v>569</v>
      </c>
      <c r="Q823" s="1" t="s">
        <v>570</v>
      </c>
      <c r="R823" s="1">
        <v>0.0</v>
      </c>
      <c r="S823" s="1"/>
    </row>
    <row r="824" ht="15.75" customHeight="1">
      <c r="A824" s="1" t="s">
        <v>2097</v>
      </c>
      <c r="B824" s="1" t="s">
        <v>2098</v>
      </c>
      <c r="C824" s="1" t="s">
        <v>1988</v>
      </c>
      <c r="E824" s="1">
        <v>21.2600095</v>
      </c>
      <c r="F824" s="1">
        <v>81.65610579999999</v>
      </c>
      <c r="G824" s="1" t="s">
        <v>54</v>
      </c>
      <c r="H824" s="1" t="s">
        <v>55</v>
      </c>
      <c r="J824" s="1" t="s">
        <v>56</v>
      </c>
      <c r="K824" s="1" t="s">
        <v>26</v>
      </c>
      <c r="L824" s="1" t="s">
        <v>27</v>
      </c>
      <c r="N824" s="1" t="s">
        <v>1989</v>
      </c>
      <c r="O824" s="1" t="s">
        <v>29</v>
      </c>
      <c r="P824" s="1" t="s">
        <v>1990</v>
      </c>
      <c r="Q824" s="1" t="s">
        <v>1991</v>
      </c>
      <c r="R824" s="1">
        <v>0.0</v>
      </c>
      <c r="S824" s="1"/>
    </row>
    <row r="825" ht="15.75" customHeight="1">
      <c r="A825" s="1" t="s">
        <v>2099</v>
      </c>
      <c r="B825" s="1" t="s">
        <v>2100</v>
      </c>
      <c r="C825" s="1" t="s">
        <v>142</v>
      </c>
      <c r="E825" s="1">
        <v>19.1881451</v>
      </c>
      <c r="F825" s="1">
        <v>72.96266659999999</v>
      </c>
      <c r="G825" s="1" t="s">
        <v>54</v>
      </c>
      <c r="H825" s="1" t="s">
        <v>55</v>
      </c>
      <c r="J825" s="1" t="s">
        <v>56</v>
      </c>
      <c r="K825" s="1" t="s">
        <v>26</v>
      </c>
      <c r="L825" s="1" t="s">
        <v>27</v>
      </c>
      <c r="N825" s="1" t="s">
        <v>143</v>
      </c>
      <c r="O825" s="1" t="s">
        <v>57</v>
      </c>
      <c r="P825" s="1" t="s">
        <v>144</v>
      </c>
      <c r="Q825" s="1" t="s">
        <v>145</v>
      </c>
      <c r="R825" s="1">
        <v>5.0</v>
      </c>
      <c r="S825" s="1"/>
    </row>
    <row r="826" ht="15.75" customHeight="1">
      <c r="A826" s="1" t="s">
        <v>2101</v>
      </c>
      <c r="B826" s="1" t="s">
        <v>2102</v>
      </c>
      <c r="C826" s="1" t="s">
        <v>174</v>
      </c>
      <c r="E826" s="1">
        <v>28.5681345</v>
      </c>
      <c r="F826" s="1">
        <v>77.1126606</v>
      </c>
      <c r="G826" s="1" t="s">
        <v>54</v>
      </c>
      <c r="H826" s="1" t="s">
        <v>55</v>
      </c>
      <c r="J826" s="1" t="s">
        <v>221</v>
      </c>
      <c r="K826" s="1" t="s">
        <v>26</v>
      </c>
      <c r="L826" s="1" t="s">
        <v>27</v>
      </c>
      <c r="N826" s="1" t="s">
        <v>174</v>
      </c>
      <c r="O826" s="1" t="s">
        <v>57</v>
      </c>
      <c r="P826" s="1" t="s">
        <v>1749</v>
      </c>
      <c r="Q826" s="1" t="s">
        <v>1750</v>
      </c>
      <c r="R826" s="1">
        <v>0.0</v>
      </c>
      <c r="S826" s="1"/>
    </row>
    <row r="827" ht="15.75" customHeight="1">
      <c r="A827" s="1" t="s">
        <v>2103</v>
      </c>
      <c r="B827" s="1" t="s">
        <v>2104</v>
      </c>
      <c r="C827" s="1" t="s">
        <v>1035</v>
      </c>
      <c r="E827" s="1">
        <v>26.1255998</v>
      </c>
      <c r="F827" s="1">
        <v>91.7477514</v>
      </c>
      <c r="G827" s="1" t="s">
        <v>54</v>
      </c>
      <c r="H827" s="1" t="s">
        <v>55</v>
      </c>
      <c r="J827" s="1" t="s">
        <v>56</v>
      </c>
      <c r="K827" s="1" t="s">
        <v>26</v>
      </c>
      <c r="L827" s="1" t="s">
        <v>27</v>
      </c>
      <c r="N827" s="1" t="s">
        <v>1036</v>
      </c>
      <c r="O827" s="1" t="s">
        <v>57</v>
      </c>
      <c r="P827" s="1" t="s">
        <v>2090</v>
      </c>
      <c r="Q827" s="1" t="s">
        <v>2091</v>
      </c>
      <c r="R827" s="1">
        <v>0.0</v>
      </c>
      <c r="S827" s="1"/>
    </row>
    <row r="828" ht="15.75" customHeight="1">
      <c r="A828" s="1" t="s">
        <v>2105</v>
      </c>
      <c r="B828" s="1" t="s">
        <v>2106</v>
      </c>
      <c r="C828" s="1" t="s">
        <v>38</v>
      </c>
      <c r="E828" s="1">
        <v>28.6624762</v>
      </c>
      <c r="F828" s="1">
        <v>77.4349115</v>
      </c>
      <c r="G828" s="1" t="s">
        <v>54</v>
      </c>
      <c r="H828" s="1" t="s">
        <v>55</v>
      </c>
      <c r="J828" s="1" t="s">
        <v>56</v>
      </c>
      <c r="K828" s="1" t="s">
        <v>26</v>
      </c>
      <c r="L828" s="1" t="s">
        <v>27</v>
      </c>
      <c r="N828" s="1" t="s">
        <v>28</v>
      </c>
      <c r="O828" s="1" t="s">
        <v>57</v>
      </c>
      <c r="P828" s="1" t="s">
        <v>2107</v>
      </c>
      <c r="Q828" s="1" t="s">
        <v>2108</v>
      </c>
      <c r="R828" s="1">
        <v>4.0</v>
      </c>
      <c r="S828" s="1"/>
    </row>
    <row r="829" ht="15.75" customHeight="1">
      <c r="A829" s="1" t="s">
        <v>2109</v>
      </c>
      <c r="B829" s="1" t="s">
        <v>2110</v>
      </c>
      <c r="C829" s="1" t="s">
        <v>2111</v>
      </c>
      <c r="E829" s="1">
        <v>11.6697254</v>
      </c>
      <c r="F829" s="1">
        <v>92.7409014</v>
      </c>
      <c r="G829" s="1" t="s">
        <v>2112</v>
      </c>
      <c r="H829" s="1" t="s">
        <v>2113</v>
      </c>
      <c r="J829" s="1" t="s">
        <v>56</v>
      </c>
      <c r="P829" s="1" t="s">
        <v>2090</v>
      </c>
      <c r="Q829" s="1" t="s">
        <v>2091</v>
      </c>
      <c r="R829" s="1">
        <v>1.0</v>
      </c>
      <c r="S829" s="1"/>
    </row>
    <row r="830" ht="15.75" customHeight="1">
      <c r="A830" s="1" t="s">
        <v>2114</v>
      </c>
      <c r="B830" s="1" t="s">
        <v>2115</v>
      </c>
      <c r="C830" s="1" t="s">
        <v>2116</v>
      </c>
      <c r="E830" s="1">
        <v>22.9139737</v>
      </c>
      <c r="F830" s="1">
        <v>88.3072875</v>
      </c>
      <c r="G830" s="1" t="s">
        <v>2112</v>
      </c>
      <c r="H830" s="1" t="s">
        <v>2113</v>
      </c>
      <c r="J830" s="1" t="s">
        <v>56</v>
      </c>
      <c r="P830" s="1" t="s">
        <v>2090</v>
      </c>
      <c r="Q830" s="1" t="s">
        <v>2091</v>
      </c>
      <c r="R830" s="1">
        <v>1.0</v>
      </c>
      <c r="S830" s="1"/>
    </row>
    <row r="831" ht="15.75" customHeight="1">
      <c r="A831" s="1" t="s">
        <v>2117</v>
      </c>
      <c r="B831" s="1" t="s">
        <v>2118</v>
      </c>
      <c r="C831" s="1" t="s">
        <v>2116</v>
      </c>
      <c r="E831" s="1">
        <v>22.7480797</v>
      </c>
      <c r="F831" s="1">
        <v>88.34844819999999</v>
      </c>
      <c r="G831" s="1" t="s">
        <v>2112</v>
      </c>
      <c r="H831" s="1" t="s">
        <v>2113</v>
      </c>
      <c r="J831" s="1" t="s">
        <v>56</v>
      </c>
      <c r="P831" s="1" t="s">
        <v>2090</v>
      </c>
      <c r="Q831" s="1" t="s">
        <v>2091</v>
      </c>
      <c r="R831" s="1">
        <v>1.0</v>
      </c>
      <c r="S831" s="1"/>
    </row>
    <row r="832" ht="15.75" customHeight="1">
      <c r="A832" s="1" t="s">
        <v>2119</v>
      </c>
      <c r="B832" s="1" t="s">
        <v>2120</v>
      </c>
      <c r="C832" s="1" t="s">
        <v>2116</v>
      </c>
      <c r="E832" s="1">
        <v>22.725462</v>
      </c>
      <c r="F832" s="1">
        <v>88.34619219999999</v>
      </c>
      <c r="G832" s="1" t="s">
        <v>2112</v>
      </c>
      <c r="H832" s="1" t="s">
        <v>2113</v>
      </c>
      <c r="J832" s="1" t="s">
        <v>56</v>
      </c>
      <c r="K832" s="1" t="s">
        <v>99</v>
      </c>
      <c r="L832" s="1" t="s">
        <v>27</v>
      </c>
      <c r="N832" s="1" t="s">
        <v>532</v>
      </c>
      <c r="O832" s="1" t="s">
        <v>29</v>
      </c>
      <c r="P832" s="1" t="s">
        <v>2090</v>
      </c>
      <c r="Q832" s="1" t="s">
        <v>2091</v>
      </c>
      <c r="R832" s="1">
        <v>1.0</v>
      </c>
      <c r="S832" s="1"/>
    </row>
    <row r="833" ht="15.75" customHeight="1">
      <c r="A833" s="1" t="s">
        <v>2121</v>
      </c>
      <c r="B833" s="1" t="s">
        <v>2122</v>
      </c>
      <c r="C833" s="1" t="s">
        <v>2116</v>
      </c>
      <c r="E833" s="1">
        <v>22.8160625</v>
      </c>
      <c r="F833" s="1">
        <v>88.2265625</v>
      </c>
      <c r="G833" s="1" t="s">
        <v>2112</v>
      </c>
      <c r="H833" s="1" t="s">
        <v>2113</v>
      </c>
      <c r="J833" s="1" t="s">
        <v>56</v>
      </c>
      <c r="K833" s="1" t="s">
        <v>99</v>
      </c>
      <c r="L833" s="1" t="s">
        <v>27</v>
      </c>
      <c r="N833" s="1" t="s">
        <v>532</v>
      </c>
      <c r="O833" s="1" t="s">
        <v>29</v>
      </c>
      <c r="P833" s="1" t="s">
        <v>2090</v>
      </c>
      <c r="Q833" s="1" t="s">
        <v>2091</v>
      </c>
      <c r="R833" s="1">
        <v>2.0</v>
      </c>
      <c r="S833" s="1"/>
    </row>
    <row r="834" ht="15.75" customHeight="1">
      <c r="A834" s="1" t="s">
        <v>2123</v>
      </c>
      <c r="B834" s="1" t="s">
        <v>2124</v>
      </c>
      <c r="C834" s="1" t="s">
        <v>2125</v>
      </c>
      <c r="E834" s="1">
        <v>22.5933632</v>
      </c>
      <c r="F834" s="1">
        <v>88.1535758</v>
      </c>
      <c r="G834" s="1" t="s">
        <v>2112</v>
      </c>
      <c r="H834" s="1" t="s">
        <v>2113</v>
      </c>
      <c r="J834" s="1" t="s">
        <v>56</v>
      </c>
      <c r="P834" s="1" t="s">
        <v>2090</v>
      </c>
      <c r="Q834" s="1" t="s">
        <v>2091</v>
      </c>
      <c r="R834" s="1">
        <v>1.0</v>
      </c>
      <c r="S834" s="1"/>
    </row>
    <row r="835" ht="15.75" customHeight="1">
      <c r="A835" s="1" t="s">
        <v>2126</v>
      </c>
      <c r="B835" s="1" t="s">
        <v>2127</v>
      </c>
      <c r="C835" s="1" t="s">
        <v>2125</v>
      </c>
      <c r="E835" s="1">
        <v>22.6015103</v>
      </c>
      <c r="F835" s="1">
        <v>88.3464631</v>
      </c>
      <c r="G835" s="1" t="s">
        <v>2112</v>
      </c>
      <c r="H835" s="1" t="s">
        <v>2113</v>
      </c>
      <c r="J835" s="1" t="s">
        <v>56</v>
      </c>
      <c r="P835" s="1" t="s">
        <v>2090</v>
      </c>
      <c r="Q835" s="1" t="s">
        <v>2091</v>
      </c>
      <c r="R835" s="1">
        <v>1.0</v>
      </c>
      <c r="S835" s="1"/>
    </row>
    <row r="836" ht="15.75" customHeight="1">
      <c r="A836" s="1" t="s">
        <v>2128</v>
      </c>
      <c r="B836" s="1" t="s">
        <v>2129</v>
      </c>
      <c r="C836" s="1" t="s">
        <v>2125</v>
      </c>
      <c r="E836" s="1">
        <v>22.5681246</v>
      </c>
      <c r="F836" s="1">
        <v>88.3241686</v>
      </c>
      <c r="G836" s="1" t="s">
        <v>2112</v>
      </c>
      <c r="H836" s="1" t="s">
        <v>2113</v>
      </c>
      <c r="J836" s="1" t="s">
        <v>56</v>
      </c>
      <c r="P836" s="1" t="s">
        <v>2090</v>
      </c>
      <c r="Q836" s="1" t="s">
        <v>2091</v>
      </c>
      <c r="R836" s="1">
        <v>1.0</v>
      </c>
      <c r="S836" s="1"/>
    </row>
    <row r="837" ht="15.75" customHeight="1">
      <c r="A837" s="1" t="s">
        <v>2130</v>
      </c>
      <c r="B837" s="1" t="s">
        <v>2131</v>
      </c>
      <c r="C837" s="1" t="s">
        <v>2125</v>
      </c>
      <c r="E837" s="1">
        <v>22.6204331</v>
      </c>
      <c r="F837" s="1">
        <v>88.348525</v>
      </c>
      <c r="G837" s="1" t="s">
        <v>2112</v>
      </c>
      <c r="H837" s="1" t="s">
        <v>2113</v>
      </c>
      <c r="J837" s="1" t="s">
        <v>56</v>
      </c>
      <c r="P837" s="1" t="s">
        <v>2090</v>
      </c>
      <c r="Q837" s="1" t="s">
        <v>2091</v>
      </c>
      <c r="R837" s="1">
        <v>1.0</v>
      </c>
      <c r="S837" s="1"/>
    </row>
    <row r="838" ht="15.75" customHeight="1">
      <c r="A838" s="1" t="s">
        <v>2132</v>
      </c>
      <c r="B838" s="1" t="s">
        <v>2133</v>
      </c>
      <c r="C838" s="1" t="s">
        <v>2125</v>
      </c>
      <c r="E838" s="1">
        <v>22.5855927</v>
      </c>
      <c r="F838" s="1">
        <v>88.2347051</v>
      </c>
      <c r="G838" s="1" t="s">
        <v>2112</v>
      </c>
      <c r="H838" s="1" t="s">
        <v>2113</v>
      </c>
      <c r="J838" s="1" t="s">
        <v>56</v>
      </c>
      <c r="P838" s="1" t="s">
        <v>2090</v>
      </c>
      <c r="Q838" s="1" t="s">
        <v>2091</v>
      </c>
      <c r="R838" s="1">
        <v>2.0</v>
      </c>
      <c r="S838" s="1"/>
    </row>
    <row r="839" ht="15.75" customHeight="1">
      <c r="A839" s="1" t="s">
        <v>2134</v>
      </c>
      <c r="B839" s="1" t="s">
        <v>2135</v>
      </c>
      <c r="C839" s="1" t="s">
        <v>2125</v>
      </c>
      <c r="E839" s="1">
        <v>22.5630498</v>
      </c>
      <c r="F839" s="1">
        <v>88.29357449999999</v>
      </c>
      <c r="G839" s="1" t="s">
        <v>2112</v>
      </c>
      <c r="H839" s="1" t="s">
        <v>2113</v>
      </c>
      <c r="J839" s="1" t="s">
        <v>221</v>
      </c>
      <c r="P839" s="1" t="s">
        <v>2090</v>
      </c>
      <c r="Q839" s="1" t="s">
        <v>2091</v>
      </c>
      <c r="R839" s="1">
        <v>3.0</v>
      </c>
      <c r="S839" s="1"/>
    </row>
    <row r="840" ht="15.75" customHeight="1">
      <c r="A840" s="1" t="s">
        <v>2136</v>
      </c>
      <c r="B840" s="1" t="s">
        <v>2137</v>
      </c>
      <c r="C840" s="1" t="s">
        <v>2125</v>
      </c>
      <c r="E840" s="1">
        <v>22.592327</v>
      </c>
      <c r="F840" s="1">
        <v>88.31470399999999</v>
      </c>
      <c r="G840" s="1" t="s">
        <v>2112</v>
      </c>
      <c r="H840" s="1" t="s">
        <v>2113</v>
      </c>
      <c r="J840" s="1" t="s">
        <v>56</v>
      </c>
      <c r="P840" s="1" t="s">
        <v>2090</v>
      </c>
      <c r="Q840" s="1" t="s">
        <v>2091</v>
      </c>
      <c r="R840" s="1">
        <v>1.0</v>
      </c>
      <c r="S840" s="1"/>
    </row>
    <row r="841" ht="15.75" customHeight="1">
      <c r="A841" s="1" t="s">
        <v>2138</v>
      </c>
      <c r="B841" s="1" t="s">
        <v>2139</v>
      </c>
      <c r="C841" s="1" t="s">
        <v>174</v>
      </c>
      <c r="E841" s="1">
        <v>28.6993313</v>
      </c>
      <c r="F841" s="1">
        <v>77.2049341</v>
      </c>
      <c r="G841" s="1" t="s">
        <v>2112</v>
      </c>
      <c r="H841" s="1" t="s">
        <v>2113</v>
      </c>
      <c r="J841" s="1" t="s">
        <v>25</v>
      </c>
      <c r="P841" s="1" t="s">
        <v>2140</v>
      </c>
      <c r="Q841" s="1" t="s">
        <v>2141</v>
      </c>
      <c r="R841" s="1">
        <v>5.0</v>
      </c>
      <c r="S841" s="1"/>
    </row>
    <row r="842" ht="15.75" customHeight="1">
      <c r="A842" s="1" t="s">
        <v>2142</v>
      </c>
      <c r="B842" s="1" t="s">
        <v>2143</v>
      </c>
      <c r="C842" s="1" t="s">
        <v>174</v>
      </c>
      <c r="E842" s="1">
        <v>28.6125737</v>
      </c>
      <c r="F842" s="1">
        <v>77.0874121</v>
      </c>
      <c r="G842" s="1" t="s">
        <v>2112</v>
      </c>
      <c r="H842" s="1" t="s">
        <v>2113</v>
      </c>
      <c r="J842" s="1" t="s">
        <v>44</v>
      </c>
      <c r="P842" s="1" t="s">
        <v>1749</v>
      </c>
      <c r="Q842" s="1" t="s">
        <v>1750</v>
      </c>
      <c r="R842" s="1">
        <v>2.0</v>
      </c>
      <c r="S842" s="1"/>
    </row>
    <row r="843" ht="15.75" customHeight="1">
      <c r="A843" s="1" t="s">
        <v>2144</v>
      </c>
      <c r="B843" s="1" t="s">
        <v>2145</v>
      </c>
      <c r="C843" s="1" t="s">
        <v>142</v>
      </c>
      <c r="E843" s="1">
        <v>19.2184464</v>
      </c>
      <c r="F843" s="1">
        <v>73.08539309999999</v>
      </c>
      <c r="G843" s="1" t="s">
        <v>2112</v>
      </c>
      <c r="H843" s="1" t="s">
        <v>2113</v>
      </c>
      <c r="J843" s="1" t="s">
        <v>44</v>
      </c>
      <c r="P843" s="1" t="s">
        <v>2146</v>
      </c>
      <c r="Q843" s="1" t="s">
        <v>2147</v>
      </c>
      <c r="R843" s="1">
        <v>1.0</v>
      </c>
      <c r="S843" s="1"/>
    </row>
    <row r="844" ht="15.75" customHeight="1">
      <c r="A844" s="1" t="s">
        <v>2148</v>
      </c>
      <c r="B844" s="1" t="s">
        <v>2149</v>
      </c>
      <c r="C844" s="1" t="s">
        <v>174</v>
      </c>
      <c r="E844" s="1">
        <v>28.4951427</v>
      </c>
      <c r="F844" s="1">
        <v>77.3046767</v>
      </c>
      <c r="G844" s="1" t="s">
        <v>2112</v>
      </c>
      <c r="H844" s="1" t="s">
        <v>2113</v>
      </c>
      <c r="J844" s="1" t="s">
        <v>25</v>
      </c>
      <c r="K844" s="1" t="s">
        <v>99</v>
      </c>
      <c r="L844" s="1" t="s">
        <v>27</v>
      </c>
      <c r="N844" s="1" t="s">
        <v>174</v>
      </c>
      <c r="O844" s="1" t="s">
        <v>29</v>
      </c>
      <c r="P844" s="1" t="s">
        <v>2140</v>
      </c>
      <c r="Q844" s="1" t="s">
        <v>2141</v>
      </c>
      <c r="R844" s="1">
        <v>3.0</v>
      </c>
      <c r="S844" s="1"/>
    </row>
    <row r="845" ht="15.75" customHeight="1">
      <c r="A845" s="1" t="s">
        <v>2150</v>
      </c>
      <c r="B845" s="1" t="s">
        <v>2151</v>
      </c>
      <c r="C845" s="1" t="s">
        <v>2152</v>
      </c>
      <c r="E845" s="1">
        <v>28.4817088</v>
      </c>
      <c r="F845" s="1">
        <v>77.4991642</v>
      </c>
      <c r="G845" s="1" t="s">
        <v>2112</v>
      </c>
      <c r="H845" s="1" t="s">
        <v>2113</v>
      </c>
      <c r="J845" s="1" t="s">
        <v>44</v>
      </c>
      <c r="P845" s="1" t="s">
        <v>2153</v>
      </c>
      <c r="Q845" s="1" t="s">
        <v>2154</v>
      </c>
      <c r="R845" s="1">
        <v>1.0</v>
      </c>
      <c r="S845" s="1"/>
    </row>
    <row r="846" ht="15.75" customHeight="1">
      <c r="A846" s="1" t="s">
        <v>2155</v>
      </c>
      <c r="B846" s="1" t="s">
        <v>2156</v>
      </c>
      <c r="C846" s="1" t="s">
        <v>174</v>
      </c>
      <c r="E846" s="1">
        <v>28.66554949999999</v>
      </c>
      <c r="F846" s="1">
        <v>77.05878609999999</v>
      </c>
      <c r="G846" s="1" t="s">
        <v>2112</v>
      </c>
      <c r="H846" s="1" t="s">
        <v>2113</v>
      </c>
      <c r="J846" s="1" t="s">
        <v>25</v>
      </c>
      <c r="P846" s="1" t="s">
        <v>2140</v>
      </c>
      <c r="Q846" s="1" t="s">
        <v>2141</v>
      </c>
      <c r="R846" s="1">
        <v>1.0</v>
      </c>
      <c r="S846" s="1"/>
    </row>
    <row r="847" ht="15.75" customHeight="1">
      <c r="A847" s="1" t="s">
        <v>2157</v>
      </c>
      <c r="B847" s="1" t="s">
        <v>2158</v>
      </c>
      <c r="C847" s="1" t="s">
        <v>174</v>
      </c>
      <c r="E847" s="1">
        <v>28.6713222</v>
      </c>
      <c r="F847" s="1">
        <v>77.2803304</v>
      </c>
      <c r="G847" s="1" t="s">
        <v>2112</v>
      </c>
      <c r="H847" s="1" t="s">
        <v>2113</v>
      </c>
      <c r="J847" s="1" t="s">
        <v>25</v>
      </c>
      <c r="K847" s="1" t="s">
        <v>99</v>
      </c>
      <c r="L847" s="1" t="s">
        <v>27</v>
      </c>
      <c r="N847" s="1" t="s">
        <v>174</v>
      </c>
      <c r="O847" s="1" t="s">
        <v>29</v>
      </c>
      <c r="P847" s="1" t="s">
        <v>2140</v>
      </c>
      <c r="Q847" s="1" t="s">
        <v>2141</v>
      </c>
      <c r="R847" s="1">
        <v>5.0</v>
      </c>
      <c r="S847" s="1"/>
    </row>
    <row r="848" ht="15.75" customHeight="1">
      <c r="A848" s="1" t="s">
        <v>2159</v>
      </c>
      <c r="B848" s="1" t="s">
        <v>2160</v>
      </c>
      <c r="C848" s="1" t="s">
        <v>174</v>
      </c>
      <c r="E848" s="1">
        <v>28.6757161</v>
      </c>
      <c r="F848" s="1">
        <v>77.1990734</v>
      </c>
      <c r="G848" s="1" t="s">
        <v>2112</v>
      </c>
      <c r="H848" s="1" t="s">
        <v>2113</v>
      </c>
      <c r="J848" s="1" t="s">
        <v>25</v>
      </c>
      <c r="P848" s="1" t="s">
        <v>2140</v>
      </c>
      <c r="Q848" s="1" t="s">
        <v>2141</v>
      </c>
      <c r="R848" s="1">
        <v>3.0</v>
      </c>
      <c r="S848" s="1"/>
    </row>
    <row r="849" ht="15.75" customHeight="1">
      <c r="A849" s="1" t="s">
        <v>2161</v>
      </c>
      <c r="B849" s="1" t="s">
        <v>2162</v>
      </c>
      <c r="C849" s="1" t="s">
        <v>1716</v>
      </c>
      <c r="E849" s="1">
        <v>28.448108</v>
      </c>
      <c r="F849" s="1">
        <v>77.0155545</v>
      </c>
      <c r="G849" s="1" t="s">
        <v>2112</v>
      </c>
      <c r="H849" s="1" t="s">
        <v>2113</v>
      </c>
      <c r="J849" s="1" t="s">
        <v>25</v>
      </c>
      <c r="P849" s="1" t="s">
        <v>2163</v>
      </c>
      <c r="Q849" s="1" t="s">
        <v>2164</v>
      </c>
      <c r="R849" s="1">
        <v>1.0</v>
      </c>
      <c r="S849" s="1"/>
    </row>
    <row r="850" ht="15.75" customHeight="1">
      <c r="A850" s="1" t="s">
        <v>2165</v>
      </c>
      <c r="B850" s="1" t="s">
        <v>2166</v>
      </c>
      <c r="C850" s="1" t="s">
        <v>38</v>
      </c>
      <c r="E850" s="1">
        <v>28.6858103</v>
      </c>
      <c r="F850" s="1">
        <v>77.3442465</v>
      </c>
      <c r="G850" s="1" t="s">
        <v>2112</v>
      </c>
      <c r="H850" s="1" t="s">
        <v>2113</v>
      </c>
      <c r="J850" s="1" t="s">
        <v>25</v>
      </c>
      <c r="P850" s="1" t="s">
        <v>2167</v>
      </c>
      <c r="Q850" s="1" t="s">
        <v>2168</v>
      </c>
      <c r="R850" s="1">
        <v>4.0</v>
      </c>
      <c r="S850" s="1"/>
    </row>
    <row r="851" ht="15.75" customHeight="1">
      <c r="A851" s="1" t="s">
        <v>2169</v>
      </c>
      <c r="B851" s="1" t="s">
        <v>2170</v>
      </c>
      <c r="C851" s="1" t="s">
        <v>38</v>
      </c>
      <c r="E851" s="1">
        <v>28.6794049</v>
      </c>
      <c r="F851" s="1">
        <v>77.36556139999999</v>
      </c>
      <c r="G851" s="1" t="s">
        <v>2112</v>
      </c>
      <c r="H851" s="1" t="s">
        <v>2113</v>
      </c>
      <c r="J851" s="1" t="s">
        <v>25</v>
      </c>
      <c r="P851" s="1" t="s">
        <v>2167</v>
      </c>
      <c r="Q851" s="1" t="s">
        <v>2168</v>
      </c>
      <c r="R851" s="1">
        <v>1.0</v>
      </c>
      <c r="S851" s="1"/>
    </row>
    <row r="852" ht="15.75" customHeight="1">
      <c r="A852" s="1" t="s">
        <v>2171</v>
      </c>
      <c r="B852" s="1" t="s">
        <v>2172</v>
      </c>
      <c r="C852" s="1" t="s">
        <v>174</v>
      </c>
      <c r="E852" s="1">
        <v>28.6361685</v>
      </c>
      <c r="F852" s="1">
        <v>77.0414806</v>
      </c>
      <c r="G852" s="1" t="s">
        <v>2112</v>
      </c>
      <c r="H852" s="1" t="s">
        <v>2113</v>
      </c>
      <c r="J852" s="1" t="s">
        <v>118</v>
      </c>
      <c r="P852" s="1" t="s">
        <v>1749</v>
      </c>
      <c r="Q852" s="1" t="s">
        <v>1750</v>
      </c>
      <c r="R852" s="1">
        <v>1.0</v>
      </c>
      <c r="S852" s="1"/>
    </row>
    <row r="853" ht="15.75" customHeight="1">
      <c r="A853" s="1" t="s">
        <v>2173</v>
      </c>
      <c r="B853" s="1" t="s">
        <v>2174</v>
      </c>
      <c r="C853" s="1" t="s">
        <v>174</v>
      </c>
      <c r="E853" s="1">
        <v>28.68926919999999</v>
      </c>
      <c r="F853" s="1">
        <v>77.2950546</v>
      </c>
      <c r="G853" s="1" t="s">
        <v>2112</v>
      </c>
      <c r="H853" s="1" t="s">
        <v>2113</v>
      </c>
      <c r="J853" s="1" t="s">
        <v>25</v>
      </c>
      <c r="P853" s="1" t="s">
        <v>2175</v>
      </c>
      <c r="Q853" s="1" t="s">
        <v>2176</v>
      </c>
      <c r="R853" s="1">
        <v>6.0</v>
      </c>
      <c r="S853" s="1"/>
    </row>
    <row r="854" ht="15.75" customHeight="1">
      <c r="A854" s="1" t="s">
        <v>2177</v>
      </c>
      <c r="B854" s="1" t="s">
        <v>2178</v>
      </c>
      <c r="C854" s="1" t="s">
        <v>617</v>
      </c>
      <c r="E854" s="1">
        <v>26.8711945</v>
      </c>
      <c r="F854" s="1">
        <v>80.8996264</v>
      </c>
      <c r="G854" s="1" t="s">
        <v>2112</v>
      </c>
      <c r="H854" s="1" t="s">
        <v>2113</v>
      </c>
      <c r="J854" s="1" t="s">
        <v>56</v>
      </c>
      <c r="P854" s="1" t="s">
        <v>2179</v>
      </c>
      <c r="Q854" s="1" t="s">
        <v>2180</v>
      </c>
      <c r="R854" s="1">
        <v>5.0</v>
      </c>
      <c r="S854" s="1"/>
    </row>
    <row r="855" ht="15.75" customHeight="1">
      <c r="A855" s="1" t="s">
        <v>2181</v>
      </c>
      <c r="B855" s="1" t="s">
        <v>2182</v>
      </c>
      <c r="C855" s="1" t="s">
        <v>174</v>
      </c>
      <c r="E855" s="1">
        <v>28.6797562</v>
      </c>
      <c r="F855" s="1">
        <v>77.20006269999999</v>
      </c>
      <c r="G855" s="1" t="s">
        <v>2112</v>
      </c>
      <c r="H855" s="1" t="s">
        <v>2113</v>
      </c>
      <c r="J855" s="1" t="s">
        <v>56</v>
      </c>
      <c r="P855" s="1" t="s">
        <v>2140</v>
      </c>
      <c r="Q855" s="1" t="s">
        <v>2141</v>
      </c>
      <c r="R855" s="1">
        <v>2.0</v>
      </c>
      <c r="S855" s="1"/>
    </row>
    <row r="856" ht="15.75" customHeight="1">
      <c r="A856" s="1" t="s">
        <v>2183</v>
      </c>
      <c r="B856" s="1" t="s">
        <v>2184</v>
      </c>
      <c r="C856" s="1" t="s">
        <v>617</v>
      </c>
      <c r="E856" s="1">
        <v>26.8837105</v>
      </c>
      <c r="F856" s="1">
        <v>80.9492746</v>
      </c>
      <c r="G856" s="1" t="s">
        <v>2112</v>
      </c>
      <c r="H856" s="1" t="s">
        <v>2113</v>
      </c>
      <c r="J856" s="1" t="s">
        <v>118</v>
      </c>
      <c r="P856" s="1" t="s">
        <v>2179</v>
      </c>
      <c r="Q856" s="1" t="s">
        <v>2180</v>
      </c>
      <c r="R856" s="1">
        <v>6.0</v>
      </c>
      <c r="S856" s="1"/>
    </row>
    <row r="857" ht="15.75" customHeight="1">
      <c r="A857" s="1" t="s">
        <v>2185</v>
      </c>
      <c r="B857" s="1" t="s">
        <v>2186</v>
      </c>
      <c r="C857" s="1" t="s">
        <v>2152</v>
      </c>
      <c r="E857" s="1">
        <v>28.5466416</v>
      </c>
      <c r="F857" s="1">
        <v>77.5457083</v>
      </c>
      <c r="G857" s="1" t="s">
        <v>2112</v>
      </c>
      <c r="H857" s="1" t="s">
        <v>2113</v>
      </c>
      <c r="J857" s="1" t="s">
        <v>118</v>
      </c>
      <c r="P857" s="1" t="s">
        <v>2153</v>
      </c>
      <c r="Q857" s="1" t="s">
        <v>2154</v>
      </c>
      <c r="R857" s="1">
        <v>1.0</v>
      </c>
      <c r="S857" s="1"/>
    </row>
    <row r="858" ht="15.75" customHeight="1">
      <c r="A858" s="1" t="s">
        <v>2187</v>
      </c>
      <c r="B858" s="1" t="s">
        <v>2188</v>
      </c>
      <c r="C858" s="1" t="s">
        <v>174</v>
      </c>
      <c r="E858" s="1">
        <v>28.5754207</v>
      </c>
      <c r="F858" s="1">
        <v>77.2558299</v>
      </c>
      <c r="G858" s="1" t="s">
        <v>2112</v>
      </c>
      <c r="H858" s="1" t="s">
        <v>2113</v>
      </c>
      <c r="J858" s="1" t="s">
        <v>44</v>
      </c>
      <c r="K858" s="1" t="s">
        <v>99</v>
      </c>
      <c r="L858" s="1" t="s">
        <v>27</v>
      </c>
      <c r="N858" s="1" t="s">
        <v>174</v>
      </c>
      <c r="O858" s="1" t="s">
        <v>29</v>
      </c>
      <c r="P858" s="1" t="s">
        <v>2140</v>
      </c>
      <c r="Q858" s="1" t="s">
        <v>2141</v>
      </c>
      <c r="R858" s="1">
        <v>1.0</v>
      </c>
      <c r="S858" s="1"/>
    </row>
    <row r="859" ht="15.75" customHeight="1">
      <c r="A859" s="1" t="s">
        <v>2189</v>
      </c>
      <c r="B859" s="1" t="s">
        <v>2190</v>
      </c>
      <c r="C859" s="1" t="s">
        <v>174</v>
      </c>
      <c r="E859" s="1">
        <v>28.8010615</v>
      </c>
      <c r="F859" s="1">
        <v>77.0351586</v>
      </c>
      <c r="G859" s="1" t="s">
        <v>2112</v>
      </c>
      <c r="H859" s="1" t="s">
        <v>2113</v>
      </c>
      <c r="J859" s="1" t="s">
        <v>118</v>
      </c>
      <c r="P859" s="1" t="s">
        <v>2140</v>
      </c>
      <c r="Q859" s="1" t="s">
        <v>2141</v>
      </c>
      <c r="R859" s="1">
        <v>1.0</v>
      </c>
      <c r="S859" s="1"/>
    </row>
    <row r="860" ht="15.75" customHeight="1">
      <c r="A860" s="1" t="s">
        <v>2191</v>
      </c>
      <c r="B860" s="1" t="s">
        <v>2192</v>
      </c>
      <c r="C860" s="1" t="s">
        <v>174</v>
      </c>
      <c r="E860" s="1">
        <v>28.6596335</v>
      </c>
      <c r="F860" s="1">
        <v>77.26727389999999</v>
      </c>
      <c r="G860" s="1" t="s">
        <v>2112</v>
      </c>
      <c r="H860" s="1" t="s">
        <v>2113</v>
      </c>
      <c r="J860" s="1" t="s">
        <v>44</v>
      </c>
      <c r="P860" s="1" t="s">
        <v>2140</v>
      </c>
      <c r="Q860" s="1" t="s">
        <v>2141</v>
      </c>
      <c r="R860" s="1">
        <v>1.0</v>
      </c>
      <c r="S860" s="1"/>
    </row>
    <row r="861" ht="15.75" customHeight="1">
      <c r="A861" s="1" t="s">
        <v>2193</v>
      </c>
      <c r="B861" s="1" t="s">
        <v>2194</v>
      </c>
      <c r="C861" s="1" t="s">
        <v>174</v>
      </c>
      <c r="E861" s="1">
        <v>28.8524805</v>
      </c>
      <c r="F861" s="1">
        <v>77.08819179999999</v>
      </c>
      <c r="G861" s="1" t="s">
        <v>2112</v>
      </c>
      <c r="H861" s="1" t="s">
        <v>2113</v>
      </c>
      <c r="J861" s="1" t="s">
        <v>44</v>
      </c>
      <c r="P861" s="1" t="s">
        <v>2140</v>
      </c>
      <c r="Q861" s="1" t="s">
        <v>2141</v>
      </c>
      <c r="R861" s="1">
        <v>1.0</v>
      </c>
      <c r="S861" s="1"/>
    </row>
    <row r="862" ht="15.75" customHeight="1">
      <c r="A862" s="1" t="s">
        <v>2195</v>
      </c>
      <c r="B862" s="1" t="s">
        <v>2196</v>
      </c>
      <c r="C862" s="1" t="s">
        <v>174</v>
      </c>
      <c r="E862" s="1">
        <v>28.6466415</v>
      </c>
      <c r="F862" s="1">
        <v>77.28372700000001</v>
      </c>
      <c r="G862" s="1" t="s">
        <v>2112</v>
      </c>
      <c r="H862" s="1" t="s">
        <v>2113</v>
      </c>
      <c r="J862" s="1" t="s">
        <v>44</v>
      </c>
      <c r="P862" s="1" t="s">
        <v>2140</v>
      </c>
      <c r="Q862" s="1" t="s">
        <v>2141</v>
      </c>
      <c r="R862" s="1">
        <v>1.0</v>
      </c>
      <c r="S862" s="1"/>
    </row>
    <row r="863" ht="15.75" customHeight="1">
      <c r="A863" s="1" t="s">
        <v>2197</v>
      </c>
      <c r="B863" s="1" t="s">
        <v>2198</v>
      </c>
      <c r="C863" s="1" t="s">
        <v>174</v>
      </c>
      <c r="E863" s="1">
        <v>28.6342727</v>
      </c>
      <c r="F863" s="1">
        <v>77.3103766</v>
      </c>
      <c r="G863" s="1" t="s">
        <v>2112</v>
      </c>
      <c r="H863" s="1" t="s">
        <v>2113</v>
      </c>
      <c r="J863" s="1" t="s">
        <v>44</v>
      </c>
      <c r="P863" s="1" t="s">
        <v>2140</v>
      </c>
      <c r="Q863" s="1" t="s">
        <v>2141</v>
      </c>
      <c r="R863" s="1">
        <v>3.0</v>
      </c>
      <c r="S863" s="1"/>
    </row>
    <row r="864" ht="15.75" customHeight="1">
      <c r="A864" s="1" t="s">
        <v>2199</v>
      </c>
      <c r="B864" s="1" t="s">
        <v>2200</v>
      </c>
      <c r="C864" s="1" t="s">
        <v>174</v>
      </c>
      <c r="E864" s="1">
        <v>28.5702502</v>
      </c>
      <c r="F864" s="1">
        <v>77.3218876</v>
      </c>
      <c r="G864" s="1" t="s">
        <v>2112</v>
      </c>
      <c r="H864" s="1" t="s">
        <v>2113</v>
      </c>
      <c r="J864" s="1" t="s">
        <v>118</v>
      </c>
      <c r="P864" s="1" t="s">
        <v>2140</v>
      </c>
      <c r="Q864" s="1" t="s">
        <v>2141</v>
      </c>
      <c r="R864" s="1">
        <v>1.0</v>
      </c>
      <c r="S864" s="1"/>
    </row>
    <row r="865" ht="15.75" customHeight="1">
      <c r="A865" s="1" t="s">
        <v>2201</v>
      </c>
      <c r="B865" s="1" t="s">
        <v>2202</v>
      </c>
      <c r="C865" s="1" t="s">
        <v>174</v>
      </c>
      <c r="E865" s="1">
        <v>28.7692004</v>
      </c>
      <c r="F865" s="1">
        <v>77.1732809</v>
      </c>
      <c r="G865" s="1" t="s">
        <v>2112</v>
      </c>
      <c r="H865" s="1" t="s">
        <v>2113</v>
      </c>
      <c r="J865" s="1" t="s">
        <v>44</v>
      </c>
      <c r="P865" s="1" t="s">
        <v>2140</v>
      </c>
      <c r="Q865" s="1" t="s">
        <v>2141</v>
      </c>
      <c r="R865" s="1">
        <v>3.0</v>
      </c>
      <c r="S865" s="1"/>
    </row>
    <row r="866" ht="15.75" customHeight="1">
      <c r="A866" s="1" t="s">
        <v>2203</v>
      </c>
      <c r="B866" s="1" t="s">
        <v>2204</v>
      </c>
      <c r="C866" s="1" t="s">
        <v>174</v>
      </c>
      <c r="E866" s="1">
        <v>28.6478138</v>
      </c>
      <c r="F866" s="1">
        <v>77.2404416</v>
      </c>
      <c r="G866" s="1" t="s">
        <v>2112</v>
      </c>
      <c r="H866" s="1" t="s">
        <v>2113</v>
      </c>
      <c r="J866" s="1" t="s">
        <v>44</v>
      </c>
      <c r="P866" s="1" t="s">
        <v>2140</v>
      </c>
      <c r="Q866" s="1" t="s">
        <v>2141</v>
      </c>
      <c r="R866" s="1">
        <v>4.0</v>
      </c>
      <c r="S866" s="1"/>
    </row>
    <row r="867" ht="15.75" customHeight="1">
      <c r="A867" s="1" t="s">
        <v>2205</v>
      </c>
      <c r="B867" s="1" t="s">
        <v>2206</v>
      </c>
      <c r="C867" s="1" t="s">
        <v>174</v>
      </c>
      <c r="E867" s="1">
        <v>28.6688108</v>
      </c>
      <c r="F867" s="1">
        <v>77.07234400000002</v>
      </c>
      <c r="G867" s="1" t="s">
        <v>2112</v>
      </c>
      <c r="H867" s="1" t="s">
        <v>2113</v>
      </c>
      <c r="J867" s="1" t="s">
        <v>118</v>
      </c>
      <c r="P867" s="1" t="s">
        <v>2140</v>
      </c>
      <c r="Q867" s="1" t="s">
        <v>2141</v>
      </c>
      <c r="R867" s="1">
        <v>1.0</v>
      </c>
      <c r="S867" s="1"/>
    </row>
    <row r="868" ht="15.75" customHeight="1">
      <c r="A868" s="1" t="s">
        <v>2207</v>
      </c>
      <c r="B868" s="1" t="s">
        <v>2208</v>
      </c>
      <c r="C868" s="1" t="s">
        <v>2152</v>
      </c>
      <c r="E868" s="1">
        <v>28.5543782</v>
      </c>
      <c r="F868" s="1">
        <v>77.34687219999999</v>
      </c>
      <c r="G868" s="1" t="s">
        <v>2112</v>
      </c>
      <c r="H868" s="1" t="s">
        <v>2113</v>
      </c>
      <c r="J868" s="1" t="s">
        <v>56</v>
      </c>
      <c r="P868" s="1" t="s">
        <v>2153</v>
      </c>
      <c r="Q868" s="1" t="s">
        <v>2154</v>
      </c>
      <c r="R868" s="1">
        <v>1.0</v>
      </c>
      <c r="S868" s="1"/>
    </row>
    <row r="869" ht="15.75" customHeight="1">
      <c r="A869" s="1" t="s">
        <v>2209</v>
      </c>
      <c r="B869" s="1" t="s">
        <v>2210</v>
      </c>
      <c r="C869" s="1" t="s">
        <v>174</v>
      </c>
      <c r="E869" s="1">
        <v>28.6810015</v>
      </c>
      <c r="F869" s="1">
        <v>77.3201177</v>
      </c>
      <c r="G869" s="1" t="s">
        <v>2112</v>
      </c>
      <c r="H869" s="1" t="s">
        <v>2113</v>
      </c>
      <c r="J869" s="1" t="s">
        <v>44</v>
      </c>
      <c r="P869" s="1" t="s">
        <v>2140</v>
      </c>
      <c r="Q869" s="1" t="s">
        <v>2141</v>
      </c>
      <c r="R869" s="1">
        <v>3.0</v>
      </c>
      <c r="S869" s="1"/>
    </row>
    <row r="870" ht="15.75" customHeight="1">
      <c r="A870" s="1" t="s">
        <v>2211</v>
      </c>
      <c r="B870" s="1" t="s">
        <v>2212</v>
      </c>
      <c r="C870" s="1" t="s">
        <v>174</v>
      </c>
      <c r="E870" s="1">
        <v>28.8010472</v>
      </c>
      <c r="F870" s="1">
        <v>77.0348866</v>
      </c>
      <c r="G870" s="1" t="s">
        <v>2112</v>
      </c>
      <c r="H870" s="1" t="s">
        <v>2113</v>
      </c>
      <c r="J870" s="1" t="s">
        <v>56</v>
      </c>
      <c r="P870" s="1" t="s">
        <v>2213</v>
      </c>
      <c r="Q870" s="1" t="s">
        <v>2214</v>
      </c>
      <c r="R870" s="1">
        <v>1.0</v>
      </c>
      <c r="S870" s="1"/>
    </row>
    <row r="871" ht="15.75" customHeight="1">
      <c r="A871" s="1" t="s">
        <v>2215</v>
      </c>
      <c r="B871" s="1" t="s">
        <v>2216</v>
      </c>
      <c r="C871" s="1" t="s">
        <v>1786</v>
      </c>
      <c r="E871" s="1">
        <v>20.245423</v>
      </c>
      <c r="F871" s="1">
        <v>85.8039817</v>
      </c>
      <c r="G871" s="1" t="s">
        <v>2112</v>
      </c>
      <c r="H871" s="1" t="s">
        <v>2113</v>
      </c>
      <c r="K871" s="1" t="s">
        <v>1910</v>
      </c>
      <c r="L871" s="1" t="s">
        <v>1911</v>
      </c>
      <c r="N871" s="1" t="s">
        <v>1874</v>
      </c>
      <c r="O871" s="1" t="s">
        <v>29</v>
      </c>
      <c r="P871" s="1" t="s">
        <v>2217</v>
      </c>
      <c r="Q871" s="1" t="s">
        <v>2218</v>
      </c>
      <c r="R871" s="1">
        <v>6.0</v>
      </c>
      <c r="S871" s="1"/>
    </row>
    <row r="872" ht="15.75" customHeight="1">
      <c r="A872" s="1" t="s">
        <v>2219</v>
      </c>
      <c r="B872" s="1" t="s">
        <v>2220</v>
      </c>
      <c r="C872" s="1" t="s">
        <v>174</v>
      </c>
      <c r="E872" s="1">
        <v>28.6502091</v>
      </c>
      <c r="F872" s="1">
        <v>77.20496849999999</v>
      </c>
      <c r="G872" s="1" t="s">
        <v>2112</v>
      </c>
      <c r="H872" s="1" t="s">
        <v>2113</v>
      </c>
      <c r="K872" s="1" t="s">
        <v>1910</v>
      </c>
      <c r="L872" s="1" t="s">
        <v>1911</v>
      </c>
      <c r="N872" s="1" t="s">
        <v>174</v>
      </c>
      <c r="O872" s="1" t="s">
        <v>29</v>
      </c>
      <c r="P872" s="1" t="s">
        <v>1749</v>
      </c>
      <c r="Q872" s="1" t="s">
        <v>1750</v>
      </c>
      <c r="R872" s="1">
        <v>2.0</v>
      </c>
      <c r="S872" s="1"/>
    </row>
    <row r="873" ht="15.75" customHeight="1">
      <c r="A873" s="1" t="s">
        <v>2221</v>
      </c>
      <c r="B873" s="1" t="s">
        <v>2222</v>
      </c>
      <c r="C873" s="1" t="s">
        <v>174</v>
      </c>
      <c r="E873" s="1">
        <v>28.6242828</v>
      </c>
      <c r="F873" s="1">
        <v>77.3092624</v>
      </c>
      <c r="G873" s="1" t="s">
        <v>2112</v>
      </c>
      <c r="H873" s="1" t="s">
        <v>2113</v>
      </c>
      <c r="P873" s="1" t="s">
        <v>1749</v>
      </c>
      <c r="Q873" s="1" t="s">
        <v>1750</v>
      </c>
      <c r="R873" s="1">
        <v>2.0</v>
      </c>
      <c r="S873" s="1"/>
    </row>
    <row r="874" ht="15.75" customHeight="1">
      <c r="A874" s="1" t="s">
        <v>2223</v>
      </c>
      <c r="B874" s="1" t="s">
        <v>2224</v>
      </c>
      <c r="C874" s="1" t="s">
        <v>174</v>
      </c>
      <c r="E874" s="1">
        <v>28.511833</v>
      </c>
      <c r="F874" s="1">
        <v>77.1777425</v>
      </c>
      <c r="G874" s="1" t="s">
        <v>2112</v>
      </c>
      <c r="H874" s="1" t="s">
        <v>2113</v>
      </c>
      <c r="P874" s="1" t="s">
        <v>1749</v>
      </c>
      <c r="Q874" s="1" t="s">
        <v>1750</v>
      </c>
      <c r="R874" s="1">
        <v>1.0</v>
      </c>
      <c r="S874" s="1"/>
    </row>
    <row r="875" ht="15.75" customHeight="1">
      <c r="A875" s="1" t="s">
        <v>2225</v>
      </c>
      <c r="B875" s="1" t="s">
        <v>2226</v>
      </c>
      <c r="C875" s="1" t="s">
        <v>174</v>
      </c>
      <c r="E875" s="1">
        <v>28.5197145</v>
      </c>
      <c r="F875" s="1">
        <v>77.2010664</v>
      </c>
      <c r="G875" s="1" t="s">
        <v>2112</v>
      </c>
      <c r="H875" s="1" t="s">
        <v>2113</v>
      </c>
      <c r="P875" s="1" t="s">
        <v>1749</v>
      </c>
      <c r="Q875" s="1" t="s">
        <v>1750</v>
      </c>
      <c r="R875" s="1">
        <v>3.0</v>
      </c>
      <c r="S875" s="1"/>
    </row>
    <row r="876" ht="15.75" customHeight="1">
      <c r="A876" s="1" t="s">
        <v>2227</v>
      </c>
      <c r="B876" s="1" t="s">
        <v>2228</v>
      </c>
      <c r="C876" s="1" t="s">
        <v>174</v>
      </c>
      <c r="E876" s="1">
        <v>28.5346981</v>
      </c>
      <c r="F876" s="1">
        <v>77.2701683</v>
      </c>
      <c r="G876" s="1" t="s">
        <v>2112</v>
      </c>
      <c r="H876" s="1" t="s">
        <v>2113</v>
      </c>
      <c r="K876" s="1" t="s">
        <v>1910</v>
      </c>
      <c r="L876" s="1" t="s">
        <v>1911</v>
      </c>
      <c r="N876" s="1" t="s">
        <v>174</v>
      </c>
      <c r="O876" s="1" t="s">
        <v>29</v>
      </c>
      <c r="P876" s="1" t="s">
        <v>1749</v>
      </c>
      <c r="Q876" s="1" t="s">
        <v>1750</v>
      </c>
      <c r="R876" s="1">
        <v>2.0</v>
      </c>
      <c r="S876" s="1"/>
    </row>
    <row r="877" ht="15.75" customHeight="1">
      <c r="A877" s="1" t="s">
        <v>2229</v>
      </c>
      <c r="B877" s="1" t="s">
        <v>2230</v>
      </c>
      <c r="C877" s="1" t="s">
        <v>174</v>
      </c>
      <c r="E877" s="1">
        <v>28.6518683</v>
      </c>
      <c r="F877" s="1">
        <v>77.12948759999999</v>
      </c>
      <c r="G877" s="1" t="s">
        <v>2112</v>
      </c>
      <c r="H877" s="1" t="s">
        <v>2113</v>
      </c>
      <c r="J877" s="1" t="s">
        <v>56</v>
      </c>
      <c r="K877" s="1" t="s">
        <v>1910</v>
      </c>
      <c r="L877" s="1" t="s">
        <v>1911</v>
      </c>
      <c r="N877" s="1" t="s">
        <v>174</v>
      </c>
      <c r="O877" s="1" t="s">
        <v>29</v>
      </c>
      <c r="P877" s="1" t="s">
        <v>1749</v>
      </c>
      <c r="Q877" s="1" t="s">
        <v>1750</v>
      </c>
      <c r="R877" s="1">
        <v>1.0</v>
      </c>
      <c r="S877" s="1"/>
    </row>
    <row r="878" ht="15.75" customHeight="1">
      <c r="A878" s="1" t="s">
        <v>2231</v>
      </c>
      <c r="B878" s="1" t="s">
        <v>2232</v>
      </c>
      <c r="C878" s="1" t="s">
        <v>174</v>
      </c>
      <c r="E878" s="1">
        <v>28.6397853</v>
      </c>
      <c r="F878" s="1">
        <v>77.0849617</v>
      </c>
      <c r="G878" s="1" t="s">
        <v>2112</v>
      </c>
      <c r="H878" s="1" t="s">
        <v>2113</v>
      </c>
      <c r="K878" s="1" t="s">
        <v>1910</v>
      </c>
      <c r="L878" s="1" t="s">
        <v>1911</v>
      </c>
      <c r="N878" s="1" t="s">
        <v>174</v>
      </c>
      <c r="O878" s="1" t="s">
        <v>29</v>
      </c>
      <c r="P878" s="1" t="s">
        <v>1902</v>
      </c>
      <c r="Q878" s="1" t="s">
        <v>1903</v>
      </c>
      <c r="R878" s="1">
        <v>3.0</v>
      </c>
      <c r="S878" s="1"/>
    </row>
    <row r="879" ht="15.75" customHeight="1">
      <c r="A879" s="1" t="s">
        <v>2233</v>
      </c>
      <c r="B879" s="1" t="s">
        <v>2234</v>
      </c>
      <c r="C879" s="1" t="s">
        <v>174</v>
      </c>
      <c r="E879" s="1">
        <v>28.658237</v>
      </c>
      <c r="F879" s="1">
        <v>77.2055022</v>
      </c>
      <c r="G879" s="1" t="s">
        <v>2112</v>
      </c>
      <c r="H879" s="1" t="s">
        <v>2113</v>
      </c>
      <c r="P879" s="1" t="s">
        <v>1902</v>
      </c>
      <c r="Q879" s="1" t="s">
        <v>1903</v>
      </c>
      <c r="R879" s="1">
        <v>3.0</v>
      </c>
      <c r="S879" s="1"/>
    </row>
    <row r="880" ht="15.75" customHeight="1">
      <c r="A880" s="1" t="s">
        <v>2235</v>
      </c>
      <c r="B880" s="1" t="s">
        <v>2236</v>
      </c>
      <c r="C880" s="1" t="s">
        <v>174</v>
      </c>
      <c r="E880" s="1">
        <v>28.5736376</v>
      </c>
      <c r="F880" s="1">
        <v>77.2559832</v>
      </c>
      <c r="G880" s="1" t="s">
        <v>2112</v>
      </c>
      <c r="H880" s="1" t="s">
        <v>2113</v>
      </c>
      <c r="P880" s="1" t="s">
        <v>1749</v>
      </c>
      <c r="Q880" s="1" t="s">
        <v>1750</v>
      </c>
      <c r="R880" s="1">
        <v>1.0</v>
      </c>
      <c r="S880" s="1"/>
    </row>
    <row r="881" ht="15.75" customHeight="1">
      <c r="A881" s="1" t="s">
        <v>2237</v>
      </c>
      <c r="B881" s="1" t="s">
        <v>2238</v>
      </c>
      <c r="C881" s="1" t="s">
        <v>151</v>
      </c>
      <c r="E881" s="1">
        <v>18.5896008</v>
      </c>
      <c r="F881" s="1">
        <v>73.816901</v>
      </c>
      <c r="G881" s="1" t="s">
        <v>2112</v>
      </c>
      <c r="H881" s="1" t="s">
        <v>2113</v>
      </c>
      <c r="K881" s="1" t="s">
        <v>1910</v>
      </c>
      <c r="L881" s="1" t="s">
        <v>1911</v>
      </c>
      <c r="N881" s="1" t="s">
        <v>143</v>
      </c>
      <c r="O881" s="1" t="s">
        <v>29</v>
      </c>
      <c r="P881" s="1" t="s">
        <v>2239</v>
      </c>
      <c r="Q881" s="1" t="s">
        <v>2240</v>
      </c>
      <c r="R881" s="1">
        <v>3.0</v>
      </c>
      <c r="S881" s="1"/>
    </row>
    <row r="882" ht="15.75" customHeight="1">
      <c r="A882" s="1" t="s">
        <v>2241</v>
      </c>
      <c r="B882" s="1" t="s">
        <v>2242</v>
      </c>
      <c r="C882" s="1" t="s">
        <v>174</v>
      </c>
      <c r="E882" s="1">
        <v>28.6251543</v>
      </c>
      <c r="F882" s="1">
        <v>77.3952225</v>
      </c>
      <c r="G882" s="1" t="s">
        <v>2112</v>
      </c>
      <c r="H882" s="1" t="s">
        <v>2113</v>
      </c>
      <c r="K882" s="1" t="s">
        <v>1910</v>
      </c>
      <c r="L882" s="1" t="s">
        <v>1911</v>
      </c>
      <c r="N882" s="1" t="s">
        <v>174</v>
      </c>
      <c r="O882" s="1" t="s">
        <v>29</v>
      </c>
      <c r="P882" s="1" t="s">
        <v>1749</v>
      </c>
      <c r="Q882" s="1" t="s">
        <v>1750</v>
      </c>
      <c r="R882" s="1">
        <v>4.0</v>
      </c>
      <c r="S882" s="1"/>
    </row>
    <row r="883" ht="15.75" customHeight="1">
      <c r="A883" s="1" t="s">
        <v>2243</v>
      </c>
      <c r="B883" s="1" t="s">
        <v>2244</v>
      </c>
      <c r="C883" s="1" t="s">
        <v>174</v>
      </c>
      <c r="E883" s="1">
        <v>28.639124</v>
      </c>
      <c r="F883" s="1">
        <v>77.2803491</v>
      </c>
      <c r="G883" s="1" t="s">
        <v>2112</v>
      </c>
      <c r="H883" s="1" t="s">
        <v>2113</v>
      </c>
      <c r="P883" s="1" t="s">
        <v>1749</v>
      </c>
      <c r="Q883" s="1" t="s">
        <v>1750</v>
      </c>
      <c r="R883" s="1">
        <v>1.0</v>
      </c>
      <c r="S883" s="1"/>
    </row>
    <row r="884" ht="15.75" customHeight="1">
      <c r="A884" s="1" t="s">
        <v>2245</v>
      </c>
      <c r="B884" s="1" t="s">
        <v>2246</v>
      </c>
      <c r="C884" s="1" t="s">
        <v>617</v>
      </c>
      <c r="E884" s="1">
        <v>26.7775307</v>
      </c>
      <c r="F884" s="1">
        <v>80.9068276</v>
      </c>
      <c r="G884" s="1" t="s">
        <v>2112</v>
      </c>
      <c r="H884" s="1" t="s">
        <v>2113</v>
      </c>
      <c r="K884" s="1" t="s">
        <v>1910</v>
      </c>
      <c r="L884" s="1" t="s">
        <v>1911</v>
      </c>
      <c r="N884" s="1" t="s">
        <v>28</v>
      </c>
      <c r="O884" s="1" t="s">
        <v>29</v>
      </c>
      <c r="P884" s="1" t="s">
        <v>2179</v>
      </c>
      <c r="Q884" s="1" t="s">
        <v>2180</v>
      </c>
      <c r="R884" s="1">
        <v>16.0</v>
      </c>
      <c r="S884" s="1"/>
    </row>
    <row r="885" ht="15.75" customHeight="1">
      <c r="A885" s="1" t="s">
        <v>2247</v>
      </c>
      <c r="B885" s="1" t="s">
        <v>2248</v>
      </c>
      <c r="C885" s="1" t="s">
        <v>617</v>
      </c>
      <c r="E885" s="1">
        <v>26.8272152</v>
      </c>
      <c r="F885" s="1">
        <v>80.9456699</v>
      </c>
      <c r="G885" s="1" t="s">
        <v>2112</v>
      </c>
      <c r="H885" s="1" t="s">
        <v>2113</v>
      </c>
      <c r="P885" s="1" t="s">
        <v>2179</v>
      </c>
      <c r="Q885" s="1" t="s">
        <v>2180</v>
      </c>
      <c r="R885" s="1">
        <v>14.0</v>
      </c>
      <c r="S885" s="1"/>
    </row>
    <row r="886" ht="15.75" customHeight="1">
      <c r="A886" s="1" t="s">
        <v>2249</v>
      </c>
      <c r="B886" s="1" t="s">
        <v>2250</v>
      </c>
      <c r="C886" s="1" t="s">
        <v>531</v>
      </c>
      <c r="E886" s="1">
        <v>22.5634245</v>
      </c>
      <c r="F886" s="1">
        <v>88.35197529999999</v>
      </c>
      <c r="G886" s="1" t="s">
        <v>2112</v>
      </c>
      <c r="H886" s="1" t="s">
        <v>2113</v>
      </c>
      <c r="K886" s="1" t="s">
        <v>1910</v>
      </c>
      <c r="L886" s="1" t="s">
        <v>1911</v>
      </c>
      <c r="N886" s="1" t="s">
        <v>532</v>
      </c>
      <c r="O886" s="1" t="s">
        <v>29</v>
      </c>
      <c r="P886" s="1" t="s">
        <v>2251</v>
      </c>
      <c r="Q886" s="1" t="s">
        <v>2252</v>
      </c>
      <c r="R886" s="1">
        <v>4.0</v>
      </c>
      <c r="S886" s="1"/>
    </row>
    <row r="887" ht="15.75" customHeight="1">
      <c r="A887" s="1" t="s">
        <v>2253</v>
      </c>
      <c r="B887" s="1" t="s">
        <v>2254</v>
      </c>
      <c r="C887" s="1" t="s">
        <v>531</v>
      </c>
      <c r="E887" s="1">
        <v>22.5334529</v>
      </c>
      <c r="F887" s="1">
        <v>88.3787021</v>
      </c>
      <c r="G887" s="1" t="s">
        <v>2112</v>
      </c>
      <c r="H887" s="1" t="s">
        <v>2113</v>
      </c>
      <c r="K887" s="1" t="s">
        <v>1910</v>
      </c>
      <c r="L887" s="1" t="s">
        <v>1911</v>
      </c>
      <c r="N887" s="1" t="s">
        <v>532</v>
      </c>
      <c r="O887" s="1" t="s">
        <v>29</v>
      </c>
      <c r="P887" s="1" t="s">
        <v>2251</v>
      </c>
      <c r="Q887" s="1" t="s">
        <v>2252</v>
      </c>
      <c r="R887" s="1">
        <v>6.0</v>
      </c>
      <c r="S887" s="1"/>
    </row>
    <row r="888" ht="15.75" customHeight="1">
      <c r="A888" s="1" t="s">
        <v>2255</v>
      </c>
      <c r="B888" s="1" t="s">
        <v>2256</v>
      </c>
      <c r="C888" s="1" t="s">
        <v>531</v>
      </c>
      <c r="E888" s="1">
        <v>22.606788</v>
      </c>
      <c r="F888" s="1">
        <v>88.4325767</v>
      </c>
      <c r="G888" s="1" t="s">
        <v>2112</v>
      </c>
      <c r="H888" s="1" t="s">
        <v>2113</v>
      </c>
      <c r="K888" s="1" t="s">
        <v>1910</v>
      </c>
      <c r="L888" s="1" t="s">
        <v>1911</v>
      </c>
      <c r="N888" s="1" t="s">
        <v>532</v>
      </c>
      <c r="O888" s="1" t="s">
        <v>29</v>
      </c>
      <c r="P888" s="1" t="s">
        <v>2251</v>
      </c>
      <c r="Q888" s="1" t="s">
        <v>2252</v>
      </c>
      <c r="R888" s="1">
        <v>2.0</v>
      </c>
      <c r="S888" s="1"/>
    </row>
    <row r="889" ht="15.75" customHeight="1">
      <c r="A889" s="1" t="s">
        <v>2257</v>
      </c>
      <c r="B889" s="1" t="s">
        <v>2258</v>
      </c>
      <c r="C889" s="1" t="s">
        <v>151</v>
      </c>
      <c r="E889" s="1">
        <v>18.497271</v>
      </c>
      <c r="F889" s="1">
        <v>73.813467</v>
      </c>
      <c r="G889" s="1" t="s">
        <v>2112</v>
      </c>
      <c r="H889" s="1" t="s">
        <v>2113</v>
      </c>
      <c r="K889" s="1" t="s">
        <v>1910</v>
      </c>
      <c r="L889" s="1" t="s">
        <v>1911</v>
      </c>
      <c r="N889" s="1" t="s">
        <v>143</v>
      </c>
      <c r="O889" s="1" t="s">
        <v>29</v>
      </c>
      <c r="P889" s="1" t="s">
        <v>2239</v>
      </c>
      <c r="Q889" s="1" t="s">
        <v>2240</v>
      </c>
      <c r="R889" s="1">
        <v>5.0</v>
      </c>
      <c r="S889" s="1"/>
    </row>
    <row r="890" ht="15.75" customHeight="1">
      <c r="A890" s="1" t="s">
        <v>2259</v>
      </c>
      <c r="B890" s="1" t="s">
        <v>2260</v>
      </c>
      <c r="C890" s="1" t="s">
        <v>174</v>
      </c>
      <c r="E890" s="1">
        <v>28.6433329</v>
      </c>
      <c r="F890" s="1">
        <v>77.2294732</v>
      </c>
      <c r="G890" s="1" t="s">
        <v>2112</v>
      </c>
      <c r="H890" s="1" t="s">
        <v>2113</v>
      </c>
      <c r="K890" s="1" t="s">
        <v>1910</v>
      </c>
      <c r="L890" s="1" t="s">
        <v>1911</v>
      </c>
      <c r="N890" s="1" t="s">
        <v>174</v>
      </c>
      <c r="O890" s="1" t="s">
        <v>29</v>
      </c>
      <c r="P890" s="1" t="s">
        <v>1749</v>
      </c>
      <c r="Q890" s="1" t="s">
        <v>1750</v>
      </c>
      <c r="R890" s="1">
        <v>7.0</v>
      </c>
      <c r="S890" s="1"/>
    </row>
    <row r="891" ht="15.75" customHeight="1">
      <c r="A891" s="1" t="s">
        <v>2261</v>
      </c>
      <c r="B891" s="1" t="s">
        <v>2262</v>
      </c>
      <c r="C891" s="1" t="s">
        <v>174</v>
      </c>
      <c r="E891" s="1">
        <v>28.6934588</v>
      </c>
      <c r="F891" s="1">
        <v>77.099051</v>
      </c>
      <c r="G891" s="1" t="s">
        <v>2112</v>
      </c>
      <c r="H891" s="1" t="s">
        <v>2113</v>
      </c>
      <c r="P891" s="1" t="s">
        <v>1749</v>
      </c>
      <c r="Q891" s="1" t="s">
        <v>1750</v>
      </c>
      <c r="R891" s="1">
        <v>1.0</v>
      </c>
      <c r="S891" s="1"/>
    </row>
    <row r="892" ht="15.75" customHeight="1">
      <c r="A892" s="1" t="s">
        <v>2263</v>
      </c>
      <c r="B892" s="1" t="s">
        <v>2264</v>
      </c>
      <c r="C892" s="1" t="s">
        <v>174</v>
      </c>
      <c r="E892" s="1">
        <v>28.6690016</v>
      </c>
      <c r="F892" s="1">
        <v>77.1686023</v>
      </c>
      <c r="G892" s="1" t="s">
        <v>2112</v>
      </c>
      <c r="H892" s="1" t="s">
        <v>2113</v>
      </c>
      <c r="J892" s="1" t="s">
        <v>25</v>
      </c>
      <c r="K892" s="1" t="s">
        <v>1910</v>
      </c>
      <c r="L892" s="1" t="s">
        <v>1911</v>
      </c>
      <c r="N892" s="1" t="s">
        <v>174</v>
      </c>
      <c r="O892" s="1" t="s">
        <v>29</v>
      </c>
      <c r="P892" s="1" t="s">
        <v>2265</v>
      </c>
      <c r="Q892" s="1" t="s">
        <v>2266</v>
      </c>
      <c r="R892" s="1">
        <v>3.0</v>
      </c>
      <c r="S892" s="1"/>
    </row>
    <row r="893" ht="15.75" customHeight="1">
      <c r="A893" s="1" t="s">
        <v>2267</v>
      </c>
      <c r="B893" s="1" t="s">
        <v>2268</v>
      </c>
      <c r="C893" s="1" t="s">
        <v>531</v>
      </c>
      <c r="E893" s="1">
        <v>22.5480084</v>
      </c>
      <c r="F893" s="1">
        <v>88.359741</v>
      </c>
      <c r="G893" s="1" t="s">
        <v>2112</v>
      </c>
      <c r="H893" s="1" t="s">
        <v>2113</v>
      </c>
      <c r="P893" s="1" t="s">
        <v>2251</v>
      </c>
      <c r="Q893" s="1" t="s">
        <v>2252</v>
      </c>
      <c r="R893" s="1">
        <v>2.0</v>
      </c>
      <c r="S893" s="1"/>
    </row>
    <row r="894" ht="15.75" customHeight="1">
      <c r="A894" s="1" t="s">
        <v>2269</v>
      </c>
      <c r="B894" s="1" t="s">
        <v>2270</v>
      </c>
      <c r="C894" s="1" t="s">
        <v>531</v>
      </c>
      <c r="E894" s="1">
        <v>22.569184</v>
      </c>
      <c r="F894" s="1">
        <v>88.36164199999999</v>
      </c>
      <c r="G894" s="1" t="s">
        <v>2112</v>
      </c>
      <c r="H894" s="1" t="s">
        <v>2113</v>
      </c>
      <c r="J894" s="1" t="s">
        <v>44</v>
      </c>
      <c r="P894" s="1" t="s">
        <v>2251</v>
      </c>
      <c r="Q894" s="1" t="s">
        <v>2252</v>
      </c>
      <c r="R894" s="1">
        <v>5.0</v>
      </c>
      <c r="S894" s="1"/>
    </row>
    <row r="895" ht="15.75" customHeight="1">
      <c r="A895" s="1" t="s">
        <v>2271</v>
      </c>
      <c r="B895" s="1" t="s">
        <v>2272</v>
      </c>
      <c r="C895" s="1" t="s">
        <v>174</v>
      </c>
      <c r="E895" s="1">
        <v>28.7618276</v>
      </c>
      <c r="F895" s="1">
        <v>77.14823070000001</v>
      </c>
      <c r="G895" s="1" t="s">
        <v>2112</v>
      </c>
      <c r="H895" s="1" t="s">
        <v>2113</v>
      </c>
      <c r="J895" s="1" t="s">
        <v>25</v>
      </c>
      <c r="K895" s="1" t="s">
        <v>1910</v>
      </c>
      <c r="L895" s="1" t="s">
        <v>1911</v>
      </c>
      <c r="N895" s="1" t="s">
        <v>174</v>
      </c>
      <c r="O895" s="1" t="s">
        <v>29</v>
      </c>
      <c r="P895" s="1" t="s">
        <v>2265</v>
      </c>
      <c r="Q895" s="1" t="s">
        <v>2266</v>
      </c>
      <c r="R895" s="1">
        <v>1.0</v>
      </c>
      <c r="S895" s="1"/>
    </row>
    <row r="896" ht="15.75" customHeight="1">
      <c r="A896" s="1" t="s">
        <v>2273</v>
      </c>
      <c r="B896" s="1" t="s">
        <v>2274</v>
      </c>
      <c r="C896" s="1" t="s">
        <v>531</v>
      </c>
      <c r="E896" s="1">
        <v>22.5188614</v>
      </c>
      <c r="F896" s="1">
        <v>88.37814519999999</v>
      </c>
      <c r="G896" s="1" t="s">
        <v>2112</v>
      </c>
      <c r="H896" s="1" t="s">
        <v>2113</v>
      </c>
      <c r="J896" s="1" t="s">
        <v>118</v>
      </c>
      <c r="P896" s="1" t="s">
        <v>2251</v>
      </c>
      <c r="Q896" s="1" t="s">
        <v>2252</v>
      </c>
      <c r="R896" s="1">
        <v>3.0</v>
      </c>
      <c r="S896" s="1"/>
    </row>
    <row r="897" ht="15.75" customHeight="1">
      <c r="A897" s="1" t="s">
        <v>2275</v>
      </c>
      <c r="B897" s="1" t="s">
        <v>2276</v>
      </c>
      <c r="C897" s="1" t="s">
        <v>617</v>
      </c>
      <c r="E897" s="1">
        <v>26.9052048</v>
      </c>
      <c r="F897" s="1">
        <v>80.9647499</v>
      </c>
      <c r="G897" s="1" t="s">
        <v>2112</v>
      </c>
      <c r="H897" s="1" t="s">
        <v>2113</v>
      </c>
      <c r="J897" s="1" t="s">
        <v>118</v>
      </c>
      <c r="K897" s="1" t="s">
        <v>1910</v>
      </c>
      <c r="L897" s="1" t="s">
        <v>1911</v>
      </c>
      <c r="N897" s="1" t="s">
        <v>28</v>
      </c>
      <c r="O897" s="1" t="s">
        <v>29</v>
      </c>
      <c r="P897" s="1" t="s">
        <v>2179</v>
      </c>
      <c r="Q897" s="1" t="s">
        <v>2180</v>
      </c>
      <c r="R897" s="1">
        <v>1.0</v>
      </c>
      <c r="S897" s="1"/>
    </row>
    <row r="898" ht="15.75" customHeight="1">
      <c r="A898" s="1" t="s">
        <v>2277</v>
      </c>
      <c r="B898" s="1" t="s">
        <v>2278</v>
      </c>
      <c r="C898" s="1" t="s">
        <v>531</v>
      </c>
      <c r="E898" s="1">
        <v>22.476926</v>
      </c>
      <c r="F898" s="1">
        <v>88.381699</v>
      </c>
      <c r="G898" s="1" t="s">
        <v>2112</v>
      </c>
      <c r="H898" s="1" t="s">
        <v>2113</v>
      </c>
      <c r="J898" s="1" t="s">
        <v>25</v>
      </c>
      <c r="P898" s="1" t="s">
        <v>2251</v>
      </c>
      <c r="Q898" s="1" t="s">
        <v>2252</v>
      </c>
      <c r="R898" s="1">
        <v>2.0</v>
      </c>
      <c r="S898" s="1"/>
    </row>
    <row r="899" ht="15.75" customHeight="1">
      <c r="A899" s="1" t="s">
        <v>2279</v>
      </c>
      <c r="B899" s="1" t="s">
        <v>2280</v>
      </c>
      <c r="C899" s="1" t="s">
        <v>174</v>
      </c>
      <c r="E899" s="1">
        <v>28.5213304</v>
      </c>
      <c r="F899" s="1">
        <v>77.1687998</v>
      </c>
      <c r="G899" s="1" t="s">
        <v>2112</v>
      </c>
      <c r="H899" s="1" t="s">
        <v>2113</v>
      </c>
      <c r="J899" s="1" t="s">
        <v>118</v>
      </c>
      <c r="K899" s="1" t="s">
        <v>1910</v>
      </c>
      <c r="L899" s="1" t="s">
        <v>1911</v>
      </c>
      <c r="N899" s="1" t="s">
        <v>174</v>
      </c>
      <c r="O899" s="1" t="s">
        <v>29</v>
      </c>
      <c r="P899" s="1" t="s">
        <v>1749</v>
      </c>
      <c r="Q899" s="1" t="s">
        <v>1750</v>
      </c>
      <c r="R899" s="1">
        <v>2.0</v>
      </c>
      <c r="S899" s="1"/>
    </row>
    <row r="900" ht="15.75" customHeight="1">
      <c r="A900" s="1" t="s">
        <v>2281</v>
      </c>
      <c r="B900" s="1" t="s">
        <v>2282</v>
      </c>
      <c r="C900" s="1" t="s">
        <v>617</v>
      </c>
      <c r="E900" s="1">
        <v>26.8494896</v>
      </c>
      <c r="F900" s="1">
        <v>80.95039229999999</v>
      </c>
      <c r="G900" s="1" t="s">
        <v>2112</v>
      </c>
      <c r="H900" s="1" t="s">
        <v>2113</v>
      </c>
      <c r="J900" s="1" t="s">
        <v>25</v>
      </c>
      <c r="K900" s="1" t="s">
        <v>1910</v>
      </c>
      <c r="L900" s="1" t="s">
        <v>1911</v>
      </c>
      <c r="N900" s="1" t="s">
        <v>28</v>
      </c>
      <c r="O900" s="1" t="s">
        <v>29</v>
      </c>
      <c r="P900" s="1" t="s">
        <v>2179</v>
      </c>
      <c r="Q900" s="1" t="s">
        <v>2180</v>
      </c>
      <c r="R900" s="1">
        <v>5.0</v>
      </c>
      <c r="S900" s="1"/>
    </row>
    <row r="901" ht="15.75" customHeight="1">
      <c r="A901" s="1" t="s">
        <v>2283</v>
      </c>
      <c r="B901" s="1" t="s">
        <v>2284</v>
      </c>
      <c r="C901" s="1" t="s">
        <v>617</v>
      </c>
      <c r="E901" s="1">
        <v>26.8466937</v>
      </c>
      <c r="F901" s="1">
        <v>80.94616599999999</v>
      </c>
      <c r="G901" s="1" t="s">
        <v>2112</v>
      </c>
      <c r="H901" s="1" t="s">
        <v>2113</v>
      </c>
      <c r="K901" s="1" t="s">
        <v>1910</v>
      </c>
      <c r="L901" s="1" t="s">
        <v>1911</v>
      </c>
      <c r="N901" s="1" t="s">
        <v>28</v>
      </c>
      <c r="O901" s="1" t="s">
        <v>29</v>
      </c>
      <c r="P901" s="1" t="s">
        <v>2179</v>
      </c>
      <c r="Q901" s="1" t="s">
        <v>2180</v>
      </c>
      <c r="R901" s="1">
        <v>1.0</v>
      </c>
      <c r="S901" s="1"/>
    </row>
    <row r="902" ht="15.75" customHeight="1">
      <c r="A902" s="1" t="s">
        <v>2285</v>
      </c>
      <c r="B902" s="1" t="s">
        <v>2286</v>
      </c>
      <c r="C902" s="1" t="s">
        <v>531</v>
      </c>
      <c r="E902" s="1">
        <v>22.7172437</v>
      </c>
      <c r="F902" s="1">
        <v>88.3855444</v>
      </c>
      <c r="G902" s="1" t="s">
        <v>2112</v>
      </c>
      <c r="H902" s="1" t="s">
        <v>2113</v>
      </c>
      <c r="J902" s="1" t="s">
        <v>25</v>
      </c>
      <c r="P902" s="1" t="s">
        <v>2251</v>
      </c>
      <c r="Q902" s="1" t="s">
        <v>2252</v>
      </c>
      <c r="R902" s="1">
        <v>3.0</v>
      </c>
      <c r="S902" s="1"/>
    </row>
    <row r="903" ht="15.75" customHeight="1">
      <c r="A903" s="1" t="s">
        <v>2287</v>
      </c>
      <c r="B903" s="1" t="s">
        <v>2288</v>
      </c>
      <c r="C903" s="1" t="s">
        <v>151</v>
      </c>
      <c r="E903" s="1">
        <v>18.4616546</v>
      </c>
      <c r="F903" s="1">
        <v>73.8074615</v>
      </c>
      <c r="G903" s="1" t="s">
        <v>2112</v>
      </c>
      <c r="H903" s="1" t="s">
        <v>2113</v>
      </c>
      <c r="J903" s="1" t="s">
        <v>56</v>
      </c>
      <c r="P903" s="1" t="s">
        <v>2239</v>
      </c>
      <c r="Q903" s="1" t="s">
        <v>2240</v>
      </c>
      <c r="R903" s="1">
        <v>2.0</v>
      </c>
      <c r="S903" s="1"/>
    </row>
    <row r="904" ht="15.75" customHeight="1">
      <c r="A904" s="1" t="s">
        <v>2289</v>
      </c>
      <c r="B904" s="1" t="s">
        <v>2290</v>
      </c>
      <c r="C904" s="1" t="s">
        <v>2291</v>
      </c>
      <c r="E904" s="1">
        <v>9.9110756</v>
      </c>
      <c r="F904" s="1">
        <v>76.2787917</v>
      </c>
      <c r="G904" s="1" t="s">
        <v>2112</v>
      </c>
      <c r="H904" s="1" t="s">
        <v>2113</v>
      </c>
      <c r="J904" s="1" t="s">
        <v>118</v>
      </c>
      <c r="P904" s="1" t="s">
        <v>1211</v>
      </c>
      <c r="Q904" s="1" t="s">
        <v>1212</v>
      </c>
      <c r="R904" s="1">
        <v>6.0</v>
      </c>
      <c r="S904" s="1"/>
    </row>
    <row r="905" ht="15.75" customHeight="1">
      <c r="A905" s="1" t="s">
        <v>2292</v>
      </c>
      <c r="B905" s="1" t="s">
        <v>2293</v>
      </c>
      <c r="C905" s="1" t="s">
        <v>2291</v>
      </c>
      <c r="E905" s="1">
        <v>18.9378983</v>
      </c>
      <c r="F905" s="1">
        <v>72.8356467</v>
      </c>
      <c r="G905" s="1" t="s">
        <v>2112</v>
      </c>
      <c r="H905" s="1" t="s">
        <v>2113</v>
      </c>
      <c r="J905" s="1" t="s">
        <v>118</v>
      </c>
      <c r="P905" s="1" t="s">
        <v>1211</v>
      </c>
      <c r="Q905" s="1" t="s">
        <v>1212</v>
      </c>
      <c r="R905" s="1">
        <v>3.0</v>
      </c>
      <c r="S905" s="1"/>
    </row>
    <row r="906" ht="15.75" customHeight="1">
      <c r="A906" s="1" t="s">
        <v>2294</v>
      </c>
      <c r="B906" s="1" t="s">
        <v>2295</v>
      </c>
      <c r="C906" s="1" t="s">
        <v>1786</v>
      </c>
      <c r="E906" s="1">
        <v>20.2641043</v>
      </c>
      <c r="F906" s="1">
        <v>85.76611969999999</v>
      </c>
      <c r="G906" s="1" t="s">
        <v>2112</v>
      </c>
      <c r="H906" s="1" t="s">
        <v>2113</v>
      </c>
      <c r="J906" s="1" t="s">
        <v>44</v>
      </c>
      <c r="K906" s="1" t="s">
        <v>1910</v>
      </c>
      <c r="L906" s="1" t="s">
        <v>1911</v>
      </c>
      <c r="N906" s="1" t="s">
        <v>1874</v>
      </c>
      <c r="O906" s="1" t="s">
        <v>29</v>
      </c>
      <c r="P906" s="1" t="s">
        <v>2217</v>
      </c>
      <c r="Q906" s="1" t="s">
        <v>2218</v>
      </c>
      <c r="R906" s="1">
        <v>5.0</v>
      </c>
      <c r="S906" s="1"/>
    </row>
    <row r="907" ht="15.75" customHeight="1">
      <c r="A907" s="1" t="s">
        <v>2296</v>
      </c>
      <c r="B907" s="1" t="s">
        <v>2297</v>
      </c>
      <c r="C907" s="1" t="s">
        <v>1112</v>
      </c>
      <c r="E907" s="1">
        <v>12.9296489</v>
      </c>
      <c r="F907" s="1">
        <v>80.11508119999999</v>
      </c>
      <c r="G907" s="1" t="s">
        <v>2112</v>
      </c>
      <c r="H907" s="1" t="s">
        <v>2113</v>
      </c>
      <c r="J907" s="1" t="s">
        <v>56</v>
      </c>
      <c r="K907" s="1" t="s">
        <v>1910</v>
      </c>
      <c r="L907" s="1" t="s">
        <v>1911</v>
      </c>
      <c r="N907" s="1" t="s">
        <v>1097</v>
      </c>
      <c r="O907" s="1" t="s">
        <v>29</v>
      </c>
      <c r="P907" s="1" t="s">
        <v>1098</v>
      </c>
      <c r="Q907" s="1" t="s">
        <v>1099</v>
      </c>
      <c r="R907" s="1">
        <v>2.0</v>
      </c>
      <c r="S907" s="1"/>
    </row>
    <row r="908" ht="15.75" customHeight="1">
      <c r="A908" s="1" t="s">
        <v>2298</v>
      </c>
      <c r="B908" s="1" t="s">
        <v>2299</v>
      </c>
      <c r="C908" s="1" t="s">
        <v>148</v>
      </c>
      <c r="E908" s="1">
        <v>19.1859174</v>
      </c>
      <c r="F908" s="1">
        <v>72.85858879999999</v>
      </c>
      <c r="G908" s="1" t="s">
        <v>2112</v>
      </c>
      <c r="H908" s="1" t="s">
        <v>2113</v>
      </c>
      <c r="K908" s="1" t="s">
        <v>1910</v>
      </c>
      <c r="L908" s="1" t="s">
        <v>1911</v>
      </c>
      <c r="N908" s="1" t="s">
        <v>143</v>
      </c>
      <c r="O908" s="1" t="s">
        <v>29</v>
      </c>
      <c r="P908" s="1" t="s">
        <v>2300</v>
      </c>
      <c r="Q908" s="1" t="s">
        <v>2301</v>
      </c>
      <c r="R908" s="1">
        <v>1.0</v>
      </c>
      <c r="S908" s="1"/>
    </row>
    <row r="909" ht="15.75" customHeight="1">
      <c r="A909" s="1" t="s">
        <v>2302</v>
      </c>
      <c r="B909" s="1" t="s">
        <v>2303</v>
      </c>
      <c r="C909" s="1" t="s">
        <v>1112</v>
      </c>
      <c r="E909" s="1">
        <v>12.9310682</v>
      </c>
      <c r="F909" s="1">
        <v>80.2049353</v>
      </c>
      <c r="G909" s="1" t="s">
        <v>2112</v>
      </c>
      <c r="H909" s="1" t="s">
        <v>2113</v>
      </c>
      <c r="J909" s="1" t="s">
        <v>118</v>
      </c>
      <c r="K909" s="1" t="s">
        <v>1910</v>
      </c>
      <c r="L909" s="1" t="s">
        <v>1911</v>
      </c>
      <c r="N909" s="1" t="s">
        <v>1097</v>
      </c>
      <c r="O909" s="1" t="s">
        <v>29</v>
      </c>
      <c r="P909" s="1" t="s">
        <v>1098</v>
      </c>
      <c r="Q909" s="1" t="s">
        <v>1099</v>
      </c>
      <c r="R909" s="1">
        <v>1.0</v>
      </c>
      <c r="S909" s="1"/>
    </row>
    <row r="910" ht="15.75" customHeight="1">
      <c r="A910" s="1" t="s">
        <v>2304</v>
      </c>
      <c r="B910" s="1" t="s">
        <v>2305</v>
      </c>
      <c r="C910" s="1" t="s">
        <v>148</v>
      </c>
      <c r="E910" s="1">
        <v>18.9134002</v>
      </c>
      <c r="F910" s="1">
        <v>72.820754</v>
      </c>
      <c r="G910" s="1" t="s">
        <v>2112</v>
      </c>
      <c r="H910" s="1" t="s">
        <v>2113</v>
      </c>
      <c r="K910" s="1" t="s">
        <v>1910</v>
      </c>
      <c r="L910" s="1" t="s">
        <v>1911</v>
      </c>
      <c r="N910" s="1" t="s">
        <v>143</v>
      </c>
      <c r="O910" s="1" t="s">
        <v>29</v>
      </c>
      <c r="P910" s="1" t="s">
        <v>2300</v>
      </c>
      <c r="Q910" s="1" t="s">
        <v>2301</v>
      </c>
      <c r="R910" s="1">
        <v>1.0</v>
      </c>
      <c r="S910" s="1"/>
    </row>
    <row r="911" ht="15.75" customHeight="1">
      <c r="A911" s="1" t="s">
        <v>2306</v>
      </c>
      <c r="B911" s="1" t="s">
        <v>2307</v>
      </c>
      <c r="C911" s="1" t="s">
        <v>1112</v>
      </c>
      <c r="E911" s="1">
        <v>13.0379751</v>
      </c>
      <c r="F911" s="1">
        <v>80.1794922</v>
      </c>
      <c r="G911" s="1" t="s">
        <v>2112</v>
      </c>
      <c r="H911" s="1" t="s">
        <v>2113</v>
      </c>
      <c r="J911" s="1" t="s">
        <v>56</v>
      </c>
      <c r="K911" s="1" t="s">
        <v>1910</v>
      </c>
      <c r="L911" s="1" t="s">
        <v>1911</v>
      </c>
      <c r="N911" s="1" t="s">
        <v>1097</v>
      </c>
      <c r="O911" s="1" t="s">
        <v>29</v>
      </c>
      <c r="P911" s="1" t="s">
        <v>1098</v>
      </c>
      <c r="Q911" s="1" t="s">
        <v>1099</v>
      </c>
      <c r="R911" s="1">
        <v>1.0</v>
      </c>
      <c r="S911" s="1"/>
    </row>
    <row r="912" ht="15.75" customHeight="1">
      <c r="A912" s="1" t="s">
        <v>2308</v>
      </c>
      <c r="B912" s="1" t="s">
        <v>2309</v>
      </c>
      <c r="C912" s="1" t="s">
        <v>1138</v>
      </c>
      <c r="E912" s="1">
        <v>11.143453</v>
      </c>
      <c r="F912" s="1">
        <v>76.9553458</v>
      </c>
      <c r="G912" s="1" t="s">
        <v>2112</v>
      </c>
      <c r="H912" s="1" t="s">
        <v>2113</v>
      </c>
      <c r="J912" s="1" t="s">
        <v>56</v>
      </c>
      <c r="P912" s="1" t="s">
        <v>1098</v>
      </c>
      <c r="Q912" s="1" t="s">
        <v>1099</v>
      </c>
      <c r="R912" s="1">
        <v>1.0</v>
      </c>
      <c r="S912" s="1"/>
    </row>
    <row r="913" ht="15.75" customHeight="1">
      <c r="A913" s="1" t="s">
        <v>2310</v>
      </c>
      <c r="B913" s="1" t="s">
        <v>2311</v>
      </c>
      <c r="C913" s="1" t="s">
        <v>1112</v>
      </c>
      <c r="E913" s="1">
        <v>13.0359496</v>
      </c>
      <c r="F913" s="1">
        <v>80.2689307</v>
      </c>
      <c r="G913" s="1" t="s">
        <v>2112</v>
      </c>
      <c r="H913" s="1" t="s">
        <v>2113</v>
      </c>
      <c r="J913" s="1" t="s">
        <v>56</v>
      </c>
      <c r="P913" s="1" t="s">
        <v>1098</v>
      </c>
      <c r="Q913" s="1" t="s">
        <v>1099</v>
      </c>
      <c r="R913" s="1">
        <v>1.0</v>
      </c>
      <c r="S913" s="1"/>
    </row>
    <row r="914" ht="15.75" customHeight="1">
      <c r="A914" s="1" t="s">
        <v>2312</v>
      </c>
      <c r="B914" s="1" t="s">
        <v>2313</v>
      </c>
      <c r="C914" s="1" t="s">
        <v>151</v>
      </c>
      <c r="E914" s="1">
        <v>18.5527158</v>
      </c>
      <c r="F914" s="1">
        <v>73.88206989999999</v>
      </c>
      <c r="G914" s="1" t="s">
        <v>2112</v>
      </c>
      <c r="H914" s="1" t="s">
        <v>2113</v>
      </c>
      <c r="J914" s="1" t="s">
        <v>56</v>
      </c>
      <c r="P914" s="1" t="s">
        <v>2239</v>
      </c>
      <c r="Q914" s="1" t="s">
        <v>2240</v>
      </c>
      <c r="R914" s="1">
        <v>3.0</v>
      </c>
      <c r="S914" s="1"/>
    </row>
    <row r="915" ht="15.75" customHeight="1">
      <c r="A915" s="1" t="s">
        <v>2314</v>
      </c>
      <c r="B915" s="1" t="s">
        <v>2315</v>
      </c>
      <c r="C915" s="1" t="s">
        <v>1112</v>
      </c>
      <c r="E915" s="1">
        <v>12.9908133</v>
      </c>
      <c r="F915" s="1">
        <v>80.1977295</v>
      </c>
      <c r="G915" s="1" t="s">
        <v>2112</v>
      </c>
      <c r="H915" s="1" t="s">
        <v>2113</v>
      </c>
      <c r="J915" s="1" t="s">
        <v>56</v>
      </c>
      <c r="K915" s="1" t="s">
        <v>1910</v>
      </c>
      <c r="L915" s="1" t="s">
        <v>1911</v>
      </c>
      <c r="N915" s="1" t="s">
        <v>1097</v>
      </c>
      <c r="O915" s="1" t="s">
        <v>29</v>
      </c>
      <c r="P915" s="1" t="s">
        <v>1098</v>
      </c>
      <c r="Q915" s="1" t="s">
        <v>1099</v>
      </c>
      <c r="R915" s="1">
        <v>3.0</v>
      </c>
      <c r="S915" s="1"/>
    </row>
    <row r="916" ht="15.75" customHeight="1">
      <c r="A916" s="1" t="s">
        <v>2316</v>
      </c>
      <c r="B916" s="1" t="s">
        <v>2317</v>
      </c>
      <c r="C916" s="1" t="s">
        <v>162</v>
      </c>
      <c r="E916" s="1">
        <v>28.4003828</v>
      </c>
      <c r="F916" s="1">
        <v>77.28993679999999</v>
      </c>
      <c r="G916" s="1" t="s">
        <v>2112</v>
      </c>
      <c r="H916" s="1" t="s">
        <v>2113</v>
      </c>
      <c r="K916" s="1" t="s">
        <v>99</v>
      </c>
      <c r="L916" s="1" t="s">
        <v>27</v>
      </c>
      <c r="N916" s="1" t="s">
        <v>163</v>
      </c>
      <c r="O916" s="1" t="s">
        <v>29</v>
      </c>
      <c r="P916" s="1" t="s">
        <v>2318</v>
      </c>
      <c r="Q916" s="1" t="s">
        <v>2319</v>
      </c>
      <c r="R916" s="1">
        <v>4.0</v>
      </c>
      <c r="S916" s="1"/>
    </row>
    <row r="917" ht="15.75" customHeight="1">
      <c r="A917" s="1" t="s">
        <v>2320</v>
      </c>
      <c r="B917" s="1" t="s">
        <v>2321</v>
      </c>
      <c r="C917" s="1" t="s">
        <v>1112</v>
      </c>
      <c r="E917" s="1">
        <v>12.8926565</v>
      </c>
      <c r="F917" s="1">
        <v>80.1828967</v>
      </c>
      <c r="G917" s="1" t="s">
        <v>2112</v>
      </c>
      <c r="H917" s="1" t="s">
        <v>2113</v>
      </c>
      <c r="J917" s="1" t="s">
        <v>56</v>
      </c>
      <c r="P917" s="1" t="s">
        <v>1098</v>
      </c>
      <c r="Q917" s="1" t="s">
        <v>1099</v>
      </c>
      <c r="R917" s="1">
        <v>1.0</v>
      </c>
      <c r="S917" s="1"/>
    </row>
    <row r="918" ht="15.75" customHeight="1">
      <c r="A918" s="1" t="s">
        <v>2322</v>
      </c>
      <c r="B918" s="1" t="s">
        <v>2323</v>
      </c>
      <c r="C918" s="1" t="s">
        <v>162</v>
      </c>
      <c r="E918" s="1">
        <v>28.3444037</v>
      </c>
      <c r="F918" s="1">
        <v>77.32986720000001</v>
      </c>
      <c r="G918" s="1" t="s">
        <v>2112</v>
      </c>
      <c r="H918" s="1" t="s">
        <v>2113</v>
      </c>
      <c r="K918" s="1" t="s">
        <v>1910</v>
      </c>
      <c r="L918" s="1" t="s">
        <v>1911</v>
      </c>
      <c r="N918" s="1" t="s">
        <v>163</v>
      </c>
      <c r="O918" s="1" t="s">
        <v>29</v>
      </c>
      <c r="P918" s="1" t="s">
        <v>2318</v>
      </c>
      <c r="Q918" s="1" t="s">
        <v>2319</v>
      </c>
      <c r="R918" s="1">
        <v>3.0</v>
      </c>
      <c r="S918" s="1"/>
    </row>
    <row r="919" ht="15.75" customHeight="1">
      <c r="A919" s="1" t="s">
        <v>2324</v>
      </c>
      <c r="B919" s="1" t="s">
        <v>2325</v>
      </c>
      <c r="C919" s="1" t="s">
        <v>38</v>
      </c>
      <c r="E919" s="1">
        <v>28.6771063</v>
      </c>
      <c r="F919" s="1">
        <v>77.3758667</v>
      </c>
      <c r="G919" s="1" t="s">
        <v>2112</v>
      </c>
      <c r="H919" s="1" t="s">
        <v>2113</v>
      </c>
      <c r="J919" s="1" t="s">
        <v>118</v>
      </c>
      <c r="K919" s="1" t="s">
        <v>1910</v>
      </c>
      <c r="L919" s="1" t="s">
        <v>1911</v>
      </c>
      <c r="N919" s="1" t="s">
        <v>28</v>
      </c>
      <c r="O919" s="1" t="s">
        <v>29</v>
      </c>
      <c r="P919" s="1" t="s">
        <v>2326</v>
      </c>
      <c r="Q919" s="1" t="s">
        <v>2327</v>
      </c>
      <c r="R919" s="1">
        <v>5.0</v>
      </c>
      <c r="S919" s="1"/>
    </row>
    <row r="920" ht="15.75" customHeight="1">
      <c r="A920" s="1" t="s">
        <v>2328</v>
      </c>
      <c r="B920" s="1" t="s">
        <v>2329</v>
      </c>
      <c r="C920" s="1" t="s">
        <v>1078</v>
      </c>
      <c r="E920" s="1">
        <v>12.9281413</v>
      </c>
      <c r="F920" s="1">
        <v>77.573512</v>
      </c>
      <c r="G920" s="1" t="s">
        <v>2112</v>
      </c>
      <c r="H920" s="1" t="s">
        <v>2113</v>
      </c>
      <c r="J920" s="1" t="s">
        <v>56</v>
      </c>
      <c r="K920" s="1" t="s">
        <v>1910</v>
      </c>
      <c r="L920" s="1" t="s">
        <v>1911</v>
      </c>
      <c r="N920" s="1" t="s">
        <v>743</v>
      </c>
      <c r="O920" s="1" t="s">
        <v>29</v>
      </c>
      <c r="P920" s="1" t="s">
        <v>1079</v>
      </c>
      <c r="Q920" s="1" t="s">
        <v>1080</v>
      </c>
      <c r="R920" s="1">
        <v>4.0</v>
      </c>
      <c r="S920" s="1"/>
    </row>
    <row r="921" ht="15.75" customHeight="1">
      <c r="A921" s="1" t="s">
        <v>2330</v>
      </c>
      <c r="B921" s="1" t="s">
        <v>2331</v>
      </c>
      <c r="C921" s="1" t="s">
        <v>1078</v>
      </c>
      <c r="E921" s="1">
        <v>12.9917611</v>
      </c>
      <c r="F921" s="1">
        <v>77.7120954</v>
      </c>
      <c r="G921" s="1" t="s">
        <v>2112</v>
      </c>
      <c r="H921" s="1" t="s">
        <v>2113</v>
      </c>
      <c r="K921" s="1" t="s">
        <v>99</v>
      </c>
      <c r="L921" s="1" t="s">
        <v>27</v>
      </c>
      <c r="N921" s="1" t="s">
        <v>743</v>
      </c>
      <c r="O921" s="1" t="s">
        <v>29</v>
      </c>
      <c r="P921" s="1" t="s">
        <v>1079</v>
      </c>
      <c r="Q921" s="1" t="s">
        <v>1080</v>
      </c>
      <c r="R921" s="1">
        <v>1.0</v>
      </c>
      <c r="S921" s="1"/>
    </row>
    <row r="922" ht="15.75" customHeight="1">
      <c r="A922" s="1" t="s">
        <v>2332</v>
      </c>
      <c r="B922" s="1" t="s">
        <v>2333</v>
      </c>
      <c r="C922" s="1" t="s">
        <v>162</v>
      </c>
      <c r="E922" s="1">
        <v>28.4864579</v>
      </c>
      <c r="F922" s="1">
        <v>77.3050032</v>
      </c>
      <c r="G922" s="1" t="s">
        <v>2112</v>
      </c>
      <c r="H922" s="1" t="s">
        <v>2113</v>
      </c>
      <c r="J922" s="1" t="s">
        <v>56</v>
      </c>
      <c r="K922" s="1" t="s">
        <v>1910</v>
      </c>
      <c r="L922" s="1" t="s">
        <v>1911</v>
      </c>
      <c r="N922" s="1" t="s">
        <v>163</v>
      </c>
      <c r="O922" s="1" t="s">
        <v>29</v>
      </c>
      <c r="P922" s="1" t="s">
        <v>2318</v>
      </c>
      <c r="Q922" s="1" t="s">
        <v>2319</v>
      </c>
      <c r="R922" s="1">
        <v>2.0</v>
      </c>
      <c r="S922" s="1"/>
    </row>
    <row r="923" ht="15.75" customHeight="1">
      <c r="A923" s="1" t="s">
        <v>2334</v>
      </c>
      <c r="B923" s="1" t="s">
        <v>2335</v>
      </c>
      <c r="C923" s="1" t="s">
        <v>1078</v>
      </c>
      <c r="E923" s="1">
        <v>13.0640068</v>
      </c>
      <c r="F923" s="1">
        <v>77.717636</v>
      </c>
      <c r="G923" s="1" t="s">
        <v>2112</v>
      </c>
      <c r="H923" s="1" t="s">
        <v>2113</v>
      </c>
      <c r="J923" s="1" t="s">
        <v>56</v>
      </c>
      <c r="K923" s="1" t="s">
        <v>1910</v>
      </c>
      <c r="L923" s="1" t="s">
        <v>1911</v>
      </c>
      <c r="N923" s="1" t="s">
        <v>743</v>
      </c>
      <c r="O923" s="1" t="s">
        <v>29</v>
      </c>
      <c r="P923" s="1" t="s">
        <v>1079</v>
      </c>
      <c r="Q923" s="1" t="s">
        <v>1080</v>
      </c>
      <c r="R923" s="1">
        <v>1.0</v>
      </c>
      <c r="S923" s="1"/>
    </row>
    <row r="924" ht="15.75" customHeight="1">
      <c r="A924" s="1" t="s">
        <v>2336</v>
      </c>
      <c r="B924" s="1" t="s">
        <v>2337</v>
      </c>
      <c r="C924" s="1" t="s">
        <v>1078</v>
      </c>
      <c r="E924" s="1">
        <v>12.9169007</v>
      </c>
      <c r="F924" s="1">
        <v>77.60149419999999</v>
      </c>
      <c r="G924" s="1" t="s">
        <v>2112</v>
      </c>
      <c r="H924" s="1" t="s">
        <v>2113</v>
      </c>
      <c r="J924" s="1" t="s">
        <v>56</v>
      </c>
      <c r="K924" s="1" t="s">
        <v>1910</v>
      </c>
      <c r="L924" s="1" t="s">
        <v>1911</v>
      </c>
      <c r="N924" s="1" t="s">
        <v>743</v>
      </c>
      <c r="O924" s="1" t="s">
        <v>29</v>
      </c>
      <c r="P924" s="1" t="s">
        <v>1079</v>
      </c>
      <c r="Q924" s="1" t="s">
        <v>1080</v>
      </c>
      <c r="R924" s="1">
        <v>2.0</v>
      </c>
      <c r="S924" s="1"/>
    </row>
    <row r="925" ht="15.75" customHeight="1">
      <c r="A925" s="1" t="s">
        <v>2338</v>
      </c>
      <c r="B925" s="1" t="s">
        <v>2339</v>
      </c>
      <c r="C925" s="1" t="s">
        <v>1138</v>
      </c>
      <c r="E925" s="1">
        <v>11.0557445</v>
      </c>
      <c r="F925" s="1">
        <v>76.9855192</v>
      </c>
      <c r="G925" s="1" t="s">
        <v>2112</v>
      </c>
      <c r="H925" s="1" t="s">
        <v>2113</v>
      </c>
      <c r="J925" s="1" t="s">
        <v>118</v>
      </c>
      <c r="P925" s="1" t="s">
        <v>1098</v>
      </c>
      <c r="Q925" s="1" t="s">
        <v>1099</v>
      </c>
      <c r="R925" s="1">
        <v>1.0</v>
      </c>
      <c r="S925" s="1"/>
    </row>
    <row r="926" ht="15.75" customHeight="1">
      <c r="A926" s="1" t="s">
        <v>2340</v>
      </c>
      <c r="B926" s="1" t="s">
        <v>2341</v>
      </c>
      <c r="C926" s="1" t="s">
        <v>148</v>
      </c>
      <c r="E926" s="1">
        <v>18.9922779</v>
      </c>
      <c r="F926" s="1">
        <v>72.82419639999999</v>
      </c>
      <c r="G926" s="1" t="s">
        <v>2112</v>
      </c>
      <c r="H926" s="1" t="s">
        <v>2113</v>
      </c>
      <c r="J926" s="1" t="s">
        <v>118</v>
      </c>
      <c r="P926" s="1" t="s">
        <v>2300</v>
      </c>
      <c r="Q926" s="1" t="s">
        <v>2301</v>
      </c>
      <c r="R926" s="1">
        <v>1.0</v>
      </c>
      <c r="S926" s="1"/>
    </row>
    <row r="927" ht="15.75" customHeight="1">
      <c r="A927" s="1" t="s">
        <v>2342</v>
      </c>
      <c r="B927" s="1" t="s">
        <v>2343</v>
      </c>
      <c r="C927" s="1" t="s">
        <v>1078</v>
      </c>
      <c r="E927" s="1">
        <v>12.9976116</v>
      </c>
      <c r="F927" s="1">
        <v>77.6174783</v>
      </c>
      <c r="G927" s="1" t="s">
        <v>2112</v>
      </c>
      <c r="H927" s="1" t="s">
        <v>2113</v>
      </c>
      <c r="J927" s="1" t="s">
        <v>56</v>
      </c>
      <c r="K927" s="1" t="s">
        <v>1910</v>
      </c>
      <c r="L927" s="1" t="s">
        <v>1911</v>
      </c>
      <c r="N927" s="1" t="s">
        <v>743</v>
      </c>
      <c r="O927" s="1" t="s">
        <v>29</v>
      </c>
      <c r="P927" s="1" t="s">
        <v>1079</v>
      </c>
      <c r="Q927" s="1" t="s">
        <v>1080</v>
      </c>
      <c r="R927" s="1">
        <v>3.0</v>
      </c>
      <c r="S927" s="1"/>
    </row>
    <row r="928" ht="15.75" customHeight="1">
      <c r="A928" s="1" t="s">
        <v>2344</v>
      </c>
      <c r="B928" s="1" t="s">
        <v>2345</v>
      </c>
      <c r="C928" s="1" t="s">
        <v>617</v>
      </c>
      <c r="E928" s="1">
        <v>26.8797078</v>
      </c>
      <c r="F928" s="1">
        <v>80.974111</v>
      </c>
      <c r="G928" s="1" t="s">
        <v>2112</v>
      </c>
      <c r="H928" s="1" t="s">
        <v>2113</v>
      </c>
      <c r="J928" s="1" t="s">
        <v>56</v>
      </c>
      <c r="K928" s="1" t="s">
        <v>1910</v>
      </c>
      <c r="L928" s="1" t="s">
        <v>1911</v>
      </c>
      <c r="N928" s="1" t="s">
        <v>28</v>
      </c>
      <c r="O928" s="1" t="s">
        <v>29</v>
      </c>
      <c r="P928" s="1" t="s">
        <v>2179</v>
      </c>
      <c r="Q928" s="1" t="s">
        <v>2180</v>
      </c>
      <c r="R928" s="1">
        <v>12.0</v>
      </c>
      <c r="S928" s="1"/>
    </row>
    <row r="929" ht="15.75" customHeight="1">
      <c r="A929" s="1" t="s">
        <v>2346</v>
      </c>
      <c r="B929" s="1" t="s">
        <v>2347</v>
      </c>
      <c r="C929" s="1" t="s">
        <v>1078</v>
      </c>
      <c r="E929" s="1">
        <v>12.9681661</v>
      </c>
      <c r="F929" s="1">
        <v>77.6541276</v>
      </c>
      <c r="G929" s="1" t="s">
        <v>2112</v>
      </c>
      <c r="H929" s="1" t="s">
        <v>2113</v>
      </c>
      <c r="J929" s="1" t="s">
        <v>56</v>
      </c>
      <c r="K929" s="1" t="s">
        <v>99</v>
      </c>
      <c r="L929" s="1" t="s">
        <v>27</v>
      </c>
      <c r="N929" s="1" t="s">
        <v>743</v>
      </c>
      <c r="O929" s="1" t="s">
        <v>29</v>
      </c>
      <c r="P929" s="1" t="s">
        <v>1079</v>
      </c>
      <c r="Q929" s="1" t="s">
        <v>1080</v>
      </c>
      <c r="R929" s="1">
        <v>1.0</v>
      </c>
      <c r="S929" s="1"/>
    </row>
    <row r="930" ht="15.75" customHeight="1">
      <c r="A930" s="1" t="s">
        <v>2348</v>
      </c>
      <c r="B930" s="1" t="s">
        <v>2349</v>
      </c>
      <c r="C930" s="1" t="s">
        <v>1112</v>
      </c>
      <c r="E930" s="1">
        <v>13.0551039</v>
      </c>
      <c r="F930" s="1">
        <v>80.15761359999999</v>
      </c>
      <c r="G930" s="1" t="s">
        <v>2112</v>
      </c>
      <c r="H930" s="1" t="s">
        <v>2113</v>
      </c>
      <c r="K930" s="1" t="s">
        <v>99</v>
      </c>
      <c r="L930" s="1" t="s">
        <v>27</v>
      </c>
      <c r="N930" s="1" t="s">
        <v>1097</v>
      </c>
      <c r="O930" s="1" t="s">
        <v>29</v>
      </c>
      <c r="P930" s="1" t="s">
        <v>1098</v>
      </c>
      <c r="Q930" s="1" t="s">
        <v>1099</v>
      </c>
      <c r="R930" s="1">
        <v>1.0</v>
      </c>
      <c r="S930" s="1"/>
    </row>
    <row r="931" ht="15.75" customHeight="1">
      <c r="A931" s="1" t="s">
        <v>2350</v>
      </c>
      <c r="B931" s="1" t="s">
        <v>2351</v>
      </c>
      <c r="C931" s="1" t="s">
        <v>38</v>
      </c>
      <c r="E931" s="1">
        <v>28.6355577</v>
      </c>
      <c r="F931" s="1">
        <v>77.3493402</v>
      </c>
      <c r="G931" s="1" t="s">
        <v>2112</v>
      </c>
      <c r="H931" s="1" t="s">
        <v>2113</v>
      </c>
      <c r="J931" s="1" t="s">
        <v>56</v>
      </c>
      <c r="P931" s="1" t="s">
        <v>2167</v>
      </c>
      <c r="Q931" s="1" t="s">
        <v>2168</v>
      </c>
      <c r="R931" s="1">
        <v>1.0</v>
      </c>
      <c r="S931" s="1"/>
    </row>
    <row r="932" ht="15.75" customHeight="1">
      <c r="A932" s="1" t="s">
        <v>2352</v>
      </c>
      <c r="B932" s="1" t="s">
        <v>2353</v>
      </c>
      <c r="C932" s="1" t="s">
        <v>1138</v>
      </c>
      <c r="E932" s="1">
        <v>11.048876</v>
      </c>
      <c r="F932" s="1">
        <v>76.948491</v>
      </c>
      <c r="G932" s="1" t="s">
        <v>2112</v>
      </c>
      <c r="H932" s="1" t="s">
        <v>2113</v>
      </c>
      <c r="J932" s="1" t="s">
        <v>56</v>
      </c>
      <c r="P932" s="1" t="s">
        <v>1098</v>
      </c>
      <c r="Q932" s="1" t="s">
        <v>1099</v>
      </c>
      <c r="R932" s="1">
        <v>1.0</v>
      </c>
      <c r="S932" s="1"/>
    </row>
    <row r="933" ht="15.75" customHeight="1">
      <c r="A933" s="1" t="s">
        <v>2354</v>
      </c>
      <c r="B933" s="1" t="s">
        <v>2355</v>
      </c>
      <c r="C933" s="1" t="s">
        <v>148</v>
      </c>
      <c r="E933" s="1">
        <v>19.0805961</v>
      </c>
      <c r="F933" s="1">
        <v>72.8886082</v>
      </c>
      <c r="G933" s="1" t="s">
        <v>2112</v>
      </c>
      <c r="H933" s="1" t="s">
        <v>2113</v>
      </c>
      <c r="J933" s="1" t="s">
        <v>56</v>
      </c>
      <c r="K933" s="1" t="s">
        <v>1910</v>
      </c>
      <c r="L933" s="1" t="s">
        <v>1911</v>
      </c>
      <c r="N933" s="1" t="s">
        <v>143</v>
      </c>
      <c r="O933" s="1" t="s">
        <v>29</v>
      </c>
      <c r="P933" s="1" t="s">
        <v>2300</v>
      </c>
      <c r="Q933" s="1" t="s">
        <v>2301</v>
      </c>
      <c r="R933" s="1">
        <v>4.0</v>
      </c>
      <c r="S933" s="1"/>
    </row>
    <row r="934" ht="15.75" customHeight="1">
      <c r="A934" s="1" t="s">
        <v>2356</v>
      </c>
      <c r="B934" s="1" t="s">
        <v>2357</v>
      </c>
      <c r="C934" s="1" t="s">
        <v>1786</v>
      </c>
      <c r="E934" s="1">
        <v>20.3542145</v>
      </c>
      <c r="F934" s="1">
        <v>85.8265087</v>
      </c>
      <c r="G934" s="1" t="s">
        <v>2112</v>
      </c>
      <c r="H934" s="1" t="s">
        <v>2113</v>
      </c>
      <c r="J934" s="1" t="s">
        <v>56</v>
      </c>
      <c r="K934" s="1" t="s">
        <v>99</v>
      </c>
      <c r="L934" s="1" t="s">
        <v>27</v>
      </c>
      <c r="N934" s="1" t="s">
        <v>1874</v>
      </c>
      <c r="O934" s="1" t="s">
        <v>29</v>
      </c>
      <c r="P934" s="1" t="s">
        <v>2217</v>
      </c>
      <c r="Q934" s="1" t="s">
        <v>2218</v>
      </c>
      <c r="R934" s="1">
        <v>4.0</v>
      </c>
      <c r="S934" s="1"/>
    </row>
    <row r="935" ht="15.75" customHeight="1">
      <c r="A935" s="1" t="s">
        <v>2358</v>
      </c>
      <c r="B935" s="1" t="s">
        <v>2359</v>
      </c>
      <c r="C935" s="1" t="s">
        <v>148</v>
      </c>
      <c r="E935" s="1">
        <v>19.1060625</v>
      </c>
      <c r="F935" s="1">
        <v>72.8478125</v>
      </c>
      <c r="G935" s="1" t="s">
        <v>2112</v>
      </c>
      <c r="H935" s="1" t="s">
        <v>2113</v>
      </c>
      <c r="K935" s="1" t="s">
        <v>99</v>
      </c>
      <c r="L935" s="1" t="s">
        <v>27</v>
      </c>
      <c r="N935" s="1" t="s">
        <v>143</v>
      </c>
      <c r="O935" s="1" t="s">
        <v>29</v>
      </c>
      <c r="P935" s="1" t="s">
        <v>2300</v>
      </c>
      <c r="Q935" s="1" t="s">
        <v>2301</v>
      </c>
      <c r="R935" s="1">
        <v>1.0</v>
      </c>
      <c r="S935" s="1"/>
    </row>
    <row r="936" ht="15.75" customHeight="1">
      <c r="A936" s="1" t="s">
        <v>2360</v>
      </c>
      <c r="B936" s="1" t="s">
        <v>2361</v>
      </c>
      <c r="C936" s="1" t="s">
        <v>1112</v>
      </c>
      <c r="E936" s="1">
        <v>13.0481098</v>
      </c>
      <c r="F936" s="1">
        <v>77.57730769999999</v>
      </c>
      <c r="G936" s="1" t="s">
        <v>2112</v>
      </c>
      <c r="H936" s="1" t="s">
        <v>2113</v>
      </c>
      <c r="P936" s="1" t="s">
        <v>1098</v>
      </c>
      <c r="Q936" s="1" t="s">
        <v>1099</v>
      </c>
      <c r="R936" s="1">
        <v>3.0</v>
      </c>
      <c r="S936" s="1"/>
    </row>
    <row r="937" ht="15.75" customHeight="1">
      <c r="A937" s="1" t="s">
        <v>2362</v>
      </c>
      <c r="B937" s="1" t="s">
        <v>2363</v>
      </c>
      <c r="C937" s="1" t="s">
        <v>2291</v>
      </c>
      <c r="E937" s="1">
        <v>9.9580944</v>
      </c>
      <c r="F937" s="1">
        <v>76.28955599999999</v>
      </c>
      <c r="G937" s="1" t="s">
        <v>2112</v>
      </c>
      <c r="H937" s="1" t="s">
        <v>2113</v>
      </c>
      <c r="P937" s="1" t="s">
        <v>1211</v>
      </c>
      <c r="Q937" s="1" t="s">
        <v>1212</v>
      </c>
      <c r="R937" s="1">
        <v>2.0</v>
      </c>
      <c r="S937" s="1"/>
    </row>
    <row r="938" ht="15.75" customHeight="1">
      <c r="A938" s="1" t="s">
        <v>2364</v>
      </c>
      <c r="B938" s="1" t="s">
        <v>2365</v>
      </c>
      <c r="C938" s="1" t="s">
        <v>148</v>
      </c>
      <c r="E938" s="1">
        <v>19.1869658</v>
      </c>
      <c r="F938" s="1">
        <v>72.9706047</v>
      </c>
      <c r="G938" s="1" t="s">
        <v>2112</v>
      </c>
      <c r="H938" s="1" t="s">
        <v>2113</v>
      </c>
      <c r="K938" s="1" t="s">
        <v>1910</v>
      </c>
      <c r="L938" s="1" t="s">
        <v>1911</v>
      </c>
      <c r="N938" s="1" t="s">
        <v>143</v>
      </c>
      <c r="O938" s="1" t="s">
        <v>29</v>
      </c>
      <c r="P938" s="1" t="s">
        <v>2300</v>
      </c>
      <c r="Q938" s="1" t="s">
        <v>2301</v>
      </c>
      <c r="R938" s="1">
        <v>2.0</v>
      </c>
      <c r="S938" s="1"/>
    </row>
    <row r="939" ht="15.75" customHeight="1">
      <c r="A939" s="1" t="s">
        <v>2366</v>
      </c>
      <c r="B939" s="1" t="s">
        <v>2367</v>
      </c>
      <c r="C939" s="1" t="s">
        <v>174</v>
      </c>
      <c r="E939" s="1">
        <v>28.6945288</v>
      </c>
      <c r="F939" s="1">
        <v>77.2588924</v>
      </c>
      <c r="G939" s="1" t="s">
        <v>2112</v>
      </c>
      <c r="H939" s="1" t="s">
        <v>2113</v>
      </c>
      <c r="K939" s="1" t="s">
        <v>1910</v>
      </c>
      <c r="L939" s="1" t="s">
        <v>1911</v>
      </c>
      <c r="N939" s="1" t="s">
        <v>174</v>
      </c>
      <c r="O939" s="1" t="s">
        <v>29</v>
      </c>
      <c r="P939" s="1" t="s">
        <v>1749</v>
      </c>
      <c r="Q939" s="1" t="s">
        <v>1750</v>
      </c>
      <c r="R939" s="1">
        <v>2.0</v>
      </c>
      <c r="S939" s="1"/>
    </row>
    <row r="940" ht="15.75" customHeight="1">
      <c r="A940" s="1" t="s">
        <v>2368</v>
      </c>
      <c r="B940" s="1" t="s">
        <v>2369</v>
      </c>
      <c r="C940" s="1" t="s">
        <v>151</v>
      </c>
      <c r="E940" s="1">
        <v>18.5083216</v>
      </c>
      <c r="F940" s="1">
        <v>73.8753208</v>
      </c>
      <c r="G940" s="1" t="s">
        <v>2112</v>
      </c>
      <c r="H940" s="1" t="s">
        <v>2113</v>
      </c>
      <c r="P940" s="1" t="s">
        <v>2239</v>
      </c>
      <c r="Q940" s="1" t="s">
        <v>2240</v>
      </c>
      <c r="R940" s="1">
        <v>0.0</v>
      </c>
      <c r="S940" s="1"/>
    </row>
    <row r="941" ht="15.75" customHeight="1">
      <c r="A941" s="1" t="s">
        <v>2370</v>
      </c>
      <c r="B941" s="1" t="s">
        <v>2371</v>
      </c>
      <c r="C941" s="1" t="s">
        <v>2372</v>
      </c>
      <c r="E941" s="1">
        <v>9.9686155</v>
      </c>
      <c r="F941" s="1">
        <v>76.3152472</v>
      </c>
      <c r="G941" s="1" t="s">
        <v>2112</v>
      </c>
      <c r="H941" s="1" t="s">
        <v>2113</v>
      </c>
      <c r="K941" s="1" t="s">
        <v>1910</v>
      </c>
      <c r="L941" s="1" t="s">
        <v>1911</v>
      </c>
      <c r="N941" s="1" t="s">
        <v>1210</v>
      </c>
      <c r="O941" s="1" t="s">
        <v>29</v>
      </c>
      <c r="P941" s="1" t="s">
        <v>1211</v>
      </c>
      <c r="Q941" s="1" t="s">
        <v>1212</v>
      </c>
      <c r="R941" s="1">
        <v>4.0</v>
      </c>
      <c r="S941" s="1"/>
    </row>
    <row r="942" ht="15.75" customHeight="1">
      <c r="A942" s="1" t="s">
        <v>2373</v>
      </c>
      <c r="B942" s="1" t="s">
        <v>2374</v>
      </c>
      <c r="C942" s="1" t="s">
        <v>148</v>
      </c>
      <c r="E942" s="1">
        <v>19.2288724</v>
      </c>
      <c r="F942" s="1">
        <v>72.8621818</v>
      </c>
      <c r="G942" s="1" t="s">
        <v>2112</v>
      </c>
      <c r="H942" s="1" t="s">
        <v>2113</v>
      </c>
      <c r="K942" s="1" t="s">
        <v>1910</v>
      </c>
      <c r="L942" s="1" t="s">
        <v>1911</v>
      </c>
      <c r="N942" s="1" t="s">
        <v>143</v>
      </c>
      <c r="O942" s="1" t="s">
        <v>29</v>
      </c>
      <c r="P942" s="1" t="s">
        <v>2300</v>
      </c>
      <c r="Q942" s="1" t="s">
        <v>2301</v>
      </c>
      <c r="R942" s="1">
        <v>1.0</v>
      </c>
      <c r="S942" s="1"/>
    </row>
    <row r="943" ht="15.75" customHeight="1">
      <c r="A943" s="1" t="s">
        <v>2375</v>
      </c>
      <c r="B943" s="1" t="s">
        <v>2376</v>
      </c>
      <c r="C943" s="1" t="s">
        <v>1112</v>
      </c>
      <c r="E943" s="1">
        <v>13.1657728</v>
      </c>
      <c r="F943" s="1">
        <v>80.2530486</v>
      </c>
      <c r="G943" s="1" t="s">
        <v>2112</v>
      </c>
      <c r="H943" s="1" t="s">
        <v>2113</v>
      </c>
      <c r="P943" s="1" t="s">
        <v>1098</v>
      </c>
      <c r="Q943" s="1" t="s">
        <v>1099</v>
      </c>
      <c r="R943" s="1">
        <v>2.0</v>
      </c>
      <c r="S943" s="1"/>
    </row>
    <row r="944" ht="15.75" customHeight="1">
      <c r="A944" s="1" t="s">
        <v>2377</v>
      </c>
      <c r="B944" s="1" t="s">
        <v>2378</v>
      </c>
      <c r="C944" s="1" t="s">
        <v>1112</v>
      </c>
      <c r="E944" s="1">
        <v>13.1579932</v>
      </c>
      <c r="F944" s="1">
        <v>80.3015277</v>
      </c>
      <c r="G944" s="1" t="s">
        <v>2112</v>
      </c>
      <c r="H944" s="1" t="s">
        <v>2113</v>
      </c>
      <c r="P944" s="1" t="s">
        <v>1098</v>
      </c>
      <c r="Q944" s="1" t="s">
        <v>1099</v>
      </c>
      <c r="R944" s="1">
        <v>2.0</v>
      </c>
      <c r="S944" s="1"/>
    </row>
    <row r="945" ht="15.75" customHeight="1">
      <c r="A945" s="1" t="s">
        <v>2379</v>
      </c>
      <c r="B945" s="1" t="s">
        <v>2380</v>
      </c>
      <c r="C945" s="1" t="s">
        <v>1112</v>
      </c>
      <c r="E945" s="1">
        <v>13.113842</v>
      </c>
      <c r="F945" s="1">
        <v>80.294464</v>
      </c>
      <c r="G945" s="1" t="s">
        <v>2112</v>
      </c>
      <c r="H945" s="1" t="s">
        <v>2113</v>
      </c>
      <c r="P945" s="1" t="s">
        <v>1098</v>
      </c>
      <c r="Q945" s="1" t="s">
        <v>1099</v>
      </c>
      <c r="R945" s="1">
        <v>0.0</v>
      </c>
      <c r="S945" s="1"/>
    </row>
    <row r="946" ht="15.75" customHeight="1">
      <c r="A946" s="1" t="s">
        <v>2381</v>
      </c>
      <c r="B946" s="1" t="s">
        <v>2382</v>
      </c>
      <c r="C946" s="1" t="s">
        <v>1138</v>
      </c>
      <c r="E946" s="1">
        <v>11.0172735</v>
      </c>
      <c r="F946" s="1">
        <v>76.968608</v>
      </c>
      <c r="G946" s="1" t="s">
        <v>2112</v>
      </c>
      <c r="H946" s="1" t="s">
        <v>2113</v>
      </c>
      <c r="P946" s="1" t="s">
        <v>1098</v>
      </c>
      <c r="Q946" s="1" t="s">
        <v>1099</v>
      </c>
      <c r="R946" s="1">
        <v>0.0</v>
      </c>
      <c r="S946" s="1"/>
    </row>
    <row r="947" ht="15.75" customHeight="1">
      <c r="A947" s="1" t="s">
        <v>2383</v>
      </c>
      <c r="B947" s="1" t="s">
        <v>2384</v>
      </c>
      <c r="C947" s="1" t="s">
        <v>1112</v>
      </c>
      <c r="E947" s="1">
        <v>13.115425</v>
      </c>
      <c r="F947" s="1">
        <v>80.28309469999999</v>
      </c>
      <c r="G947" s="1" t="s">
        <v>2112</v>
      </c>
      <c r="H947" s="1" t="s">
        <v>2113</v>
      </c>
      <c r="P947" s="1" t="s">
        <v>1098</v>
      </c>
      <c r="Q947" s="1" t="s">
        <v>1099</v>
      </c>
      <c r="R947" s="1">
        <v>2.0</v>
      </c>
      <c r="S947" s="1"/>
    </row>
    <row r="948" ht="15.75" customHeight="1">
      <c r="A948" s="1" t="s">
        <v>2385</v>
      </c>
      <c r="B948" s="1" t="s">
        <v>2386</v>
      </c>
      <c r="C948" s="1" t="s">
        <v>2387</v>
      </c>
      <c r="E948" s="1">
        <v>10.4255735</v>
      </c>
      <c r="F948" s="1">
        <v>79.31284</v>
      </c>
      <c r="G948" s="1" t="s">
        <v>2112</v>
      </c>
      <c r="H948" s="1" t="s">
        <v>2113</v>
      </c>
      <c r="P948" s="1" t="s">
        <v>1098</v>
      </c>
      <c r="Q948" s="1" t="s">
        <v>1099</v>
      </c>
      <c r="R948" s="1">
        <v>0.0</v>
      </c>
      <c r="S948" s="1"/>
    </row>
    <row r="949" ht="15.75" customHeight="1">
      <c r="A949" s="1" t="s">
        <v>2388</v>
      </c>
      <c r="B949" s="1" t="s">
        <v>2389</v>
      </c>
      <c r="C949" s="1" t="s">
        <v>2390</v>
      </c>
      <c r="E949" s="1">
        <v>10.3858686</v>
      </c>
      <c r="F949" s="1">
        <v>78.82201630000002</v>
      </c>
      <c r="G949" s="1" t="s">
        <v>2112</v>
      </c>
      <c r="H949" s="1" t="s">
        <v>2113</v>
      </c>
      <c r="P949" s="1" t="s">
        <v>1098</v>
      </c>
      <c r="Q949" s="1" t="s">
        <v>1099</v>
      </c>
      <c r="R949" s="1">
        <v>0.0</v>
      </c>
      <c r="S949" s="1"/>
    </row>
    <row r="950" ht="15.75" customHeight="1">
      <c r="A950" s="1" t="s">
        <v>2391</v>
      </c>
      <c r="B950" s="1" t="s">
        <v>2392</v>
      </c>
      <c r="C950" s="1" t="s">
        <v>2393</v>
      </c>
      <c r="E950" s="1">
        <v>11.233794</v>
      </c>
      <c r="F950" s="1">
        <v>78.880493</v>
      </c>
      <c r="G950" s="1" t="s">
        <v>2112</v>
      </c>
      <c r="H950" s="1" t="s">
        <v>2113</v>
      </c>
      <c r="P950" s="1" t="s">
        <v>1098</v>
      </c>
      <c r="Q950" s="1" t="s">
        <v>1099</v>
      </c>
      <c r="R950" s="1">
        <v>0.0</v>
      </c>
      <c r="S950" s="1"/>
    </row>
    <row r="951" ht="15.75" customHeight="1">
      <c r="A951" s="1" t="s">
        <v>2394</v>
      </c>
      <c r="B951" s="1" t="s">
        <v>2395</v>
      </c>
      <c r="C951" s="1" t="s">
        <v>1112</v>
      </c>
      <c r="E951" s="1">
        <v>13.0989817</v>
      </c>
      <c r="F951" s="1">
        <v>80.1842368</v>
      </c>
      <c r="G951" s="1" t="s">
        <v>2112</v>
      </c>
      <c r="H951" s="1" t="s">
        <v>2113</v>
      </c>
      <c r="P951" s="1" t="s">
        <v>1098</v>
      </c>
      <c r="Q951" s="1" t="s">
        <v>1099</v>
      </c>
      <c r="R951" s="1">
        <v>2.0</v>
      </c>
      <c r="S951" s="1"/>
    </row>
    <row r="952" ht="15.75" customHeight="1">
      <c r="A952" s="1" t="s">
        <v>2396</v>
      </c>
      <c r="B952" s="1" t="s">
        <v>2397</v>
      </c>
      <c r="C952" s="1" t="s">
        <v>2398</v>
      </c>
      <c r="E952" s="1">
        <v>10.0183344</v>
      </c>
      <c r="F952" s="1">
        <v>77.47951239999999</v>
      </c>
      <c r="G952" s="1" t="s">
        <v>2112</v>
      </c>
      <c r="H952" s="1" t="s">
        <v>2113</v>
      </c>
      <c r="P952" s="1" t="s">
        <v>1098</v>
      </c>
      <c r="Q952" s="1" t="s">
        <v>1099</v>
      </c>
      <c r="R952" s="1">
        <v>0.0</v>
      </c>
      <c r="S952" s="1"/>
    </row>
    <row r="953" ht="15.75" customHeight="1">
      <c r="A953" s="1" t="s">
        <v>2399</v>
      </c>
      <c r="B953" s="1" t="s">
        <v>2400</v>
      </c>
      <c r="C953" s="1" t="s">
        <v>2401</v>
      </c>
      <c r="E953" s="1">
        <v>12.6830086</v>
      </c>
      <c r="F953" s="1">
        <v>79.28466879999999</v>
      </c>
      <c r="G953" s="1" t="s">
        <v>2112</v>
      </c>
      <c r="H953" s="1" t="s">
        <v>2113</v>
      </c>
      <c r="P953" s="1" t="s">
        <v>1098</v>
      </c>
      <c r="Q953" s="1" t="s">
        <v>1099</v>
      </c>
      <c r="R953" s="1">
        <v>0.0</v>
      </c>
      <c r="S953" s="1"/>
    </row>
    <row r="954" ht="15.75" customHeight="1">
      <c r="A954" s="1" t="s">
        <v>2402</v>
      </c>
      <c r="B954" s="1" t="s">
        <v>2403</v>
      </c>
      <c r="C954" s="1" t="s">
        <v>2404</v>
      </c>
      <c r="E954" s="1">
        <v>11.7417461</v>
      </c>
      <c r="F954" s="1">
        <v>78.9641125</v>
      </c>
      <c r="G954" s="1" t="s">
        <v>2112</v>
      </c>
      <c r="H954" s="1" t="s">
        <v>2113</v>
      </c>
      <c r="P954" s="1" t="s">
        <v>1098</v>
      </c>
      <c r="Q954" s="1" t="s">
        <v>1099</v>
      </c>
      <c r="R954" s="1">
        <v>0.0</v>
      </c>
      <c r="S954" s="1"/>
    </row>
    <row r="955" ht="15.75" customHeight="1">
      <c r="A955" s="1" t="s">
        <v>2405</v>
      </c>
      <c r="B955" s="1" t="s">
        <v>2406</v>
      </c>
      <c r="C955" s="1" t="s">
        <v>2407</v>
      </c>
      <c r="E955" s="1">
        <v>11.5156127</v>
      </c>
      <c r="F955" s="1">
        <v>79.3188168</v>
      </c>
      <c r="G955" s="1" t="s">
        <v>2112</v>
      </c>
      <c r="H955" s="1" t="s">
        <v>2113</v>
      </c>
      <c r="P955" s="1" t="s">
        <v>1098</v>
      </c>
      <c r="Q955" s="1" t="s">
        <v>1099</v>
      </c>
      <c r="R955" s="1">
        <v>0.0</v>
      </c>
      <c r="S955" s="1"/>
    </row>
    <row r="956" ht="15.75" customHeight="1">
      <c r="A956" s="1" t="s">
        <v>2408</v>
      </c>
      <c r="B956" s="1" t="s">
        <v>2409</v>
      </c>
      <c r="C956" s="1" t="s">
        <v>1112</v>
      </c>
      <c r="E956" s="1">
        <v>13.0860525</v>
      </c>
      <c r="F956" s="1">
        <v>80.2496476</v>
      </c>
      <c r="G956" s="1" t="s">
        <v>2112</v>
      </c>
      <c r="H956" s="1" t="s">
        <v>2113</v>
      </c>
      <c r="P956" s="1" t="s">
        <v>1098</v>
      </c>
      <c r="Q956" s="1" t="s">
        <v>1099</v>
      </c>
      <c r="R956" s="1">
        <v>3.0</v>
      </c>
      <c r="S956" s="1"/>
    </row>
    <row r="957" ht="15.75" customHeight="1">
      <c r="A957" s="1" t="s">
        <v>2410</v>
      </c>
      <c r="B957" s="1" t="s">
        <v>2411</v>
      </c>
      <c r="C957" s="1" t="s">
        <v>1112</v>
      </c>
      <c r="E957" s="1">
        <v>13.1952804</v>
      </c>
      <c r="F957" s="1">
        <v>80.1857599</v>
      </c>
      <c r="G957" s="1" t="s">
        <v>2112</v>
      </c>
      <c r="H957" s="1" t="s">
        <v>2113</v>
      </c>
      <c r="P957" s="1" t="s">
        <v>1098</v>
      </c>
      <c r="Q957" s="1" t="s">
        <v>1099</v>
      </c>
      <c r="R957" s="1">
        <v>2.0</v>
      </c>
      <c r="S957" s="1"/>
    </row>
    <row r="958" ht="15.75" customHeight="1">
      <c r="A958" s="1" t="s">
        <v>2412</v>
      </c>
      <c r="B958" s="1" t="s">
        <v>2413</v>
      </c>
      <c r="C958" s="1" t="s">
        <v>1112</v>
      </c>
      <c r="E958" s="1">
        <v>10.9583853</v>
      </c>
      <c r="F958" s="1">
        <v>79.3727361</v>
      </c>
      <c r="G958" s="1" t="s">
        <v>2112</v>
      </c>
      <c r="H958" s="1" t="s">
        <v>2113</v>
      </c>
      <c r="P958" s="1" t="s">
        <v>1098</v>
      </c>
      <c r="Q958" s="1" t="s">
        <v>1099</v>
      </c>
      <c r="R958" s="1">
        <v>0.0</v>
      </c>
      <c r="S958" s="1"/>
    </row>
    <row r="959" ht="15.75" customHeight="1">
      <c r="A959" s="1" t="s">
        <v>2414</v>
      </c>
      <c r="B959" s="1" t="s">
        <v>2415</v>
      </c>
      <c r="C959" s="1" t="s">
        <v>2416</v>
      </c>
      <c r="E959" s="1">
        <v>12.2381763</v>
      </c>
      <c r="F959" s="1">
        <v>79.0733903</v>
      </c>
      <c r="G959" s="1" t="s">
        <v>2112</v>
      </c>
      <c r="H959" s="1" t="s">
        <v>2113</v>
      </c>
      <c r="P959" s="1" t="s">
        <v>1098</v>
      </c>
      <c r="Q959" s="1" t="s">
        <v>1099</v>
      </c>
      <c r="R959" s="1">
        <v>0.0</v>
      </c>
      <c r="S959" s="1"/>
    </row>
    <row r="960" ht="15.75" customHeight="1">
      <c r="A960" s="1" t="s">
        <v>2417</v>
      </c>
      <c r="B960" s="1" t="s">
        <v>2418</v>
      </c>
      <c r="C960" s="1" t="s">
        <v>2419</v>
      </c>
      <c r="E960" s="1">
        <v>13.4187777</v>
      </c>
      <c r="F960" s="1">
        <v>80.1272591</v>
      </c>
      <c r="G960" s="1" t="s">
        <v>2112</v>
      </c>
      <c r="H960" s="1" t="s">
        <v>2113</v>
      </c>
      <c r="P960" s="1" t="s">
        <v>1098</v>
      </c>
      <c r="Q960" s="1" t="s">
        <v>1099</v>
      </c>
      <c r="R960" s="1">
        <v>0.0</v>
      </c>
      <c r="S960" s="1"/>
    </row>
    <row r="961" ht="15.75" customHeight="1">
      <c r="A961" s="1" t="s">
        <v>2420</v>
      </c>
      <c r="B961" s="1" t="s">
        <v>2421</v>
      </c>
      <c r="C961" s="1" t="s">
        <v>1112</v>
      </c>
      <c r="E961" s="1">
        <v>12.9758907</v>
      </c>
      <c r="F961" s="1">
        <v>80.1930522</v>
      </c>
      <c r="G961" s="1" t="s">
        <v>2112</v>
      </c>
      <c r="H961" s="1" t="s">
        <v>2113</v>
      </c>
      <c r="P961" s="1" t="s">
        <v>1098</v>
      </c>
      <c r="Q961" s="1" t="s">
        <v>1099</v>
      </c>
      <c r="R961" s="1">
        <v>5.0</v>
      </c>
      <c r="S961" s="1"/>
    </row>
    <row r="962" ht="15.75" customHeight="1">
      <c r="A962" s="1" t="s">
        <v>2422</v>
      </c>
      <c r="B962" s="1" t="s">
        <v>2423</v>
      </c>
      <c r="C962" s="1" t="s">
        <v>2407</v>
      </c>
      <c r="E962" s="1">
        <v>11.3971545</v>
      </c>
      <c r="F962" s="1">
        <v>79.6989926</v>
      </c>
      <c r="G962" s="1" t="s">
        <v>2112</v>
      </c>
      <c r="H962" s="1" t="s">
        <v>2113</v>
      </c>
      <c r="P962" s="1" t="s">
        <v>1098</v>
      </c>
      <c r="Q962" s="1" t="s">
        <v>1099</v>
      </c>
      <c r="R962" s="1">
        <v>0.0</v>
      </c>
      <c r="S962" s="1"/>
    </row>
    <row r="963" ht="15.75" customHeight="1">
      <c r="A963" s="1" t="s">
        <v>2424</v>
      </c>
      <c r="B963" s="1" t="s">
        <v>2425</v>
      </c>
      <c r="C963" s="1" t="s">
        <v>1384</v>
      </c>
      <c r="E963" s="1">
        <v>10.8267426</v>
      </c>
      <c r="F963" s="1">
        <v>78.6908624</v>
      </c>
      <c r="G963" s="1" t="s">
        <v>2112</v>
      </c>
      <c r="H963" s="1" t="s">
        <v>2113</v>
      </c>
      <c r="P963" s="1" t="s">
        <v>1098</v>
      </c>
      <c r="Q963" s="1" t="s">
        <v>1099</v>
      </c>
      <c r="R963" s="1">
        <v>0.0</v>
      </c>
      <c r="S963" s="1"/>
    </row>
    <row r="964" ht="15.75" customHeight="1">
      <c r="A964" s="1" t="s">
        <v>2426</v>
      </c>
      <c r="B964" s="1" t="s">
        <v>2427</v>
      </c>
      <c r="C964" s="1" t="s">
        <v>2428</v>
      </c>
      <c r="E964" s="1">
        <v>9.5074132</v>
      </c>
      <c r="F964" s="1">
        <v>78.0943253</v>
      </c>
      <c r="G964" s="1" t="s">
        <v>2112</v>
      </c>
      <c r="H964" s="1" t="s">
        <v>2113</v>
      </c>
      <c r="P964" s="1" t="s">
        <v>1098</v>
      </c>
      <c r="Q964" s="1" t="s">
        <v>1099</v>
      </c>
      <c r="R964" s="1">
        <v>0.0</v>
      </c>
      <c r="S964" s="1"/>
    </row>
    <row r="965" ht="15.75" customHeight="1">
      <c r="A965" s="1" t="s">
        <v>2429</v>
      </c>
      <c r="B965" s="1" t="s">
        <v>2430</v>
      </c>
      <c r="C965" s="1" t="s">
        <v>2431</v>
      </c>
      <c r="E965" s="1">
        <v>8.383641899999999</v>
      </c>
      <c r="F965" s="1">
        <v>77.6094339</v>
      </c>
      <c r="G965" s="1" t="s">
        <v>2112</v>
      </c>
      <c r="H965" s="1" t="s">
        <v>2113</v>
      </c>
      <c r="P965" s="1" t="s">
        <v>1098</v>
      </c>
      <c r="Q965" s="1" t="s">
        <v>1099</v>
      </c>
      <c r="R965" s="1">
        <v>0.0</v>
      </c>
      <c r="S965" s="1"/>
    </row>
    <row r="966" ht="15.75" customHeight="1">
      <c r="A966" s="1" t="s">
        <v>2432</v>
      </c>
      <c r="B966" s="1" t="s">
        <v>2433</v>
      </c>
      <c r="C966" s="1" t="s">
        <v>2431</v>
      </c>
      <c r="E966" s="1">
        <v>8.726775</v>
      </c>
      <c r="F966" s="1">
        <v>77.7277414</v>
      </c>
      <c r="G966" s="1" t="s">
        <v>2112</v>
      </c>
      <c r="H966" s="1" t="s">
        <v>2113</v>
      </c>
      <c r="P966" s="1" t="s">
        <v>1098</v>
      </c>
      <c r="Q966" s="1" t="s">
        <v>1099</v>
      </c>
      <c r="R966" s="1">
        <v>0.0</v>
      </c>
      <c r="S966" s="1"/>
    </row>
    <row r="967" ht="15.75" customHeight="1">
      <c r="A967" s="1" t="s">
        <v>2434</v>
      </c>
      <c r="B967" s="1" t="s">
        <v>2435</v>
      </c>
      <c r="C967" s="1" t="s">
        <v>1112</v>
      </c>
      <c r="E967" s="1">
        <v>13.0284954</v>
      </c>
      <c r="F967" s="1">
        <v>80.2269814</v>
      </c>
      <c r="G967" s="1" t="s">
        <v>2112</v>
      </c>
      <c r="H967" s="1" t="s">
        <v>2113</v>
      </c>
      <c r="P967" s="1" t="s">
        <v>1098</v>
      </c>
      <c r="Q967" s="1" t="s">
        <v>1099</v>
      </c>
      <c r="R967" s="1">
        <v>3.0</v>
      </c>
      <c r="S967" s="1"/>
    </row>
    <row r="968" ht="15.75" customHeight="1">
      <c r="A968" s="1" t="s">
        <v>2436</v>
      </c>
      <c r="B968" s="1" t="s">
        <v>2437</v>
      </c>
      <c r="C968" s="1" t="s">
        <v>1151</v>
      </c>
      <c r="E968" s="1">
        <v>9.9153157</v>
      </c>
      <c r="F968" s="1">
        <v>78.1198501</v>
      </c>
      <c r="G968" s="1" t="s">
        <v>2112</v>
      </c>
      <c r="H968" s="1" t="s">
        <v>2113</v>
      </c>
      <c r="P968" s="1" t="s">
        <v>1098</v>
      </c>
      <c r="Q968" s="1" t="s">
        <v>1099</v>
      </c>
      <c r="R968" s="1">
        <v>0.0</v>
      </c>
      <c r="S968" s="1"/>
    </row>
    <row r="969" ht="15.75" customHeight="1">
      <c r="A969" s="1" t="s">
        <v>2438</v>
      </c>
      <c r="B969" s="1" t="s">
        <v>2439</v>
      </c>
      <c r="C969" s="1" t="s">
        <v>2440</v>
      </c>
      <c r="E969" s="1">
        <v>8.304411199999999</v>
      </c>
      <c r="F969" s="1">
        <v>77.22786219999999</v>
      </c>
      <c r="G969" s="1" t="s">
        <v>2112</v>
      </c>
      <c r="H969" s="1" t="s">
        <v>2113</v>
      </c>
      <c r="P969" s="1" t="s">
        <v>1098</v>
      </c>
      <c r="Q969" s="1" t="s">
        <v>1099</v>
      </c>
      <c r="R969" s="1">
        <v>0.0</v>
      </c>
      <c r="S969" s="1"/>
    </row>
    <row r="970" ht="15.75" customHeight="1">
      <c r="A970" s="1" t="s">
        <v>2441</v>
      </c>
      <c r="B970" s="1" t="s">
        <v>2442</v>
      </c>
      <c r="C970" s="1" t="s">
        <v>2398</v>
      </c>
      <c r="E970" s="1">
        <v>9.740767</v>
      </c>
      <c r="F970" s="1">
        <v>77.28612799999999</v>
      </c>
      <c r="G970" s="1" t="s">
        <v>2112</v>
      </c>
      <c r="H970" s="1" t="s">
        <v>2113</v>
      </c>
      <c r="P970" s="1" t="s">
        <v>1098</v>
      </c>
      <c r="Q970" s="1" t="s">
        <v>1099</v>
      </c>
      <c r="R970" s="1">
        <v>0.0</v>
      </c>
      <c r="S970" s="1"/>
    </row>
    <row r="971" ht="15.75" customHeight="1">
      <c r="A971" s="1" t="s">
        <v>2443</v>
      </c>
      <c r="B971" s="1" t="s">
        <v>2444</v>
      </c>
      <c r="C971" s="1" t="s">
        <v>1112</v>
      </c>
      <c r="E971" s="1">
        <v>13.0477673</v>
      </c>
      <c r="F971" s="1">
        <v>80.2333146</v>
      </c>
      <c r="G971" s="1" t="s">
        <v>2112</v>
      </c>
      <c r="H971" s="1" t="s">
        <v>2113</v>
      </c>
      <c r="P971" s="1" t="s">
        <v>1098</v>
      </c>
      <c r="Q971" s="1" t="s">
        <v>1099</v>
      </c>
      <c r="R971" s="1">
        <v>4.0</v>
      </c>
      <c r="S971" s="1"/>
    </row>
    <row r="972" ht="15.75" customHeight="1">
      <c r="A972" s="1" t="s">
        <v>2445</v>
      </c>
      <c r="B972" s="1" t="s">
        <v>2446</v>
      </c>
      <c r="C972" s="1" t="s">
        <v>1384</v>
      </c>
      <c r="E972" s="1">
        <v>10.8267426</v>
      </c>
      <c r="F972" s="1">
        <v>78.6908624</v>
      </c>
      <c r="G972" s="1" t="s">
        <v>2112</v>
      </c>
      <c r="H972" s="1" t="s">
        <v>2113</v>
      </c>
      <c r="P972" s="1" t="s">
        <v>1098</v>
      </c>
      <c r="Q972" s="1" t="s">
        <v>1099</v>
      </c>
      <c r="R972" s="1">
        <v>0.0</v>
      </c>
      <c r="S972" s="1"/>
    </row>
    <row r="973" ht="15.75" customHeight="1">
      <c r="A973" s="1" t="s">
        <v>2447</v>
      </c>
      <c r="B973" s="1" t="s">
        <v>2448</v>
      </c>
      <c r="C973" s="1" t="s">
        <v>1112</v>
      </c>
      <c r="E973" s="1">
        <v>12.9019391</v>
      </c>
      <c r="F973" s="1">
        <v>80.22856929999999</v>
      </c>
      <c r="G973" s="1" t="s">
        <v>2112</v>
      </c>
      <c r="H973" s="1" t="s">
        <v>2113</v>
      </c>
      <c r="P973" s="1" t="s">
        <v>1098</v>
      </c>
      <c r="Q973" s="1" t="s">
        <v>1099</v>
      </c>
      <c r="R973" s="1">
        <v>6.0</v>
      </c>
      <c r="S973" s="1"/>
    </row>
    <row r="974" ht="15.75" customHeight="1">
      <c r="A974" s="1" t="s">
        <v>2449</v>
      </c>
      <c r="B974" s="1" t="s">
        <v>2450</v>
      </c>
      <c r="C974" s="1" t="s">
        <v>1112</v>
      </c>
      <c r="E974" s="1">
        <v>12.9283938</v>
      </c>
      <c r="F974" s="1">
        <v>80.1155086</v>
      </c>
      <c r="G974" s="1" t="s">
        <v>2112</v>
      </c>
      <c r="H974" s="1" t="s">
        <v>2113</v>
      </c>
      <c r="P974" s="1" t="s">
        <v>1098</v>
      </c>
      <c r="Q974" s="1" t="s">
        <v>1099</v>
      </c>
      <c r="R974" s="1">
        <v>6.0</v>
      </c>
      <c r="S974" s="1"/>
    </row>
    <row r="975" ht="15.75" customHeight="1">
      <c r="A975" s="1" t="s">
        <v>2451</v>
      </c>
      <c r="B975" s="1" t="s">
        <v>2452</v>
      </c>
      <c r="C975" s="1" t="s">
        <v>2078</v>
      </c>
      <c r="E975" s="1">
        <v>11.5053765</v>
      </c>
      <c r="F975" s="1">
        <v>77.2460912</v>
      </c>
      <c r="G975" s="1" t="s">
        <v>2112</v>
      </c>
      <c r="H975" s="1" t="s">
        <v>2113</v>
      </c>
      <c r="P975" s="1" t="s">
        <v>1098</v>
      </c>
      <c r="Q975" s="1" t="s">
        <v>1099</v>
      </c>
      <c r="R975" s="1">
        <v>0.0</v>
      </c>
      <c r="S975" s="1"/>
    </row>
    <row r="976" ht="15.75" customHeight="1">
      <c r="A976" s="1" t="s">
        <v>2453</v>
      </c>
      <c r="B976" s="1" t="s">
        <v>2454</v>
      </c>
      <c r="C976" s="1" t="s">
        <v>1096</v>
      </c>
      <c r="E976" s="1">
        <v>11.5998662</v>
      </c>
      <c r="F976" s="1">
        <v>78.5950668</v>
      </c>
      <c r="G976" s="1" t="s">
        <v>2112</v>
      </c>
      <c r="H976" s="1" t="s">
        <v>2113</v>
      </c>
      <c r="P976" s="1" t="s">
        <v>1098</v>
      </c>
      <c r="Q976" s="1" t="s">
        <v>1099</v>
      </c>
      <c r="R976" s="1">
        <v>0.0</v>
      </c>
      <c r="S976" s="1"/>
    </row>
    <row r="977" ht="15.75" customHeight="1">
      <c r="A977" s="1" t="s">
        <v>2455</v>
      </c>
      <c r="B977" s="1" t="s">
        <v>2456</v>
      </c>
      <c r="C977" s="1" t="s">
        <v>1112</v>
      </c>
      <c r="E977" s="1">
        <v>13.0067509</v>
      </c>
      <c r="F977" s="1">
        <v>80.25805319999999</v>
      </c>
      <c r="G977" s="1" t="s">
        <v>2112</v>
      </c>
      <c r="H977" s="1" t="s">
        <v>2113</v>
      </c>
      <c r="P977" s="1" t="s">
        <v>1098</v>
      </c>
      <c r="Q977" s="1" t="s">
        <v>1099</v>
      </c>
      <c r="R977" s="1">
        <v>5.0</v>
      </c>
      <c r="S977" s="1"/>
    </row>
    <row r="978" ht="15.75" customHeight="1">
      <c r="A978" s="1" t="s">
        <v>2457</v>
      </c>
      <c r="B978" s="1" t="s">
        <v>2458</v>
      </c>
      <c r="C978" s="1" t="s">
        <v>1112</v>
      </c>
      <c r="E978" s="1">
        <v>12.9838085</v>
      </c>
      <c r="F978" s="1">
        <v>80.2182128</v>
      </c>
      <c r="G978" s="1" t="s">
        <v>2112</v>
      </c>
      <c r="H978" s="1" t="s">
        <v>2113</v>
      </c>
      <c r="P978" s="1" t="s">
        <v>1098</v>
      </c>
      <c r="Q978" s="1" t="s">
        <v>1099</v>
      </c>
      <c r="R978" s="1">
        <v>5.0</v>
      </c>
      <c r="S978" s="1"/>
    </row>
    <row r="979" ht="15.75" customHeight="1">
      <c r="A979" s="1" t="s">
        <v>2459</v>
      </c>
      <c r="B979" s="1" t="s">
        <v>2460</v>
      </c>
      <c r="C979" s="1" t="s">
        <v>2461</v>
      </c>
      <c r="E979" s="1">
        <v>11.1039772</v>
      </c>
      <c r="F979" s="1">
        <v>77.34583010000001</v>
      </c>
      <c r="G979" s="1" t="s">
        <v>2112</v>
      </c>
      <c r="H979" s="1" t="s">
        <v>2113</v>
      </c>
      <c r="P979" s="1" t="s">
        <v>1098</v>
      </c>
      <c r="Q979" s="1" t="s">
        <v>1099</v>
      </c>
      <c r="R979" s="1">
        <v>0.0</v>
      </c>
      <c r="S979" s="1"/>
    </row>
    <row r="980" ht="15.75" customHeight="1">
      <c r="A980" s="1" t="s">
        <v>2462</v>
      </c>
      <c r="B980" s="1" t="s">
        <v>2463</v>
      </c>
      <c r="C980" s="1" t="s">
        <v>1112</v>
      </c>
      <c r="E980" s="1">
        <v>13.113842</v>
      </c>
      <c r="F980" s="1">
        <v>80.294464</v>
      </c>
      <c r="G980" s="1" t="s">
        <v>2112</v>
      </c>
      <c r="H980" s="1" t="s">
        <v>2113</v>
      </c>
      <c r="P980" s="1" t="s">
        <v>1098</v>
      </c>
      <c r="Q980" s="1" t="s">
        <v>1099</v>
      </c>
      <c r="R980" s="1">
        <v>1.0</v>
      </c>
      <c r="S980" s="1"/>
    </row>
    <row r="981" ht="15.75" customHeight="1">
      <c r="A981" s="1" t="s">
        <v>2464</v>
      </c>
      <c r="B981" s="1" t="s">
        <v>2465</v>
      </c>
      <c r="C981" s="1" t="s">
        <v>1112</v>
      </c>
      <c r="E981" s="1">
        <v>13.1229038</v>
      </c>
      <c r="F981" s="1">
        <v>80.2233042</v>
      </c>
      <c r="G981" s="1" t="s">
        <v>2112</v>
      </c>
      <c r="H981" s="1" t="s">
        <v>2113</v>
      </c>
      <c r="P981" s="1" t="s">
        <v>1098</v>
      </c>
      <c r="Q981" s="1" t="s">
        <v>1099</v>
      </c>
      <c r="R981" s="1">
        <v>1.0</v>
      </c>
      <c r="S981" s="1"/>
    </row>
    <row r="982" ht="15.75" customHeight="1">
      <c r="A982" s="1" t="s">
        <v>2466</v>
      </c>
      <c r="B982" s="1" t="s">
        <v>2467</v>
      </c>
      <c r="C982" s="1" t="s">
        <v>1096</v>
      </c>
      <c r="E982" s="1">
        <v>11.6545175</v>
      </c>
      <c r="F982" s="1">
        <v>78.1590315</v>
      </c>
      <c r="G982" s="1" t="s">
        <v>2112</v>
      </c>
      <c r="H982" s="1" t="s">
        <v>2113</v>
      </c>
      <c r="P982" s="1" t="s">
        <v>1098</v>
      </c>
      <c r="Q982" s="1" t="s">
        <v>1099</v>
      </c>
      <c r="R982" s="1">
        <v>0.0</v>
      </c>
      <c r="S982" s="1"/>
    </row>
    <row r="983" ht="15.75" customHeight="1">
      <c r="A983" s="1" t="s">
        <v>2468</v>
      </c>
      <c r="B983" s="1" t="s">
        <v>2469</v>
      </c>
      <c r="C983" s="1" t="s">
        <v>2461</v>
      </c>
      <c r="E983" s="1">
        <v>11.1039772</v>
      </c>
      <c r="F983" s="1">
        <v>77.34583010000001</v>
      </c>
      <c r="G983" s="1" t="s">
        <v>2112</v>
      </c>
      <c r="H983" s="1" t="s">
        <v>2113</v>
      </c>
      <c r="P983" s="1" t="s">
        <v>1098</v>
      </c>
      <c r="Q983" s="1" t="s">
        <v>1099</v>
      </c>
      <c r="R983" s="1">
        <v>0.0</v>
      </c>
      <c r="S983" s="1"/>
    </row>
    <row r="984" ht="15.75" customHeight="1">
      <c r="A984" s="1" t="s">
        <v>2470</v>
      </c>
      <c r="B984" s="1" t="s">
        <v>2471</v>
      </c>
      <c r="C984" s="1" t="s">
        <v>2404</v>
      </c>
      <c r="E984" s="1">
        <v>11.935892</v>
      </c>
      <c r="F984" s="1">
        <v>79.48522299999999</v>
      </c>
      <c r="G984" s="1" t="s">
        <v>2112</v>
      </c>
      <c r="H984" s="1" t="s">
        <v>2113</v>
      </c>
      <c r="P984" s="1" t="s">
        <v>1098</v>
      </c>
      <c r="Q984" s="1" t="s">
        <v>1099</v>
      </c>
      <c r="R984" s="1">
        <v>0.0</v>
      </c>
      <c r="S984" s="1"/>
    </row>
    <row r="985" ht="15.75" customHeight="1">
      <c r="A985" s="1" t="s">
        <v>2472</v>
      </c>
      <c r="B985" s="1" t="s">
        <v>2473</v>
      </c>
      <c r="C985" s="1" t="s">
        <v>151</v>
      </c>
      <c r="E985" s="1">
        <v>18.604276</v>
      </c>
      <c r="F985" s="1">
        <v>73.7510007</v>
      </c>
      <c r="G985" s="1" t="s">
        <v>22</v>
      </c>
      <c r="H985" s="1" t="s">
        <v>23</v>
      </c>
      <c r="I985" s="1" t="s">
        <v>24</v>
      </c>
      <c r="J985" s="1" t="s">
        <v>44</v>
      </c>
      <c r="K985" s="1" t="s">
        <v>26</v>
      </c>
      <c r="L985" s="1" t="s">
        <v>27</v>
      </c>
      <c r="N985" s="1" t="s">
        <v>143</v>
      </c>
      <c r="O985" s="1" t="s">
        <v>57</v>
      </c>
      <c r="P985" s="1" t="s">
        <v>2474</v>
      </c>
      <c r="Q985" s="1" t="s">
        <v>2475</v>
      </c>
      <c r="R985" s="1">
        <v>5.0</v>
      </c>
      <c r="S985" s="1"/>
    </row>
    <row r="986" ht="15.75" customHeight="1">
      <c r="A986" s="1" t="s">
        <v>2476</v>
      </c>
      <c r="B986" s="1" t="s">
        <v>2477</v>
      </c>
      <c r="C986" s="1" t="s">
        <v>148</v>
      </c>
      <c r="E986" s="1">
        <v>18.994402</v>
      </c>
      <c r="F986" s="1">
        <v>72.83288999999999</v>
      </c>
      <c r="G986" s="1" t="s">
        <v>22</v>
      </c>
      <c r="H986" s="1" t="s">
        <v>23</v>
      </c>
      <c r="I986" s="1" t="s">
        <v>24</v>
      </c>
      <c r="J986" s="1" t="s">
        <v>44</v>
      </c>
      <c r="K986" s="1" t="s">
        <v>26</v>
      </c>
      <c r="L986" s="1" t="s">
        <v>27</v>
      </c>
      <c r="N986" s="1" t="s">
        <v>143</v>
      </c>
      <c r="O986" s="1" t="s">
        <v>29</v>
      </c>
      <c r="P986" s="1" t="s">
        <v>144</v>
      </c>
      <c r="Q986" s="1" t="s">
        <v>145</v>
      </c>
      <c r="R986" s="1">
        <v>5.0</v>
      </c>
      <c r="S986" s="1"/>
    </row>
    <row r="987" ht="15.75" customHeight="1">
      <c r="A987" s="1" t="s">
        <v>2478</v>
      </c>
      <c r="B987" s="1" t="s">
        <v>2479</v>
      </c>
      <c r="C987" s="1" t="s">
        <v>174</v>
      </c>
      <c r="E987" s="1">
        <v>28.7354495</v>
      </c>
      <c r="F987" s="1">
        <v>77.117477</v>
      </c>
      <c r="G987" s="1" t="s">
        <v>22</v>
      </c>
      <c r="H987" s="1" t="s">
        <v>23</v>
      </c>
      <c r="I987" s="1" t="s">
        <v>24</v>
      </c>
      <c r="J987" s="1" t="s">
        <v>44</v>
      </c>
      <c r="K987" s="1" t="s">
        <v>26</v>
      </c>
      <c r="L987" s="1" t="s">
        <v>27</v>
      </c>
      <c r="N987" s="1" t="s">
        <v>174</v>
      </c>
      <c r="O987" s="1" t="s">
        <v>29</v>
      </c>
      <c r="P987" s="1" t="s">
        <v>1749</v>
      </c>
      <c r="Q987" s="1" t="s">
        <v>1750</v>
      </c>
      <c r="R987" s="1">
        <v>5.0</v>
      </c>
      <c r="S987" s="1"/>
    </row>
    <row r="988" ht="15.75" customHeight="1">
      <c r="A988" s="1" t="s">
        <v>2480</v>
      </c>
      <c r="B988" s="1" t="s">
        <v>2481</v>
      </c>
      <c r="C988" s="1" t="s">
        <v>1786</v>
      </c>
      <c r="E988" s="1">
        <v>20.2602968</v>
      </c>
      <c r="F988" s="1">
        <v>85.78771669999999</v>
      </c>
      <c r="G988" s="1" t="s">
        <v>97</v>
      </c>
      <c r="H988" s="1" t="s">
        <v>98</v>
      </c>
      <c r="J988" s="1" t="s">
        <v>56</v>
      </c>
      <c r="K988" s="1" t="s">
        <v>99</v>
      </c>
      <c r="L988" s="1" t="s">
        <v>27</v>
      </c>
      <c r="N988" s="1" t="s">
        <v>1874</v>
      </c>
      <c r="O988" s="1" t="s">
        <v>29</v>
      </c>
      <c r="P988" s="1" t="s">
        <v>1787</v>
      </c>
      <c r="Q988" s="1" t="s">
        <v>1788</v>
      </c>
      <c r="R988" s="1">
        <v>10.0</v>
      </c>
      <c r="S988" s="1"/>
    </row>
    <row r="989" ht="15.75" customHeight="1">
      <c r="A989" s="1" t="s">
        <v>2482</v>
      </c>
      <c r="B989" s="1" t="s">
        <v>2483</v>
      </c>
      <c r="C989" s="1" t="s">
        <v>1786</v>
      </c>
      <c r="E989" s="1">
        <v>20.3792427</v>
      </c>
      <c r="F989" s="1">
        <v>85.8266689</v>
      </c>
      <c r="G989" s="1" t="s">
        <v>97</v>
      </c>
      <c r="H989" s="1" t="s">
        <v>98</v>
      </c>
      <c r="J989" s="1" t="s">
        <v>56</v>
      </c>
      <c r="K989" s="1" t="s">
        <v>99</v>
      </c>
      <c r="L989" s="1" t="s">
        <v>27</v>
      </c>
      <c r="N989" s="1" t="s">
        <v>1874</v>
      </c>
      <c r="O989" s="1" t="s">
        <v>29</v>
      </c>
      <c r="P989" s="1" t="s">
        <v>1787</v>
      </c>
      <c r="Q989" s="1" t="s">
        <v>1788</v>
      </c>
      <c r="R989" s="1">
        <v>5.0</v>
      </c>
      <c r="S989" s="1"/>
    </row>
    <row r="990" ht="15.75" customHeight="1">
      <c r="A990" s="1" t="s">
        <v>2484</v>
      </c>
      <c r="B990" s="1" t="s">
        <v>2485</v>
      </c>
      <c r="C990" s="1" t="s">
        <v>1786</v>
      </c>
      <c r="E990" s="1">
        <v>20.2044125</v>
      </c>
      <c r="F990" s="1">
        <v>85.8497266</v>
      </c>
      <c r="G990" s="1" t="s">
        <v>1676</v>
      </c>
      <c r="H990" s="1" t="s">
        <v>1677</v>
      </c>
      <c r="I990" s="1" t="s">
        <v>24</v>
      </c>
      <c r="J990" s="1" t="s">
        <v>2486</v>
      </c>
      <c r="K990" s="1" t="s">
        <v>99</v>
      </c>
      <c r="L990" s="1" t="s">
        <v>27</v>
      </c>
      <c r="N990" s="1" t="s">
        <v>1874</v>
      </c>
      <c r="O990" s="1" t="s">
        <v>29</v>
      </c>
      <c r="P990" s="1" t="s">
        <v>1787</v>
      </c>
      <c r="Q990" s="1" t="s">
        <v>1788</v>
      </c>
      <c r="R990" s="1">
        <v>7.0</v>
      </c>
      <c r="S990" s="1"/>
    </row>
    <row r="991" ht="15.75" customHeight="1">
      <c r="A991" s="1" t="s">
        <v>2487</v>
      </c>
      <c r="B991" s="1" t="s">
        <v>2488</v>
      </c>
      <c r="C991" s="1" t="s">
        <v>1786</v>
      </c>
      <c r="E991" s="1">
        <v>20.2800645</v>
      </c>
      <c r="F991" s="1">
        <v>85.76524270000002</v>
      </c>
      <c r="G991" s="1" t="s">
        <v>97</v>
      </c>
      <c r="H991" s="1" t="s">
        <v>98</v>
      </c>
      <c r="J991" s="1" t="s">
        <v>44</v>
      </c>
      <c r="K991" s="1" t="s">
        <v>99</v>
      </c>
      <c r="L991" s="1" t="s">
        <v>27</v>
      </c>
      <c r="N991" s="1" t="s">
        <v>1874</v>
      </c>
      <c r="O991" s="1" t="s">
        <v>29</v>
      </c>
      <c r="P991" s="1" t="s">
        <v>1787</v>
      </c>
      <c r="Q991" s="1" t="s">
        <v>1788</v>
      </c>
      <c r="R991" s="1">
        <v>4.0</v>
      </c>
      <c r="S991" s="1"/>
    </row>
    <row r="992" ht="15.75" customHeight="1">
      <c r="A992" s="1" t="s">
        <v>2489</v>
      </c>
      <c r="B992" s="1" t="s">
        <v>2490</v>
      </c>
      <c r="C992" s="1" t="s">
        <v>174</v>
      </c>
      <c r="E992" s="1">
        <v>28.5664002</v>
      </c>
      <c r="F992" s="1">
        <v>77.176073</v>
      </c>
      <c r="G992" s="1" t="s">
        <v>97</v>
      </c>
      <c r="H992" s="1" t="s">
        <v>98</v>
      </c>
      <c r="J992" s="1" t="s">
        <v>56</v>
      </c>
      <c r="P992" s="1" t="s">
        <v>1749</v>
      </c>
      <c r="Q992" s="1" t="s">
        <v>1750</v>
      </c>
      <c r="R992" s="1">
        <v>1.0</v>
      </c>
      <c r="S992" s="1"/>
    </row>
    <row r="993" ht="15.75" customHeight="1">
      <c r="A993" s="1" t="s">
        <v>2491</v>
      </c>
      <c r="B993" s="1" t="s">
        <v>2492</v>
      </c>
      <c r="C993" s="1" t="s">
        <v>174</v>
      </c>
      <c r="E993" s="1">
        <v>28.5930746</v>
      </c>
      <c r="F993" s="1">
        <v>77.1212906</v>
      </c>
      <c r="G993" s="1" t="s">
        <v>97</v>
      </c>
      <c r="H993" s="1" t="s">
        <v>98</v>
      </c>
      <c r="J993" s="1" t="s">
        <v>44</v>
      </c>
      <c r="P993" s="1" t="s">
        <v>1749</v>
      </c>
      <c r="Q993" s="1" t="s">
        <v>1750</v>
      </c>
      <c r="R993" s="1">
        <v>2.0</v>
      </c>
      <c r="S993" s="1"/>
    </row>
    <row r="994" ht="15.75" customHeight="1">
      <c r="A994" s="1" t="s">
        <v>2493</v>
      </c>
      <c r="B994" s="1" t="s">
        <v>2494</v>
      </c>
      <c r="C994" s="1" t="s">
        <v>174</v>
      </c>
      <c r="E994" s="1">
        <v>28.8459748</v>
      </c>
      <c r="F994" s="1">
        <v>77.0894902</v>
      </c>
      <c r="G994" s="1" t="s">
        <v>97</v>
      </c>
      <c r="H994" s="1" t="s">
        <v>98</v>
      </c>
      <c r="J994" s="1" t="s">
        <v>25</v>
      </c>
      <c r="K994" s="1" t="s">
        <v>99</v>
      </c>
      <c r="L994" s="1" t="s">
        <v>27</v>
      </c>
      <c r="N994" s="1" t="s">
        <v>174</v>
      </c>
      <c r="O994" s="1" t="s">
        <v>29</v>
      </c>
      <c r="P994" s="1" t="s">
        <v>1749</v>
      </c>
      <c r="Q994" s="1" t="s">
        <v>1750</v>
      </c>
      <c r="R994" s="1">
        <v>2.0</v>
      </c>
      <c r="S994" s="1"/>
    </row>
    <row r="995" ht="15.75" customHeight="1">
      <c r="A995" s="1" t="s">
        <v>2495</v>
      </c>
      <c r="B995" s="1" t="s">
        <v>2496</v>
      </c>
      <c r="C995" s="1" t="s">
        <v>174</v>
      </c>
      <c r="E995" s="1">
        <v>28.5850649</v>
      </c>
      <c r="F995" s="1">
        <v>77.0699987</v>
      </c>
      <c r="G995" s="1" t="s">
        <v>97</v>
      </c>
      <c r="H995" s="1" t="s">
        <v>98</v>
      </c>
      <c r="J995" s="1" t="s">
        <v>56</v>
      </c>
      <c r="P995" s="1" t="s">
        <v>1749</v>
      </c>
      <c r="Q995" s="1" t="s">
        <v>1750</v>
      </c>
      <c r="R995" s="1">
        <v>3.0</v>
      </c>
      <c r="S995" s="1"/>
    </row>
    <row r="996" ht="15.75" customHeight="1">
      <c r="A996" s="1" t="s">
        <v>2497</v>
      </c>
      <c r="B996" s="1" t="s">
        <v>2498</v>
      </c>
      <c r="C996" s="1" t="s">
        <v>174</v>
      </c>
      <c r="E996" s="1">
        <v>28.5844625</v>
      </c>
      <c r="F996" s="1">
        <v>77.2176185</v>
      </c>
      <c r="G996" s="1" t="s">
        <v>97</v>
      </c>
      <c r="H996" s="1" t="s">
        <v>98</v>
      </c>
      <c r="J996" s="1" t="s">
        <v>56</v>
      </c>
      <c r="K996" s="1" t="s">
        <v>99</v>
      </c>
      <c r="L996" s="1" t="s">
        <v>27</v>
      </c>
      <c r="N996" s="1" t="s">
        <v>174</v>
      </c>
      <c r="O996" s="1" t="s">
        <v>29</v>
      </c>
      <c r="P996" s="1" t="s">
        <v>1749</v>
      </c>
      <c r="Q996" s="1" t="s">
        <v>1750</v>
      </c>
      <c r="R996" s="1">
        <v>1.0</v>
      </c>
      <c r="S996" s="1"/>
    </row>
    <row r="997" ht="15.75" customHeight="1">
      <c r="A997" s="1" t="s">
        <v>2499</v>
      </c>
      <c r="B997" s="1" t="s">
        <v>2500</v>
      </c>
      <c r="C997" s="1" t="s">
        <v>174</v>
      </c>
      <c r="E997" s="1">
        <v>28.6585958</v>
      </c>
      <c r="F997" s="1">
        <v>77.2357749</v>
      </c>
      <c r="G997" s="1" t="s">
        <v>97</v>
      </c>
      <c r="H997" s="1" t="s">
        <v>98</v>
      </c>
      <c r="J997" s="1" t="s">
        <v>44</v>
      </c>
      <c r="P997" s="1" t="s">
        <v>1749</v>
      </c>
      <c r="Q997" s="1" t="s">
        <v>1750</v>
      </c>
      <c r="R997" s="1">
        <v>2.0</v>
      </c>
      <c r="S997" s="1"/>
    </row>
    <row r="998" ht="15.75" customHeight="1">
      <c r="A998" s="1" t="s">
        <v>2501</v>
      </c>
      <c r="B998" s="1" t="s">
        <v>2502</v>
      </c>
      <c r="C998" s="1" t="s">
        <v>174</v>
      </c>
      <c r="E998" s="1">
        <v>28.7331774</v>
      </c>
      <c r="F998" s="1">
        <v>77.2706068</v>
      </c>
      <c r="G998" s="1" t="s">
        <v>97</v>
      </c>
      <c r="H998" s="1" t="s">
        <v>98</v>
      </c>
      <c r="J998" s="1" t="s">
        <v>56</v>
      </c>
      <c r="P998" s="1" t="s">
        <v>1749</v>
      </c>
      <c r="Q998" s="1" t="s">
        <v>1750</v>
      </c>
      <c r="R998" s="1">
        <v>1.0</v>
      </c>
      <c r="S998" s="1"/>
    </row>
    <row r="999" ht="15.75" customHeight="1">
      <c r="A999" s="1" t="s">
        <v>2503</v>
      </c>
      <c r="B999" s="1" t="s">
        <v>2504</v>
      </c>
      <c r="C999" s="1" t="s">
        <v>174</v>
      </c>
      <c r="E999" s="1">
        <v>28.663539</v>
      </c>
      <c r="F999" s="1">
        <v>77.19689199999999</v>
      </c>
      <c r="G999" s="1" t="s">
        <v>97</v>
      </c>
      <c r="H999" s="1" t="s">
        <v>98</v>
      </c>
      <c r="J999" s="1" t="s">
        <v>56</v>
      </c>
      <c r="P999" s="1" t="s">
        <v>1749</v>
      </c>
      <c r="Q999" s="1" t="s">
        <v>1750</v>
      </c>
      <c r="R999" s="1">
        <v>1.0</v>
      </c>
      <c r="S999" s="1"/>
    </row>
    <row r="1000" ht="15.75" customHeight="1">
      <c r="A1000" s="1" t="s">
        <v>2505</v>
      </c>
      <c r="B1000" s="1" t="s">
        <v>2506</v>
      </c>
      <c r="C1000" s="1" t="s">
        <v>174</v>
      </c>
      <c r="E1000" s="1">
        <v>28.71743279999999</v>
      </c>
      <c r="F1000" s="1">
        <v>77.1745395</v>
      </c>
      <c r="G1000" s="1" t="s">
        <v>97</v>
      </c>
      <c r="H1000" s="1" t="s">
        <v>98</v>
      </c>
      <c r="J1000" s="1" t="s">
        <v>56</v>
      </c>
      <c r="P1000" s="1" t="s">
        <v>1749</v>
      </c>
      <c r="Q1000" s="1" t="s">
        <v>1750</v>
      </c>
      <c r="R1000" s="1">
        <v>1.0</v>
      </c>
      <c r="S1000" s="1"/>
    </row>
    <row r="1001" ht="15.75" customHeight="1">
      <c r="A1001" s="1" t="s">
        <v>2507</v>
      </c>
      <c r="B1001" s="1" t="s">
        <v>2508</v>
      </c>
      <c r="C1001" s="1" t="s">
        <v>174</v>
      </c>
      <c r="E1001" s="1">
        <v>28.6488875</v>
      </c>
      <c r="F1001" s="1">
        <v>77.1628666</v>
      </c>
      <c r="G1001" s="1" t="s">
        <v>97</v>
      </c>
      <c r="H1001" s="1" t="s">
        <v>98</v>
      </c>
      <c r="J1001" s="1" t="s">
        <v>56</v>
      </c>
      <c r="K1001" s="1" t="s">
        <v>99</v>
      </c>
      <c r="L1001" s="1" t="s">
        <v>27</v>
      </c>
      <c r="N1001" s="1" t="s">
        <v>174</v>
      </c>
      <c r="O1001" s="1" t="s">
        <v>29</v>
      </c>
      <c r="P1001" s="1" t="s">
        <v>1749</v>
      </c>
      <c r="Q1001" s="1" t="s">
        <v>1750</v>
      </c>
      <c r="R1001" s="1">
        <v>3.0</v>
      </c>
      <c r="S1001" s="1"/>
    </row>
    <row r="1002" ht="15.75" customHeight="1">
      <c r="A1002" s="1" t="s">
        <v>2509</v>
      </c>
      <c r="B1002" s="1" t="s">
        <v>2510</v>
      </c>
      <c r="C1002" s="1" t="s">
        <v>174</v>
      </c>
      <c r="E1002" s="1">
        <v>28.7052651</v>
      </c>
      <c r="F1002" s="1">
        <v>77.1898394</v>
      </c>
      <c r="G1002" s="1" t="s">
        <v>2511</v>
      </c>
      <c r="H1002" s="1" t="s">
        <v>2512</v>
      </c>
      <c r="J1002" s="1" t="s">
        <v>118</v>
      </c>
      <c r="P1002" s="1" t="s">
        <v>2513</v>
      </c>
      <c r="Q1002" s="1" t="s">
        <v>2514</v>
      </c>
      <c r="R1002" s="1">
        <v>2.0</v>
      </c>
      <c r="S1002" s="1"/>
    </row>
    <row r="1003" ht="15.75" customHeight="1">
      <c r="A1003" s="1" t="s">
        <v>2515</v>
      </c>
      <c r="B1003" s="1" t="s">
        <v>2516</v>
      </c>
      <c r="C1003" s="1" t="s">
        <v>630</v>
      </c>
      <c r="E1003" s="1">
        <v>26.4722063</v>
      </c>
      <c r="F1003" s="1">
        <v>80.322163</v>
      </c>
      <c r="G1003" s="1" t="s">
        <v>97</v>
      </c>
      <c r="H1003" s="1" t="s">
        <v>98</v>
      </c>
      <c r="J1003" s="1" t="s">
        <v>56</v>
      </c>
      <c r="P1003" s="1" t="s">
        <v>618</v>
      </c>
      <c r="Q1003" s="1" t="s">
        <v>619</v>
      </c>
      <c r="R1003" s="1">
        <v>1.0</v>
      </c>
      <c r="S1003" s="1"/>
    </row>
    <row r="1004" ht="15.75" customHeight="1">
      <c r="A1004" s="1" t="s">
        <v>2517</v>
      </c>
      <c r="B1004" s="1" t="s">
        <v>2518</v>
      </c>
      <c r="C1004" s="1" t="s">
        <v>630</v>
      </c>
      <c r="E1004" s="1">
        <v>26.4984228</v>
      </c>
      <c r="F1004" s="1">
        <v>80.2518746</v>
      </c>
      <c r="G1004" s="1" t="s">
        <v>97</v>
      </c>
      <c r="H1004" s="1" t="s">
        <v>98</v>
      </c>
      <c r="J1004" s="1" t="s">
        <v>56</v>
      </c>
      <c r="K1004" s="1" t="s">
        <v>99</v>
      </c>
      <c r="L1004" s="1" t="s">
        <v>27</v>
      </c>
      <c r="N1004" s="1" t="s">
        <v>28</v>
      </c>
      <c r="O1004" s="1" t="s">
        <v>29</v>
      </c>
      <c r="P1004" s="1" t="s">
        <v>618</v>
      </c>
      <c r="Q1004" s="1" t="s">
        <v>619</v>
      </c>
      <c r="R1004" s="1">
        <v>2.0</v>
      </c>
      <c r="S1004" s="1"/>
    </row>
    <row r="1005" ht="15.75" customHeight="1">
      <c r="A1005" s="1" t="s">
        <v>2519</v>
      </c>
      <c r="B1005" s="1" t="s">
        <v>2520</v>
      </c>
      <c r="C1005" s="1" t="s">
        <v>630</v>
      </c>
      <c r="E1005" s="1">
        <v>26.4360743</v>
      </c>
      <c r="F1005" s="1">
        <v>80.30151780000001</v>
      </c>
      <c r="G1005" s="1" t="s">
        <v>97</v>
      </c>
      <c r="H1005" s="1" t="s">
        <v>98</v>
      </c>
      <c r="J1005" s="1" t="s">
        <v>56</v>
      </c>
      <c r="P1005" s="1" t="s">
        <v>618</v>
      </c>
      <c r="Q1005" s="1" t="s">
        <v>619</v>
      </c>
      <c r="R1005" s="1">
        <v>0.0</v>
      </c>
      <c r="S1005" s="1"/>
    </row>
    <row r="1006" ht="15.75" customHeight="1">
      <c r="A1006" s="1" t="s">
        <v>2521</v>
      </c>
      <c r="B1006" s="1" t="s">
        <v>2522</v>
      </c>
      <c r="C1006" s="1" t="s">
        <v>630</v>
      </c>
      <c r="E1006" s="1">
        <v>26.4693073</v>
      </c>
      <c r="F1006" s="1">
        <v>80.3593046</v>
      </c>
      <c r="G1006" s="1" t="s">
        <v>97</v>
      </c>
      <c r="H1006" s="1" t="s">
        <v>98</v>
      </c>
      <c r="J1006" s="1" t="s">
        <v>56</v>
      </c>
      <c r="K1006" s="1" t="s">
        <v>99</v>
      </c>
      <c r="L1006" s="1" t="s">
        <v>27</v>
      </c>
      <c r="N1006" s="1" t="s">
        <v>28</v>
      </c>
      <c r="O1006" s="1" t="s">
        <v>29</v>
      </c>
      <c r="P1006" s="1" t="s">
        <v>618</v>
      </c>
      <c r="Q1006" s="1" t="s">
        <v>619</v>
      </c>
      <c r="R1006" s="1">
        <v>1.0</v>
      </c>
      <c r="S1006" s="1"/>
    </row>
    <row r="1007" ht="15.75" customHeight="1">
      <c r="A1007" s="1" t="s">
        <v>2523</v>
      </c>
      <c r="B1007" s="1" t="s">
        <v>2524</v>
      </c>
      <c r="C1007" s="1" t="s">
        <v>630</v>
      </c>
      <c r="E1007" s="1">
        <v>26.4472178</v>
      </c>
      <c r="F1007" s="1">
        <v>80.31133390000001</v>
      </c>
      <c r="G1007" s="1" t="s">
        <v>97</v>
      </c>
      <c r="H1007" s="1" t="s">
        <v>98</v>
      </c>
      <c r="J1007" s="1" t="s">
        <v>56</v>
      </c>
      <c r="P1007" s="1" t="s">
        <v>618</v>
      </c>
      <c r="Q1007" s="1" t="s">
        <v>619</v>
      </c>
      <c r="R1007" s="1">
        <v>5.0</v>
      </c>
      <c r="S1007" s="1"/>
    </row>
    <row r="1008" ht="15.75" customHeight="1">
      <c r="A1008" s="1" t="s">
        <v>2525</v>
      </c>
      <c r="B1008" s="1" t="s">
        <v>2526</v>
      </c>
      <c r="C1008" s="1" t="s">
        <v>630</v>
      </c>
      <c r="E1008" s="1">
        <v>26.4940511</v>
      </c>
      <c r="F1008" s="1">
        <v>80.2471138</v>
      </c>
      <c r="G1008" s="1" t="s">
        <v>97</v>
      </c>
      <c r="H1008" s="1" t="s">
        <v>98</v>
      </c>
      <c r="J1008" s="1" t="s">
        <v>56</v>
      </c>
      <c r="K1008" s="1" t="s">
        <v>99</v>
      </c>
      <c r="L1008" s="1" t="s">
        <v>27</v>
      </c>
      <c r="N1008" s="1" t="s">
        <v>28</v>
      </c>
      <c r="O1008" s="1" t="s">
        <v>29</v>
      </c>
      <c r="P1008" s="1" t="s">
        <v>618</v>
      </c>
      <c r="Q1008" s="1" t="s">
        <v>619</v>
      </c>
      <c r="R1008" s="1">
        <v>1.0</v>
      </c>
      <c r="S1008" s="1"/>
    </row>
    <row r="1009" ht="15.75" customHeight="1">
      <c r="A1009" s="1" t="s">
        <v>2527</v>
      </c>
      <c r="B1009" s="1" t="s">
        <v>2528</v>
      </c>
      <c r="C1009" s="1" t="s">
        <v>630</v>
      </c>
      <c r="E1009" s="1">
        <v>26.4673371</v>
      </c>
      <c r="F1009" s="1">
        <v>80.31458669999999</v>
      </c>
      <c r="G1009" s="1" t="s">
        <v>97</v>
      </c>
      <c r="H1009" s="1" t="s">
        <v>98</v>
      </c>
      <c r="J1009" s="1" t="s">
        <v>44</v>
      </c>
      <c r="K1009" s="1" t="s">
        <v>99</v>
      </c>
      <c r="L1009" s="1" t="s">
        <v>27</v>
      </c>
      <c r="N1009" s="1" t="s">
        <v>28</v>
      </c>
      <c r="O1009" s="1" t="s">
        <v>29</v>
      </c>
      <c r="P1009" s="1" t="s">
        <v>618</v>
      </c>
      <c r="Q1009" s="1" t="s">
        <v>619</v>
      </c>
      <c r="R1009" s="1">
        <v>1.0</v>
      </c>
      <c r="S1009" s="1"/>
    </row>
    <row r="1010" ht="15.75" customHeight="1">
      <c r="A1010" s="1" t="s">
        <v>2529</v>
      </c>
      <c r="B1010" s="1" t="s">
        <v>2530</v>
      </c>
      <c r="C1010" s="1" t="s">
        <v>617</v>
      </c>
      <c r="E1010" s="1">
        <v>26.7707585</v>
      </c>
      <c r="F1010" s="1">
        <v>80.87859859999999</v>
      </c>
      <c r="G1010" s="1" t="s">
        <v>97</v>
      </c>
      <c r="H1010" s="1" t="s">
        <v>98</v>
      </c>
      <c r="J1010" s="1" t="s">
        <v>118</v>
      </c>
      <c r="P1010" s="1" t="s">
        <v>1666</v>
      </c>
      <c r="Q1010" s="1" t="s">
        <v>1667</v>
      </c>
      <c r="R1010" s="1">
        <v>5.0</v>
      </c>
      <c r="S1010" s="1"/>
    </row>
    <row r="1011" ht="15.75" customHeight="1">
      <c r="A1011" s="1" t="s">
        <v>2531</v>
      </c>
      <c r="B1011" s="1" t="s">
        <v>2532</v>
      </c>
      <c r="C1011" s="1" t="s">
        <v>617</v>
      </c>
      <c r="E1011" s="1">
        <v>26.7915049</v>
      </c>
      <c r="F1011" s="1">
        <v>80.92474179999999</v>
      </c>
      <c r="G1011" s="1" t="s">
        <v>97</v>
      </c>
      <c r="H1011" s="1" t="s">
        <v>98</v>
      </c>
      <c r="J1011" s="1" t="s">
        <v>44</v>
      </c>
      <c r="P1011" s="1" t="s">
        <v>1666</v>
      </c>
      <c r="Q1011" s="1" t="s">
        <v>1667</v>
      </c>
      <c r="R1011" s="1">
        <v>1.0</v>
      </c>
      <c r="S1011" s="1"/>
    </row>
    <row r="1012" ht="15.75" customHeight="1">
      <c r="A1012" s="1" t="s">
        <v>2533</v>
      </c>
      <c r="B1012" s="1" t="s">
        <v>2534</v>
      </c>
      <c r="C1012" s="1" t="s">
        <v>617</v>
      </c>
      <c r="E1012" s="1">
        <v>26.872727</v>
      </c>
      <c r="F1012" s="1">
        <v>80.890545</v>
      </c>
      <c r="G1012" s="1" t="s">
        <v>97</v>
      </c>
      <c r="H1012" s="1" t="s">
        <v>98</v>
      </c>
      <c r="J1012" s="1" t="s">
        <v>56</v>
      </c>
      <c r="K1012" s="1" t="s">
        <v>99</v>
      </c>
      <c r="L1012" s="1" t="s">
        <v>27</v>
      </c>
      <c r="N1012" s="1" t="s">
        <v>28</v>
      </c>
      <c r="O1012" s="1" t="s">
        <v>29</v>
      </c>
      <c r="P1012" s="1" t="s">
        <v>1666</v>
      </c>
      <c r="Q1012" s="1" t="s">
        <v>1667</v>
      </c>
      <c r="R1012" s="1">
        <v>2.0</v>
      </c>
      <c r="S1012" s="1"/>
    </row>
    <row r="1013" ht="15.75" customHeight="1">
      <c r="A1013" s="1" t="s">
        <v>2535</v>
      </c>
      <c r="B1013" s="1" t="s">
        <v>2536</v>
      </c>
      <c r="C1013" s="1" t="s">
        <v>106</v>
      </c>
      <c r="E1013" s="1">
        <v>28.9954666</v>
      </c>
      <c r="F1013" s="1">
        <v>77.7045193</v>
      </c>
      <c r="G1013" s="1" t="s">
        <v>97</v>
      </c>
      <c r="H1013" s="1" t="s">
        <v>98</v>
      </c>
      <c r="J1013" s="1" t="s">
        <v>44</v>
      </c>
      <c r="K1013" s="1" t="s">
        <v>99</v>
      </c>
      <c r="L1013" s="1" t="s">
        <v>27</v>
      </c>
      <c r="N1013" s="1" t="s">
        <v>28</v>
      </c>
      <c r="O1013" s="1" t="s">
        <v>29</v>
      </c>
      <c r="P1013" s="1" t="s">
        <v>30</v>
      </c>
      <c r="Q1013" s="1" t="s">
        <v>31</v>
      </c>
      <c r="R1013" s="1">
        <v>2.0</v>
      </c>
      <c r="S1013" s="1"/>
    </row>
    <row r="1014" ht="15.75" customHeight="1">
      <c r="A1014" s="1" t="s">
        <v>2537</v>
      </c>
      <c r="B1014" s="1" t="s">
        <v>2538</v>
      </c>
      <c r="C1014" s="1" t="s">
        <v>38</v>
      </c>
      <c r="E1014" s="1">
        <v>28.553601</v>
      </c>
      <c r="F1014" s="1">
        <v>77.55388099999999</v>
      </c>
      <c r="G1014" s="1" t="s">
        <v>97</v>
      </c>
      <c r="H1014" s="1" t="s">
        <v>98</v>
      </c>
      <c r="J1014" s="1" t="s">
        <v>25</v>
      </c>
      <c r="K1014" s="1" t="s">
        <v>99</v>
      </c>
      <c r="L1014" s="1" t="s">
        <v>27</v>
      </c>
      <c r="N1014" s="1" t="s">
        <v>28</v>
      </c>
      <c r="O1014" s="1" t="s">
        <v>29</v>
      </c>
      <c r="P1014" s="1" t="s">
        <v>30</v>
      </c>
      <c r="Q1014" s="1" t="s">
        <v>31</v>
      </c>
      <c r="R1014" s="1">
        <v>1.0</v>
      </c>
      <c r="S1014" s="1"/>
    </row>
    <row r="1015" ht="15.75" customHeight="1">
      <c r="A1015" s="1" t="s">
        <v>2539</v>
      </c>
      <c r="B1015" s="1" t="s">
        <v>2540</v>
      </c>
      <c r="C1015" s="1" t="s">
        <v>174</v>
      </c>
      <c r="E1015" s="1">
        <v>28.70382639999999</v>
      </c>
      <c r="F1015" s="1">
        <v>77.08765269999999</v>
      </c>
      <c r="G1015" s="1" t="s">
        <v>2112</v>
      </c>
      <c r="H1015" s="1" t="s">
        <v>2113</v>
      </c>
      <c r="J1015" s="1" t="s">
        <v>44</v>
      </c>
      <c r="P1015" s="1" t="s">
        <v>2140</v>
      </c>
      <c r="Q1015" s="1" t="s">
        <v>2141</v>
      </c>
      <c r="R1015" s="1">
        <v>2.0</v>
      </c>
      <c r="S1015" s="1"/>
    </row>
    <row r="1016" ht="15.75" customHeight="1">
      <c r="A1016" s="1" t="s">
        <v>2541</v>
      </c>
      <c r="B1016" s="1" t="s">
        <v>2542</v>
      </c>
      <c r="C1016" s="1" t="s">
        <v>174</v>
      </c>
      <c r="E1016" s="1">
        <v>28.6507275</v>
      </c>
      <c r="F1016" s="1">
        <v>77.1593573</v>
      </c>
      <c r="G1016" s="1" t="s">
        <v>2112</v>
      </c>
      <c r="H1016" s="1" t="s">
        <v>2113</v>
      </c>
      <c r="J1016" s="1" t="s">
        <v>56</v>
      </c>
      <c r="P1016" s="1" t="s">
        <v>2543</v>
      </c>
      <c r="Q1016" s="1" t="s">
        <v>2544</v>
      </c>
      <c r="R1016" s="1">
        <v>1.0</v>
      </c>
      <c r="S1016" s="1"/>
    </row>
    <row r="1017" ht="15.75" customHeight="1">
      <c r="A1017" s="1" t="s">
        <v>2545</v>
      </c>
      <c r="B1017" s="1" t="s">
        <v>2546</v>
      </c>
      <c r="C1017" s="1" t="s">
        <v>174</v>
      </c>
      <c r="E1017" s="1">
        <v>28.671587</v>
      </c>
      <c r="F1017" s="1">
        <v>77.2802839</v>
      </c>
      <c r="G1017" s="1" t="s">
        <v>2112</v>
      </c>
      <c r="H1017" s="1" t="s">
        <v>2113</v>
      </c>
      <c r="J1017" s="1" t="s">
        <v>56</v>
      </c>
      <c r="P1017" s="1" t="s">
        <v>2140</v>
      </c>
      <c r="Q1017" s="1" t="s">
        <v>2141</v>
      </c>
      <c r="R1017" s="1">
        <v>5.0</v>
      </c>
      <c r="S1017" s="1"/>
    </row>
    <row r="1018" ht="15.75" customHeight="1">
      <c r="A1018" s="1" t="s">
        <v>2547</v>
      </c>
      <c r="B1018" s="1" t="s">
        <v>2548</v>
      </c>
      <c r="C1018" s="1" t="s">
        <v>174</v>
      </c>
      <c r="E1018" s="1">
        <v>28.6225876</v>
      </c>
      <c r="F1018" s="1">
        <v>77.0586921</v>
      </c>
      <c r="G1018" s="1" t="s">
        <v>2112</v>
      </c>
      <c r="H1018" s="1" t="s">
        <v>2113</v>
      </c>
      <c r="J1018" s="1" t="s">
        <v>56</v>
      </c>
      <c r="P1018" s="1" t="s">
        <v>2543</v>
      </c>
      <c r="Q1018" s="1" t="s">
        <v>2544</v>
      </c>
      <c r="R1018" s="1">
        <v>1.0</v>
      </c>
      <c r="S1018" s="1"/>
    </row>
    <row r="1019" ht="15.75" customHeight="1">
      <c r="A1019" s="1" t="s">
        <v>2549</v>
      </c>
      <c r="B1019" s="1" t="s">
        <v>2550</v>
      </c>
      <c r="C1019" s="1" t="s">
        <v>174</v>
      </c>
      <c r="E1019" s="1">
        <v>28.634009</v>
      </c>
      <c r="F1019" s="1">
        <v>77.145285</v>
      </c>
      <c r="G1019" s="1" t="s">
        <v>2112</v>
      </c>
      <c r="H1019" s="1" t="s">
        <v>2113</v>
      </c>
      <c r="J1019" s="1" t="s">
        <v>118</v>
      </c>
      <c r="P1019" s="1" t="s">
        <v>2140</v>
      </c>
      <c r="Q1019" s="1" t="s">
        <v>2141</v>
      </c>
      <c r="R1019" s="1">
        <v>3.0</v>
      </c>
      <c r="S1019" s="1"/>
    </row>
    <row r="1020" ht="15.75" customHeight="1">
      <c r="A1020" s="1" t="s">
        <v>2551</v>
      </c>
      <c r="B1020" s="1" t="s">
        <v>2552</v>
      </c>
      <c r="C1020" s="1" t="s">
        <v>174</v>
      </c>
      <c r="E1020" s="1">
        <v>28.6927756</v>
      </c>
      <c r="F1020" s="1">
        <v>77.1743314</v>
      </c>
      <c r="G1020" s="1" t="s">
        <v>2112</v>
      </c>
      <c r="H1020" s="1" t="s">
        <v>2113</v>
      </c>
      <c r="J1020" s="1" t="s">
        <v>118</v>
      </c>
      <c r="P1020" s="1" t="s">
        <v>2140</v>
      </c>
      <c r="Q1020" s="1" t="s">
        <v>2141</v>
      </c>
      <c r="R1020" s="1">
        <v>3.0</v>
      </c>
      <c r="S1020" s="1"/>
    </row>
    <row r="1021" ht="15.75" customHeight="1">
      <c r="A1021" s="1" t="s">
        <v>2553</v>
      </c>
      <c r="B1021" s="1" t="s">
        <v>2554</v>
      </c>
      <c r="C1021" s="1" t="s">
        <v>174</v>
      </c>
      <c r="E1021" s="1">
        <v>28.7411144</v>
      </c>
      <c r="F1021" s="1">
        <v>77.1192464</v>
      </c>
      <c r="G1021" s="1" t="s">
        <v>2112</v>
      </c>
      <c r="H1021" s="1" t="s">
        <v>2113</v>
      </c>
      <c r="J1021" s="1" t="s">
        <v>56</v>
      </c>
      <c r="P1021" s="1" t="s">
        <v>2140</v>
      </c>
      <c r="Q1021" s="1" t="s">
        <v>2141</v>
      </c>
      <c r="R1021" s="1">
        <v>4.0</v>
      </c>
      <c r="S1021" s="1"/>
    </row>
    <row r="1022" ht="15.75" customHeight="1">
      <c r="A1022" s="1" t="s">
        <v>2555</v>
      </c>
      <c r="B1022" s="1" t="s">
        <v>2556</v>
      </c>
      <c r="C1022" s="1" t="s">
        <v>174</v>
      </c>
      <c r="E1022" s="1">
        <v>28.5666606</v>
      </c>
      <c r="F1022" s="1">
        <v>77.17578019999999</v>
      </c>
      <c r="G1022" s="1" t="s">
        <v>2112</v>
      </c>
      <c r="H1022" s="1" t="s">
        <v>2113</v>
      </c>
      <c r="J1022" s="1" t="s">
        <v>56</v>
      </c>
      <c r="P1022" s="1" t="s">
        <v>2140</v>
      </c>
      <c r="Q1022" s="1" t="s">
        <v>2141</v>
      </c>
      <c r="R1022" s="1">
        <v>1.0</v>
      </c>
      <c r="S1022" s="1"/>
    </row>
    <row r="1023" ht="15.75" customHeight="1">
      <c r="A1023" s="1" t="s">
        <v>2557</v>
      </c>
      <c r="B1023" s="1" t="s">
        <v>2558</v>
      </c>
      <c r="C1023" s="1" t="s">
        <v>446</v>
      </c>
      <c r="E1023" s="1">
        <v>22.2902491</v>
      </c>
      <c r="F1023" s="1">
        <v>73.131856</v>
      </c>
      <c r="G1023" s="1" t="s">
        <v>22</v>
      </c>
      <c r="H1023" s="1" t="s">
        <v>23</v>
      </c>
      <c r="I1023" s="1" t="s">
        <v>24</v>
      </c>
      <c r="J1023" s="1" t="s">
        <v>118</v>
      </c>
      <c r="K1023" s="1" t="s">
        <v>26</v>
      </c>
      <c r="L1023" s="1" t="s">
        <v>27</v>
      </c>
      <c r="N1023" s="1" t="s">
        <v>216</v>
      </c>
      <c r="O1023" s="1" t="s">
        <v>57</v>
      </c>
      <c r="P1023" s="1" t="s">
        <v>243</v>
      </c>
      <c r="Q1023" s="1" t="s">
        <v>244</v>
      </c>
      <c r="R1023" s="1">
        <v>0.0</v>
      </c>
      <c r="S1023" s="1"/>
    </row>
    <row r="1024" ht="15.75" customHeight="1">
      <c r="A1024" s="1" t="s">
        <v>2559</v>
      </c>
      <c r="B1024" s="1" t="s">
        <v>2560</v>
      </c>
      <c r="C1024" s="1" t="s">
        <v>148</v>
      </c>
      <c r="E1024" s="1">
        <v>19.2135268</v>
      </c>
      <c r="F1024" s="1">
        <v>72.8408303</v>
      </c>
      <c r="G1024" s="1" t="s">
        <v>22</v>
      </c>
      <c r="H1024" s="1" t="s">
        <v>23</v>
      </c>
      <c r="I1024" s="1" t="s">
        <v>24</v>
      </c>
      <c r="J1024" s="1" t="s">
        <v>118</v>
      </c>
      <c r="K1024" s="1" t="s">
        <v>26</v>
      </c>
      <c r="L1024" s="1" t="s">
        <v>27</v>
      </c>
      <c r="N1024" s="1" t="s">
        <v>143</v>
      </c>
      <c r="O1024" s="1" t="s">
        <v>57</v>
      </c>
      <c r="P1024" s="1" t="s">
        <v>2561</v>
      </c>
      <c r="Q1024" s="1" t="s">
        <v>2562</v>
      </c>
      <c r="R1024" s="1">
        <v>2.0</v>
      </c>
      <c r="S1024" s="1"/>
    </row>
    <row r="1025" ht="15.75" customHeight="1">
      <c r="A1025" s="1" t="s">
        <v>2563</v>
      </c>
      <c r="B1025" s="1" t="s">
        <v>2564</v>
      </c>
      <c r="C1025" s="1" t="s">
        <v>617</v>
      </c>
      <c r="E1025" s="1">
        <v>26.8414172</v>
      </c>
      <c r="F1025" s="1">
        <v>80.9268653</v>
      </c>
      <c r="G1025" s="1" t="s">
        <v>1676</v>
      </c>
      <c r="H1025" s="1" t="s">
        <v>1677</v>
      </c>
      <c r="I1025" s="1" t="s">
        <v>24</v>
      </c>
      <c r="J1025" s="1" t="s">
        <v>2565</v>
      </c>
      <c r="K1025" s="1" t="s">
        <v>99</v>
      </c>
      <c r="L1025" s="1" t="s">
        <v>27</v>
      </c>
      <c r="N1025" s="1" t="s">
        <v>28</v>
      </c>
      <c r="O1025" s="1" t="s">
        <v>29</v>
      </c>
      <c r="P1025" s="1" t="s">
        <v>618</v>
      </c>
      <c r="Q1025" s="1" t="s">
        <v>619</v>
      </c>
      <c r="R1025" s="1">
        <v>12.0</v>
      </c>
      <c r="S1025" s="1"/>
    </row>
    <row r="1026" ht="15.75" customHeight="1">
      <c r="A1026" s="1" t="s">
        <v>2566</v>
      </c>
      <c r="B1026" s="1" t="s">
        <v>2567</v>
      </c>
      <c r="C1026" s="1" t="s">
        <v>174</v>
      </c>
      <c r="E1026" s="1">
        <v>28.6781216</v>
      </c>
      <c r="F1026" s="1">
        <v>77.1890552</v>
      </c>
      <c r="G1026" s="1" t="s">
        <v>2112</v>
      </c>
      <c r="H1026" s="1" t="s">
        <v>2113</v>
      </c>
      <c r="J1026" s="1" t="s">
        <v>118</v>
      </c>
      <c r="P1026" s="1" t="s">
        <v>2140</v>
      </c>
      <c r="Q1026" s="1" t="s">
        <v>2141</v>
      </c>
      <c r="R1026" s="1">
        <v>1.0</v>
      </c>
      <c r="S1026" s="1"/>
    </row>
    <row r="1027" ht="15.75" customHeight="1">
      <c r="A1027" s="1" t="s">
        <v>2568</v>
      </c>
      <c r="B1027" s="1" t="s">
        <v>2569</v>
      </c>
      <c r="C1027" s="1" t="s">
        <v>174</v>
      </c>
      <c r="E1027" s="1">
        <v>28.6909791</v>
      </c>
      <c r="F1027" s="1">
        <v>77.17652389999999</v>
      </c>
      <c r="G1027" s="1" t="s">
        <v>22</v>
      </c>
      <c r="H1027" s="1" t="s">
        <v>23</v>
      </c>
      <c r="I1027" s="1" t="s">
        <v>24</v>
      </c>
      <c r="J1027" s="1" t="s">
        <v>56</v>
      </c>
      <c r="K1027" s="1" t="s">
        <v>26</v>
      </c>
      <c r="L1027" s="1" t="s">
        <v>27</v>
      </c>
      <c r="N1027" s="1" t="s">
        <v>174</v>
      </c>
      <c r="O1027" s="1" t="s">
        <v>29</v>
      </c>
      <c r="P1027" s="1" t="s">
        <v>1749</v>
      </c>
      <c r="Q1027" s="1" t="s">
        <v>1750</v>
      </c>
      <c r="R1027" s="1">
        <v>3.0</v>
      </c>
      <c r="S1027" s="1"/>
    </row>
    <row r="1028" ht="15.75" customHeight="1">
      <c r="A1028" s="1" t="s">
        <v>2570</v>
      </c>
      <c r="B1028" s="1" t="s">
        <v>2571</v>
      </c>
      <c r="C1028" s="1" t="s">
        <v>987</v>
      </c>
      <c r="E1028" s="1">
        <v>29.396246</v>
      </c>
      <c r="F1028" s="1">
        <v>76.96917210000001</v>
      </c>
      <c r="G1028" s="1" t="s">
        <v>97</v>
      </c>
      <c r="H1028" s="1" t="s">
        <v>98</v>
      </c>
      <c r="J1028" s="1" t="s">
        <v>118</v>
      </c>
      <c r="P1028" s="1" t="s">
        <v>887</v>
      </c>
      <c r="Q1028" s="1" t="s">
        <v>888</v>
      </c>
      <c r="R1028" s="1">
        <v>1.0</v>
      </c>
      <c r="S1028" s="1"/>
    </row>
    <row r="1029" ht="15.75" customHeight="1">
      <c r="A1029" s="1" t="s">
        <v>2572</v>
      </c>
      <c r="B1029" s="1" t="s">
        <v>2573</v>
      </c>
      <c r="C1029" s="1" t="s">
        <v>174</v>
      </c>
      <c r="E1029" s="1">
        <v>28.8565566</v>
      </c>
      <c r="F1029" s="1">
        <v>77.08877199999999</v>
      </c>
      <c r="G1029" s="1" t="s">
        <v>2112</v>
      </c>
      <c r="H1029" s="1" t="s">
        <v>2113</v>
      </c>
      <c r="J1029" s="1" t="s">
        <v>56</v>
      </c>
      <c r="P1029" s="1" t="s">
        <v>2140</v>
      </c>
      <c r="Q1029" s="1" t="s">
        <v>2141</v>
      </c>
      <c r="R1029" s="1">
        <v>3.0</v>
      </c>
      <c r="S1029" s="1"/>
    </row>
    <row r="1030" ht="15.75" customHeight="1">
      <c r="A1030" s="1" t="s">
        <v>2574</v>
      </c>
      <c r="B1030" s="1" t="s">
        <v>2575</v>
      </c>
      <c r="C1030" s="1" t="s">
        <v>174</v>
      </c>
      <c r="E1030" s="1">
        <v>28.8503457</v>
      </c>
      <c r="F1030" s="1">
        <v>77.08752179999999</v>
      </c>
      <c r="G1030" s="1" t="s">
        <v>2112</v>
      </c>
      <c r="H1030" s="1" t="s">
        <v>2113</v>
      </c>
      <c r="J1030" s="1" t="s">
        <v>25</v>
      </c>
      <c r="P1030" s="1" t="s">
        <v>2140</v>
      </c>
      <c r="Q1030" s="1" t="s">
        <v>2141</v>
      </c>
      <c r="R1030" s="1">
        <v>3.0</v>
      </c>
      <c r="S1030" s="1"/>
    </row>
    <row r="1031" ht="15.75" customHeight="1">
      <c r="A1031" s="1" t="s">
        <v>2576</v>
      </c>
      <c r="B1031" s="1" t="s">
        <v>2577</v>
      </c>
      <c r="C1031" s="1" t="s">
        <v>617</v>
      </c>
      <c r="E1031" s="1">
        <v>26.9045196</v>
      </c>
      <c r="F1031" s="1">
        <v>80.933403</v>
      </c>
      <c r="G1031" s="1" t="s">
        <v>1676</v>
      </c>
      <c r="H1031" s="1" t="s">
        <v>1677</v>
      </c>
      <c r="I1031" s="1" t="s">
        <v>24</v>
      </c>
      <c r="J1031" s="1" t="s">
        <v>1723</v>
      </c>
      <c r="K1031" s="1" t="s">
        <v>99</v>
      </c>
      <c r="L1031" s="1" t="s">
        <v>27</v>
      </c>
      <c r="N1031" s="1" t="s">
        <v>28</v>
      </c>
      <c r="O1031" s="1" t="s">
        <v>29</v>
      </c>
      <c r="P1031" s="1" t="s">
        <v>733</v>
      </c>
      <c r="Q1031" s="1" t="s">
        <v>734</v>
      </c>
      <c r="R1031" s="1">
        <v>12.0</v>
      </c>
      <c r="S1031" s="1"/>
    </row>
    <row r="1032" ht="15.75" customHeight="1">
      <c r="A1032" s="1" t="s">
        <v>2578</v>
      </c>
      <c r="B1032" s="1" t="s">
        <v>2579</v>
      </c>
      <c r="C1032" s="1" t="s">
        <v>174</v>
      </c>
      <c r="E1032" s="1">
        <v>28.5448625</v>
      </c>
      <c r="F1032" s="1">
        <v>77.30930239999999</v>
      </c>
      <c r="G1032" s="1" t="s">
        <v>2112</v>
      </c>
      <c r="H1032" s="1" t="s">
        <v>2113</v>
      </c>
      <c r="J1032" s="1" t="s">
        <v>118</v>
      </c>
      <c r="P1032" s="1" t="s">
        <v>1749</v>
      </c>
      <c r="Q1032" s="1" t="s">
        <v>1750</v>
      </c>
      <c r="R1032" s="1">
        <v>1.0</v>
      </c>
      <c r="S1032" s="1"/>
    </row>
    <row r="1033" ht="15.75" customHeight="1">
      <c r="A1033" s="1" t="s">
        <v>2580</v>
      </c>
      <c r="B1033" s="1" t="s">
        <v>2581</v>
      </c>
      <c r="C1033" s="1" t="s">
        <v>174</v>
      </c>
      <c r="E1033" s="1">
        <v>28.6895749</v>
      </c>
      <c r="F1033" s="1">
        <v>77.2984846</v>
      </c>
      <c r="G1033" s="1" t="s">
        <v>2112</v>
      </c>
      <c r="H1033" s="1" t="s">
        <v>2113</v>
      </c>
      <c r="J1033" s="1" t="s">
        <v>44</v>
      </c>
      <c r="P1033" s="1" t="s">
        <v>2582</v>
      </c>
      <c r="Q1033" s="1" t="s">
        <v>2583</v>
      </c>
      <c r="R1033" s="1">
        <v>9.0</v>
      </c>
      <c r="S1033" s="1"/>
    </row>
    <row r="1034" ht="15.75" customHeight="1">
      <c r="A1034" s="1" t="s">
        <v>2584</v>
      </c>
      <c r="B1034" s="1" t="s">
        <v>2585</v>
      </c>
      <c r="C1034" s="1" t="s">
        <v>174</v>
      </c>
      <c r="E1034" s="1">
        <v>28.6108196</v>
      </c>
      <c r="F1034" s="1">
        <v>77.3351301</v>
      </c>
      <c r="G1034" s="1" t="s">
        <v>2112</v>
      </c>
      <c r="H1034" s="1" t="s">
        <v>2113</v>
      </c>
      <c r="J1034" s="1" t="s">
        <v>44</v>
      </c>
      <c r="P1034" s="1" t="s">
        <v>2582</v>
      </c>
      <c r="Q1034" s="1" t="s">
        <v>2583</v>
      </c>
      <c r="R1034" s="1">
        <v>2.0</v>
      </c>
      <c r="S1034" s="1"/>
    </row>
    <row r="1035" ht="15.75" customHeight="1">
      <c r="A1035" s="1" t="s">
        <v>2586</v>
      </c>
      <c r="B1035" s="1" t="s">
        <v>2587</v>
      </c>
      <c r="C1035" s="1" t="s">
        <v>174</v>
      </c>
      <c r="E1035" s="1">
        <v>28.6576397</v>
      </c>
      <c r="F1035" s="1">
        <v>77.2354624</v>
      </c>
      <c r="G1035" s="1" t="s">
        <v>2588</v>
      </c>
      <c r="H1035" s="1" t="s">
        <v>2589</v>
      </c>
      <c r="I1035" s="1" t="s">
        <v>24</v>
      </c>
      <c r="J1035" s="1" t="s">
        <v>44</v>
      </c>
      <c r="P1035" s="1" t="s">
        <v>2582</v>
      </c>
      <c r="Q1035" s="1" t="s">
        <v>2583</v>
      </c>
      <c r="R1035" s="1">
        <v>2.0</v>
      </c>
      <c r="S1035" s="1"/>
    </row>
    <row r="1036" ht="15.75" customHeight="1">
      <c r="A1036" s="1" t="s">
        <v>2590</v>
      </c>
      <c r="B1036" s="1" t="s">
        <v>2591</v>
      </c>
      <c r="C1036" s="1" t="s">
        <v>174</v>
      </c>
      <c r="E1036" s="1">
        <v>28.7030755</v>
      </c>
      <c r="F1036" s="1">
        <v>77.1174061</v>
      </c>
      <c r="G1036" s="1" t="s">
        <v>2112</v>
      </c>
      <c r="H1036" s="1" t="s">
        <v>2113</v>
      </c>
      <c r="J1036" s="1" t="s">
        <v>44</v>
      </c>
      <c r="P1036" s="1" t="s">
        <v>2582</v>
      </c>
      <c r="Q1036" s="1" t="s">
        <v>2583</v>
      </c>
      <c r="R1036" s="1">
        <v>1.0</v>
      </c>
      <c r="S1036" s="1"/>
    </row>
    <row r="1037" ht="15.75" customHeight="1">
      <c r="A1037" s="1" t="s">
        <v>2592</v>
      </c>
      <c r="B1037" s="1" t="s">
        <v>2593</v>
      </c>
      <c r="C1037" s="1" t="s">
        <v>174</v>
      </c>
      <c r="E1037" s="1">
        <v>28.7030755</v>
      </c>
      <c r="F1037" s="1">
        <v>77.1174061</v>
      </c>
      <c r="G1037" s="1" t="s">
        <v>2112</v>
      </c>
      <c r="H1037" s="1" t="s">
        <v>2113</v>
      </c>
      <c r="J1037" s="1" t="s">
        <v>44</v>
      </c>
      <c r="P1037" s="1" t="s">
        <v>2582</v>
      </c>
      <c r="Q1037" s="1" t="s">
        <v>2583</v>
      </c>
      <c r="R1037" s="1">
        <v>1.0</v>
      </c>
      <c r="S1037" s="1"/>
    </row>
    <row r="1038" ht="15.75" customHeight="1">
      <c r="A1038" s="1" t="s">
        <v>2594</v>
      </c>
      <c r="B1038" s="1" t="s">
        <v>2595</v>
      </c>
      <c r="C1038" s="1" t="s">
        <v>174</v>
      </c>
      <c r="E1038" s="1">
        <v>28.6418365</v>
      </c>
      <c r="F1038" s="1">
        <v>77.0994016</v>
      </c>
      <c r="G1038" s="1" t="s">
        <v>2112</v>
      </c>
      <c r="H1038" s="1" t="s">
        <v>2113</v>
      </c>
      <c r="J1038" s="1" t="s">
        <v>44</v>
      </c>
      <c r="P1038" s="1" t="s">
        <v>2582</v>
      </c>
      <c r="Q1038" s="1" t="s">
        <v>2583</v>
      </c>
      <c r="R1038" s="1">
        <v>5.0</v>
      </c>
      <c r="S1038" s="1"/>
    </row>
    <row r="1039" ht="15.75" customHeight="1">
      <c r="A1039" s="1" t="s">
        <v>2596</v>
      </c>
      <c r="B1039" s="1" t="s">
        <v>2597</v>
      </c>
      <c r="C1039" s="1" t="s">
        <v>174</v>
      </c>
      <c r="E1039" s="1">
        <v>28.5253472</v>
      </c>
      <c r="F1039" s="1">
        <v>77.2814867</v>
      </c>
      <c r="G1039" s="1" t="s">
        <v>2112</v>
      </c>
      <c r="H1039" s="1" t="s">
        <v>2113</v>
      </c>
      <c r="J1039" s="1" t="s">
        <v>25</v>
      </c>
      <c r="P1039" s="1" t="s">
        <v>2582</v>
      </c>
      <c r="Q1039" s="1" t="s">
        <v>2583</v>
      </c>
      <c r="R1039" s="1">
        <v>4.0</v>
      </c>
      <c r="S1039" s="1"/>
    </row>
    <row r="1040" ht="15.75" customHeight="1">
      <c r="A1040" s="1" t="s">
        <v>2598</v>
      </c>
      <c r="B1040" s="1" t="s">
        <v>2599</v>
      </c>
      <c r="C1040" s="1" t="s">
        <v>174</v>
      </c>
      <c r="E1040" s="1">
        <v>28.6797562</v>
      </c>
      <c r="F1040" s="1">
        <v>77.20006269999999</v>
      </c>
      <c r="G1040" s="1" t="s">
        <v>2112</v>
      </c>
      <c r="H1040" s="1" t="s">
        <v>2113</v>
      </c>
      <c r="J1040" s="1" t="s">
        <v>25</v>
      </c>
      <c r="P1040" s="1" t="s">
        <v>2582</v>
      </c>
      <c r="Q1040" s="1" t="s">
        <v>2583</v>
      </c>
      <c r="R1040" s="1">
        <v>2.0</v>
      </c>
      <c r="S1040" s="1"/>
    </row>
    <row r="1041" ht="15.75" customHeight="1">
      <c r="A1041" s="1" t="s">
        <v>2600</v>
      </c>
      <c r="B1041" s="1" t="s">
        <v>2601</v>
      </c>
      <c r="C1041" s="1" t="s">
        <v>174</v>
      </c>
      <c r="E1041" s="1">
        <v>28.7412963</v>
      </c>
      <c r="F1041" s="1">
        <v>77.1199874</v>
      </c>
      <c r="G1041" s="1" t="s">
        <v>2112</v>
      </c>
      <c r="H1041" s="1" t="s">
        <v>2113</v>
      </c>
      <c r="J1041" s="1" t="s">
        <v>25</v>
      </c>
      <c r="P1041" s="1" t="s">
        <v>2582</v>
      </c>
      <c r="Q1041" s="1" t="s">
        <v>2583</v>
      </c>
      <c r="R1041" s="1">
        <v>1.0</v>
      </c>
      <c r="S1041" s="1"/>
    </row>
    <row r="1042" ht="15.75" customHeight="1">
      <c r="A1042" s="1" t="s">
        <v>2602</v>
      </c>
      <c r="B1042" s="1" t="s">
        <v>2603</v>
      </c>
      <c r="C1042" s="1" t="s">
        <v>174</v>
      </c>
      <c r="E1042" s="1">
        <v>28.6824583</v>
      </c>
      <c r="F1042" s="1">
        <v>77.3235263</v>
      </c>
      <c r="G1042" s="1" t="s">
        <v>2112</v>
      </c>
      <c r="H1042" s="1" t="s">
        <v>2113</v>
      </c>
      <c r="J1042" s="1" t="s">
        <v>25</v>
      </c>
      <c r="P1042" s="1" t="s">
        <v>2582</v>
      </c>
      <c r="Q1042" s="1" t="s">
        <v>2583</v>
      </c>
      <c r="R1042" s="1">
        <v>2.0</v>
      </c>
      <c r="S1042" s="1"/>
    </row>
    <row r="1043" ht="15.75" customHeight="1">
      <c r="A1043" s="1" t="s">
        <v>2604</v>
      </c>
      <c r="B1043" s="1" t="s">
        <v>2605</v>
      </c>
      <c r="C1043" s="1" t="s">
        <v>174</v>
      </c>
      <c r="E1043" s="1">
        <v>28.6232349</v>
      </c>
      <c r="F1043" s="1">
        <v>77.0606679</v>
      </c>
      <c r="G1043" s="1" t="s">
        <v>2112</v>
      </c>
      <c r="H1043" s="1" t="s">
        <v>2113</v>
      </c>
      <c r="J1043" s="1" t="s">
        <v>25</v>
      </c>
      <c r="P1043" s="1" t="s">
        <v>2513</v>
      </c>
      <c r="Q1043" s="1" t="s">
        <v>2514</v>
      </c>
      <c r="R1043" s="1">
        <v>3.0</v>
      </c>
      <c r="S1043" s="1"/>
    </row>
    <row r="1044" ht="15.75" customHeight="1">
      <c r="A1044" s="1" t="s">
        <v>2606</v>
      </c>
      <c r="B1044" s="1" t="s">
        <v>2607</v>
      </c>
      <c r="C1044" s="1" t="s">
        <v>174</v>
      </c>
      <c r="E1044" s="1">
        <v>28.5891299</v>
      </c>
      <c r="F1044" s="1">
        <v>77.3041573</v>
      </c>
      <c r="G1044" s="1" t="s">
        <v>2112</v>
      </c>
      <c r="H1044" s="1" t="s">
        <v>2113</v>
      </c>
      <c r="J1044" s="1" t="s">
        <v>25</v>
      </c>
      <c r="P1044" s="1" t="s">
        <v>2513</v>
      </c>
      <c r="Q1044" s="1" t="s">
        <v>2514</v>
      </c>
      <c r="R1044" s="1">
        <v>3.0</v>
      </c>
      <c r="S1044" s="1"/>
    </row>
    <row r="1045" ht="15.75" customHeight="1">
      <c r="A1045" s="1" t="s">
        <v>2608</v>
      </c>
      <c r="B1045" s="1" t="s">
        <v>2609</v>
      </c>
      <c r="C1045" s="1" t="s">
        <v>174</v>
      </c>
      <c r="E1045" s="1">
        <v>28.5689741</v>
      </c>
      <c r="F1045" s="1">
        <v>77.22335939999999</v>
      </c>
      <c r="G1045" s="1" t="s">
        <v>2112</v>
      </c>
      <c r="H1045" s="1" t="s">
        <v>2113</v>
      </c>
      <c r="J1045" s="1" t="s">
        <v>118</v>
      </c>
      <c r="P1045" s="1" t="s">
        <v>2513</v>
      </c>
      <c r="Q1045" s="1" t="s">
        <v>2514</v>
      </c>
      <c r="R1045" s="1">
        <v>4.0</v>
      </c>
      <c r="S1045" s="1"/>
    </row>
    <row r="1046" ht="15.75" customHeight="1">
      <c r="A1046" s="1" t="s">
        <v>2610</v>
      </c>
      <c r="B1046" s="1" t="s">
        <v>2611</v>
      </c>
      <c r="C1046" s="1" t="s">
        <v>174</v>
      </c>
      <c r="E1046" s="1">
        <v>28.5468619</v>
      </c>
      <c r="F1046" s="1">
        <v>77.2751031</v>
      </c>
      <c r="G1046" s="1" t="s">
        <v>2112</v>
      </c>
      <c r="H1046" s="1" t="s">
        <v>2113</v>
      </c>
      <c r="J1046" s="1" t="s">
        <v>118</v>
      </c>
      <c r="P1046" s="1" t="s">
        <v>2513</v>
      </c>
      <c r="Q1046" s="1" t="s">
        <v>2514</v>
      </c>
      <c r="R1046" s="1">
        <v>1.0</v>
      </c>
      <c r="S1046" s="1"/>
    </row>
    <row r="1047" ht="15.75" customHeight="1">
      <c r="A1047" s="1" t="s">
        <v>2612</v>
      </c>
      <c r="B1047" s="1" t="s">
        <v>2613</v>
      </c>
      <c r="C1047" s="1" t="s">
        <v>174</v>
      </c>
      <c r="E1047" s="1">
        <v>28.65491369999999</v>
      </c>
      <c r="F1047" s="1">
        <v>77.2765958</v>
      </c>
      <c r="G1047" s="1" t="s">
        <v>2112</v>
      </c>
      <c r="H1047" s="1" t="s">
        <v>2113</v>
      </c>
      <c r="J1047" s="1" t="s">
        <v>118</v>
      </c>
      <c r="P1047" s="1" t="s">
        <v>2513</v>
      </c>
      <c r="Q1047" s="1" t="s">
        <v>2514</v>
      </c>
      <c r="R1047" s="1">
        <v>1.0</v>
      </c>
      <c r="S1047" s="1"/>
    </row>
    <row r="1048" ht="15.75" customHeight="1">
      <c r="A1048" s="1" t="s">
        <v>2614</v>
      </c>
      <c r="B1048" s="1" t="s">
        <v>2615</v>
      </c>
      <c r="C1048" s="1" t="s">
        <v>174</v>
      </c>
      <c r="E1048" s="1">
        <v>28.558376</v>
      </c>
      <c r="F1048" s="1">
        <v>77.2070391</v>
      </c>
      <c r="G1048" s="1" t="s">
        <v>2112</v>
      </c>
      <c r="H1048" s="1" t="s">
        <v>2113</v>
      </c>
      <c r="J1048" s="1" t="s">
        <v>118</v>
      </c>
      <c r="P1048" s="1" t="s">
        <v>2513</v>
      </c>
      <c r="Q1048" s="1" t="s">
        <v>2514</v>
      </c>
      <c r="R1048" s="1">
        <v>2.0</v>
      </c>
      <c r="S1048" s="1"/>
    </row>
    <row r="1049" ht="15.75" customHeight="1">
      <c r="A1049" s="1" t="s">
        <v>2616</v>
      </c>
      <c r="B1049" s="1" t="s">
        <v>2617</v>
      </c>
      <c r="C1049" s="1" t="s">
        <v>174</v>
      </c>
      <c r="E1049" s="1">
        <v>28.574959</v>
      </c>
      <c r="F1049" s="1">
        <v>77.226721</v>
      </c>
      <c r="G1049" s="1" t="s">
        <v>2588</v>
      </c>
      <c r="H1049" s="1" t="s">
        <v>2589</v>
      </c>
      <c r="I1049" s="1" t="s">
        <v>24</v>
      </c>
      <c r="J1049" s="1" t="s">
        <v>56</v>
      </c>
      <c r="P1049" s="1" t="s">
        <v>2513</v>
      </c>
      <c r="Q1049" s="1" t="s">
        <v>2514</v>
      </c>
      <c r="R1049" s="1">
        <v>1.0</v>
      </c>
      <c r="S1049" s="1"/>
    </row>
    <row r="1050" ht="15.75" customHeight="1">
      <c r="A1050" s="1" t="s">
        <v>2618</v>
      </c>
      <c r="B1050" s="1" t="s">
        <v>2619</v>
      </c>
      <c r="C1050" s="1" t="s">
        <v>174</v>
      </c>
      <c r="E1050" s="1">
        <v>28.6423762</v>
      </c>
      <c r="F1050" s="1">
        <v>77.3130001</v>
      </c>
      <c r="G1050" s="1" t="s">
        <v>2112</v>
      </c>
      <c r="H1050" s="1" t="s">
        <v>2113</v>
      </c>
      <c r="J1050" s="1" t="s">
        <v>56</v>
      </c>
      <c r="P1050" s="1" t="s">
        <v>2582</v>
      </c>
      <c r="Q1050" s="1" t="s">
        <v>2583</v>
      </c>
      <c r="R1050" s="1">
        <v>0.0</v>
      </c>
      <c r="S1050" s="1"/>
    </row>
    <row r="1051" ht="15.75" customHeight="1">
      <c r="A1051" s="1" t="s">
        <v>2620</v>
      </c>
      <c r="B1051" s="1" t="s">
        <v>2621</v>
      </c>
      <c r="C1051" s="1" t="s">
        <v>174</v>
      </c>
      <c r="E1051" s="1">
        <v>28.71743279999999</v>
      </c>
      <c r="F1051" s="1">
        <v>77.1745395</v>
      </c>
      <c r="G1051" s="1" t="s">
        <v>2112</v>
      </c>
      <c r="H1051" s="1" t="s">
        <v>2113</v>
      </c>
      <c r="J1051" s="1" t="s">
        <v>56</v>
      </c>
      <c r="P1051" s="1" t="s">
        <v>2582</v>
      </c>
      <c r="Q1051" s="1" t="s">
        <v>2583</v>
      </c>
      <c r="R1051" s="1">
        <v>1.0</v>
      </c>
      <c r="S1051" s="1"/>
    </row>
    <row r="1052" ht="15.75" customHeight="1">
      <c r="A1052" s="1" t="s">
        <v>2622</v>
      </c>
      <c r="B1052" s="1" t="s">
        <v>2623</v>
      </c>
      <c r="C1052" s="1" t="s">
        <v>174</v>
      </c>
      <c r="E1052" s="1">
        <v>28.5452667</v>
      </c>
      <c r="F1052" s="1">
        <v>77.127866</v>
      </c>
      <c r="G1052" s="1" t="s">
        <v>2112</v>
      </c>
      <c r="H1052" s="1" t="s">
        <v>2113</v>
      </c>
      <c r="J1052" s="1" t="s">
        <v>56</v>
      </c>
      <c r="P1052" s="1" t="s">
        <v>2582</v>
      </c>
      <c r="Q1052" s="1" t="s">
        <v>2583</v>
      </c>
      <c r="R1052" s="1">
        <v>1.0</v>
      </c>
      <c r="S1052" s="1"/>
    </row>
    <row r="1053" ht="15.75" customHeight="1">
      <c r="A1053" s="1" t="s">
        <v>2624</v>
      </c>
      <c r="B1053" s="1" t="s">
        <v>2625</v>
      </c>
      <c r="C1053" s="1" t="s">
        <v>617</v>
      </c>
      <c r="E1053" s="1">
        <v>26.8414172</v>
      </c>
      <c r="F1053" s="1">
        <v>80.9268653</v>
      </c>
      <c r="G1053" s="1" t="s">
        <v>2112</v>
      </c>
      <c r="H1053" s="1" t="s">
        <v>2113</v>
      </c>
      <c r="J1053" s="1" t="s">
        <v>44</v>
      </c>
      <c r="P1053" s="1" t="s">
        <v>733</v>
      </c>
      <c r="Q1053" s="1" t="s">
        <v>734</v>
      </c>
      <c r="R1053" s="1">
        <v>4.0</v>
      </c>
      <c r="S1053" s="1"/>
    </row>
    <row r="1054" ht="15.75" customHeight="1">
      <c r="A1054" s="1" t="s">
        <v>2626</v>
      </c>
      <c r="B1054" s="1" t="s">
        <v>2627</v>
      </c>
      <c r="C1054" s="1" t="s">
        <v>617</v>
      </c>
      <c r="E1054" s="1">
        <v>26.802332</v>
      </c>
      <c r="F1054" s="1">
        <v>80.895787</v>
      </c>
      <c r="G1054" s="1" t="s">
        <v>2112</v>
      </c>
      <c r="H1054" s="1" t="s">
        <v>2113</v>
      </c>
      <c r="J1054" s="1" t="s">
        <v>25</v>
      </c>
      <c r="P1054" s="1" t="s">
        <v>733</v>
      </c>
      <c r="Q1054" s="1" t="s">
        <v>734</v>
      </c>
      <c r="R1054" s="1">
        <v>2.0</v>
      </c>
      <c r="S1054" s="1"/>
    </row>
    <row r="1055" ht="15.75" customHeight="1">
      <c r="A1055" s="1" t="s">
        <v>2628</v>
      </c>
      <c r="B1055" s="1" t="s">
        <v>2629</v>
      </c>
      <c r="C1055" s="1" t="s">
        <v>617</v>
      </c>
      <c r="E1055" s="1">
        <v>26.8445626</v>
      </c>
      <c r="F1055" s="1">
        <v>80.9353651</v>
      </c>
      <c r="G1055" s="1" t="s">
        <v>2112</v>
      </c>
      <c r="H1055" s="1" t="s">
        <v>2113</v>
      </c>
      <c r="J1055" s="1" t="s">
        <v>44</v>
      </c>
      <c r="P1055" s="1" t="s">
        <v>733</v>
      </c>
      <c r="Q1055" s="1" t="s">
        <v>734</v>
      </c>
      <c r="R1055" s="1">
        <v>6.0</v>
      </c>
      <c r="S1055" s="1"/>
    </row>
    <row r="1056" ht="15.75" customHeight="1">
      <c r="A1056" s="1" t="s">
        <v>2630</v>
      </c>
      <c r="B1056" s="1" t="s">
        <v>2631</v>
      </c>
      <c r="C1056" s="1" t="s">
        <v>617</v>
      </c>
      <c r="E1056" s="1">
        <v>26.8265628</v>
      </c>
      <c r="F1056" s="1">
        <v>80.9446827</v>
      </c>
      <c r="G1056" s="1" t="s">
        <v>2112</v>
      </c>
      <c r="H1056" s="1" t="s">
        <v>2113</v>
      </c>
      <c r="J1056" s="1" t="s">
        <v>44</v>
      </c>
      <c r="P1056" s="1" t="s">
        <v>733</v>
      </c>
      <c r="Q1056" s="1" t="s">
        <v>734</v>
      </c>
      <c r="R1056" s="1">
        <v>3.0</v>
      </c>
      <c r="S1056" s="1"/>
    </row>
    <row r="1057" ht="15.75" customHeight="1">
      <c r="A1057" s="1" t="s">
        <v>2632</v>
      </c>
      <c r="B1057" s="1" t="s">
        <v>2633</v>
      </c>
      <c r="C1057" s="1" t="s">
        <v>617</v>
      </c>
      <c r="E1057" s="1">
        <v>26.8445626</v>
      </c>
      <c r="F1057" s="1">
        <v>80.9353651</v>
      </c>
      <c r="G1057" s="1" t="s">
        <v>97</v>
      </c>
      <c r="H1057" s="1" t="s">
        <v>98</v>
      </c>
      <c r="J1057" s="1" t="s">
        <v>44</v>
      </c>
      <c r="P1057" s="1" t="s">
        <v>733</v>
      </c>
      <c r="Q1057" s="1" t="s">
        <v>734</v>
      </c>
      <c r="R1057" s="1">
        <v>5.0</v>
      </c>
      <c r="S1057" s="1"/>
    </row>
    <row r="1058" ht="15.75" customHeight="1">
      <c r="A1058" s="1" t="s">
        <v>2634</v>
      </c>
      <c r="B1058" s="1" t="s">
        <v>2635</v>
      </c>
      <c r="C1058" s="1" t="s">
        <v>617</v>
      </c>
      <c r="E1058" s="1">
        <v>26.872727</v>
      </c>
      <c r="F1058" s="1">
        <v>80.890545</v>
      </c>
      <c r="G1058" s="1" t="s">
        <v>2112</v>
      </c>
      <c r="H1058" s="1" t="s">
        <v>2113</v>
      </c>
      <c r="J1058" s="1" t="s">
        <v>44</v>
      </c>
      <c r="P1058" s="1" t="s">
        <v>733</v>
      </c>
      <c r="Q1058" s="1" t="s">
        <v>734</v>
      </c>
      <c r="R1058" s="1">
        <v>2.0</v>
      </c>
      <c r="S1058" s="1"/>
    </row>
    <row r="1059" ht="15.75" customHeight="1">
      <c r="A1059" s="1" t="s">
        <v>2636</v>
      </c>
      <c r="B1059" s="1" t="s">
        <v>2637</v>
      </c>
      <c r="C1059" s="1" t="s">
        <v>162</v>
      </c>
      <c r="E1059" s="1">
        <v>28.4776083</v>
      </c>
      <c r="F1059" s="1">
        <v>77.3210048</v>
      </c>
      <c r="G1059" s="1" t="s">
        <v>2112</v>
      </c>
      <c r="H1059" s="1" t="s">
        <v>2113</v>
      </c>
      <c r="J1059" s="1" t="s">
        <v>44</v>
      </c>
      <c r="K1059" s="1" t="s">
        <v>99</v>
      </c>
      <c r="L1059" s="1" t="s">
        <v>27</v>
      </c>
      <c r="N1059" s="1" t="s">
        <v>163</v>
      </c>
      <c r="O1059" s="1" t="s">
        <v>29</v>
      </c>
      <c r="P1059" s="1" t="s">
        <v>2318</v>
      </c>
      <c r="Q1059" s="1" t="s">
        <v>2319</v>
      </c>
      <c r="R1059" s="1">
        <v>1.0</v>
      </c>
      <c r="S1059" s="1"/>
    </row>
    <row r="1060" ht="15.75" customHeight="1">
      <c r="A1060" s="1" t="s">
        <v>2638</v>
      </c>
      <c r="B1060" s="1" t="s">
        <v>2639</v>
      </c>
      <c r="C1060" s="1" t="s">
        <v>185</v>
      </c>
      <c r="E1060" s="1">
        <v>17.4856958</v>
      </c>
      <c r="F1060" s="1">
        <v>78.3908246</v>
      </c>
      <c r="G1060" s="1" t="s">
        <v>22</v>
      </c>
      <c r="H1060" s="1" t="s">
        <v>23</v>
      </c>
      <c r="I1060" s="1" t="s">
        <v>24</v>
      </c>
      <c r="J1060" s="1" t="s">
        <v>44</v>
      </c>
      <c r="K1060" s="1" t="s">
        <v>26</v>
      </c>
      <c r="L1060" s="1" t="s">
        <v>27</v>
      </c>
      <c r="N1060" s="1" t="s">
        <v>186</v>
      </c>
      <c r="O1060" s="1" t="s">
        <v>29</v>
      </c>
      <c r="P1060" s="1" t="s">
        <v>2074</v>
      </c>
      <c r="Q1060" s="1" t="s">
        <v>2075</v>
      </c>
      <c r="R1060" s="1">
        <v>5.0</v>
      </c>
      <c r="S1060" s="1"/>
    </row>
    <row r="1061" ht="15.75" customHeight="1">
      <c r="A1061" s="1" t="s">
        <v>2640</v>
      </c>
      <c r="B1061" s="1" t="s">
        <v>2641</v>
      </c>
      <c r="C1061" s="1" t="s">
        <v>174</v>
      </c>
      <c r="E1061" s="1">
        <v>28.59429</v>
      </c>
      <c r="F1061" s="1">
        <v>77.3111359</v>
      </c>
      <c r="G1061" s="1" t="s">
        <v>97</v>
      </c>
      <c r="H1061" s="1" t="s">
        <v>98</v>
      </c>
      <c r="J1061" s="1" t="s">
        <v>56</v>
      </c>
      <c r="P1061" s="1" t="s">
        <v>2140</v>
      </c>
      <c r="Q1061" s="1" t="s">
        <v>2141</v>
      </c>
      <c r="R1061" s="1">
        <v>1.0</v>
      </c>
      <c r="S1061" s="1"/>
    </row>
    <row r="1062" ht="15.75" customHeight="1">
      <c r="A1062" s="1" t="s">
        <v>2642</v>
      </c>
      <c r="B1062" s="1" t="s">
        <v>2643</v>
      </c>
      <c r="C1062" s="1" t="s">
        <v>174</v>
      </c>
      <c r="E1062" s="1">
        <v>28.6824583</v>
      </c>
      <c r="F1062" s="1">
        <v>77.3235263</v>
      </c>
      <c r="G1062" s="1" t="s">
        <v>97</v>
      </c>
      <c r="H1062" s="1" t="s">
        <v>98</v>
      </c>
      <c r="J1062" s="1" t="s">
        <v>118</v>
      </c>
      <c r="P1062" s="1" t="s">
        <v>2140</v>
      </c>
      <c r="Q1062" s="1" t="s">
        <v>2141</v>
      </c>
      <c r="R1062" s="1">
        <v>2.0</v>
      </c>
      <c r="S1062" s="1"/>
    </row>
    <row r="1063" ht="15.75" customHeight="1">
      <c r="A1063" s="1" t="s">
        <v>2644</v>
      </c>
      <c r="B1063" s="1" t="s">
        <v>2645</v>
      </c>
      <c r="C1063" s="1" t="s">
        <v>106</v>
      </c>
      <c r="E1063" s="1">
        <v>28.9698137</v>
      </c>
      <c r="F1063" s="1">
        <v>77.7224141</v>
      </c>
      <c r="G1063" s="1" t="s">
        <v>54</v>
      </c>
      <c r="H1063" s="1" t="s">
        <v>55</v>
      </c>
      <c r="J1063" s="1" t="s">
        <v>44</v>
      </c>
      <c r="P1063" s="1" t="s">
        <v>1990</v>
      </c>
      <c r="Q1063" s="1" t="s">
        <v>1991</v>
      </c>
      <c r="R1063" s="1">
        <v>0.0</v>
      </c>
      <c r="S1063" s="1"/>
    </row>
    <row r="1064" ht="15.75" customHeight="1">
      <c r="A1064" s="1" t="s">
        <v>2646</v>
      </c>
      <c r="B1064" s="1" t="s">
        <v>2647</v>
      </c>
      <c r="C1064" s="1" t="s">
        <v>630</v>
      </c>
      <c r="E1064" s="1">
        <v>26.4727398</v>
      </c>
      <c r="F1064" s="1">
        <v>80.3275946</v>
      </c>
      <c r="G1064" s="1" t="s">
        <v>97</v>
      </c>
      <c r="H1064" s="1" t="s">
        <v>98</v>
      </c>
      <c r="J1064" s="1" t="s">
        <v>56</v>
      </c>
      <c r="P1064" s="1" t="s">
        <v>733</v>
      </c>
      <c r="Q1064" s="1" t="s">
        <v>734</v>
      </c>
      <c r="R1064" s="1">
        <v>1.0</v>
      </c>
      <c r="S1064" s="1"/>
    </row>
    <row r="1065" ht="15.75" customHeight="1">
      <c r="A1065" s="1" t="s">
        <v>2648</v>
      </c>
      <c r="B1065" s="1" t="s">
        <v>2649</v>
      </c>
      <c r="C1065" s="1" t="s">
        <v>630</v>
      </c>
      <c r="E1065" s="1">
        <v>26.472156</v>
      </c>
      <c r="F1065" s="1">
        <v>80.322042</v>
      </c>
      <c r="G1065" s="1" t="s">
        <v>97</v>
      </c>
      <c r="H1065" s="1" t="s">
        <v>98</v>
      </c>
      <c r="J1065" s="1" t="s">
        <v>118</v>
      </c>
      <c r="P1065" s="1" t="s">
        <v>733</v>
      </c>
      <c r="Q1065" s="1" t="s">
        <v>734</v>
      </c>
      <c r="R1065" s="1">
        <v>1.0</v>
      </c>
      <c r="S1065" s="1"/>
    </row>
    <row r="1066" ht="15.75" customHeight="1">
      <c r="A1066" s="1" t="s">
        <v>2650</v>
      </c>
      <c r="B1066" s="1" t="s">
        <v>2651</v>
      </c>
      <c r="C1066" s="1" t="s">
        <v>630</v>
      </c>
      <c r="E1066" s="1">
        <v>26.478901</v>
      </c>
      <c r="F1066" s="1">
        <v>80.3177954</v>
      </c>
      <c r="G1066" s="1" t="s">
        <v>97</v>
      </c>
      <c r="H1066" s="1" t="s">
        <v>98</v>
      </c>
      <c r="J1066" s="1" t="s">
        <v>56</v>
      </c>
      <c r="P1066" s="1" t="s">
        <v>733</v>
      </c>
      <c r="Q1066" s="1" t="s">
        <v>734</v>
      </c>
      <c r="R1066" s="1">
        <v>1.0</v>
      </c>
      <c r="S1066" s="1"/>
    </row>
    <row r="1067" ht="15.75" customHeight="1">
      <c r="A1067" s="1" t="s">
        <v>2652</v>
      </c>
      <c r="B1067" s="1" t="s">
        <v>2653</v>
      </c>
      <c r="C1067" s="1" t="s">
        <v>630</v>
      </c>
      <c r="E1067" s="1">
        <v>26.4642595</v>
      </c>
      <c r="F1067" s="1">
        <v>80.29635689999999</v>
      </c>
      <c r="G1067" s="1" t="s">
        <v>97</v>
      </c>
      <c r="H1067" s="1" t="s">
        <v>98</v>
      </c>
      <c r="J1067" s="1" t="s">
        <v>56</v>
      </c>
      <c r="P1067" s="1" t="s">
        <v>733</v>
      </c>
      <c r="Q1067" s="1" t="s">
        <v>734</v>
      </c>
      <c r="R1067" s="1">
        <v>1.0</v>
      </c>
      <c r="S1067" s="1"/>
    </row>
    <row r="1068" ht="15.75" customHeight="1">
      <c r="A1068" s="1" t="s">
        <v>2654</v>
      </c>
      <c r="B1068" s="1" t="s">
        <v>2655</v>
      </c>
      <c r="C1068" s="1" t="s">
        <v>630</v>
      </c>
      <c r="E1068" s="1">
        <v>26.424315</v>
      </c>
      <c r="F1068" s="1">
        <v>80.31912710000002</v>
      </c>
      <c r="G1068" s="1" t="s">
        <v>97</v>
      </c>
      <c r="H1068" s="1" t="s">
        <v>98</v>
      </c>
      <c r="J1068" s="1" t="s">
        <v>44</v>
      </c>
      <c r="P1068" s="1" t="s">
        <v>733</v>
      </c>
      <c r="Q1068" s="1" t="s">
        <v>734</v>
      </c>
      <c r="R1068" s="1">
        <v>1.0</v>
      </c>
      <c r="S1068" s="1"/>
    </row>
    <row r="1069" ht="15.75" customHeight="1">
      <c r="A1069" s="1" t="s">
        <v>2656</v>
      </c>
      <c r="B1069" s="1" t="s">
        <v>2657</v>
      </c>
      <c r="C1069" s="1" t="s">
        <v>174</v>
      </c>
      <c r="E1069" s="1">
        <v>28.548077</v>
      </c>
      <c r="F1069" s="1">
        <v>77.25171</v>
      </c>
      <c r="G1069" s="1" t="s">
        <v>97</v>
      </c>
      <c r="H1069" s="1" t="s">
        <v>98</v>
      </c>
      <c r="J1069" s="1" t="s">
        <v>56</v>
      </c>
      <c r="P1069" s="1" t="s">
        <v>2140</v>
      </c>
      <c r="Q1069" s="1" t="s">
        <v>2141</v>
      </c>
      <c r="R1069" s="1">
        <v>1.0</v>
      </c>
      <c r="S1069" s="1"/>
    </row>
    <row r="1070" ht="15.75" customHeight="1">
      <c r="A1070" s="1" t="s">
        <v>2658</v>
      </c>
      <c r="B1070" s="1" t="s">
        <v>2659</v>
      </c>
      <c r="C1070" s="1" t="s">
        <v>174</v>
      </c>
      <c r="E1070" s="1">
        <v>28.5493045</v>
      </c>
      <c r="F1070" s="1">
        <v>77.2514264</v>
      </c>
      <c r="G1070" s="1" t="s">
        <v>97</v>
      </c>
      <c r="H1070" s="1" t="s">
        <v>98</v>
      </c>
      <c r="J1070" s="1" t="s">
        <v>56</v>
      </c>
      <c r="P1070" s="1" t="s">
        <v>2140</v>
      </c>
      <c r="Q1070" s="1" t="s">
        <v>2141</v>
      </c>
      <c r="R1070" s="1">
        <v>1.0</v>
      </c>
      <c r="S1070" s="1"/>
    </row>
    <row r="1071" ht="15.75" customHeight="1">
      <c r="A1071" s="1" t="s">
        <v>2660</v>
      </c>
      <c r="B1071" s="1" t="s">
        <v>2661</v>
      </c>
      <c r="C1071" s="1" t="s">
        <v>2662</v>
      </c>
      <c r="E1071" s="1">
        <v>26.279778</v>
      </c>
      <c r="F1071" s="1">
        <v>83.72022</v>
      </c>
      <c r="G1071" s="1" t="s">
        <v>97</v>
      </c>
      <c r="H1071" s="1" t="s">
        <v>98</v>
      </c>
      <c r="J1071" s="1" t="s">
        <v>118</v>
      </c>
      <c r="P1071" s="1" t="s">
        <v>733</v>
      </c>
      <c r="Q1071" s="1" t="s">
        <v>734</v>
      </c>
      <c r="R1071" s="1">
        <v>0.0</v>
      </c>
      <c r="S1071" s="1"/>
    </row>
    <row r="1072" ht="15.75" customHeight="1">
      <c r="A1072" s="1" t="s">
        <v>2663</v>
      </c>
      <c r="B1072" s="1" t="s">
        <v>2664</v>
      </c>
      <c r="C1072" s="1" t="s">
        <v>2665</v>
      </c>
      <c r="E1072" s="1">
        <v>26.7472451</v>
      </c>
      <c r="F1072" s="1">
        <v>83.3697755</v>
      </c>
      <c r="G1072" s="1" t="s">
        <v>97</v>
      </c>
      <c r="H1072" s="1" t="s">
        <v>98</v>
      </c>
      <c r="J1072" s="1" t="s">
        <v>56</v>
      </c>
      <c r="P1072" s="1" t="s">
        <v>733</v>
      </c>
      <c r="Q1072" s="1" t="s">
        <v>734</v>
      </c>
      <c r="R1072" s="1">
        <v>1.0</v>
      </c>
      <c r="S1072" s="1"/>
    </row>
    <row r="1073" ht="15.75" customHeight="1">
      <c r="A1073" s="1" t="s">
        <v>2666</v>
      </c>
      <c r="B1073" s="1" t="s">
        <v>2667</v>
      </c>
      <c r="C1073" s="1" t="s">
        <v>2665</v>
      </c>
      <c r="E1073" s="1">
        <v>26.7695277</v>
      </c>
      <c r="F1073" s="1">
        <v>83.38232819999999</v>
      </c>
      <c r="G1073" s="1" t="s">
        <v>97</v>
      </c>
      <c r="H1073" s="1" t="s">
        <v>98</v>
      </c>
      <c r="J1073" s="1" t="s">
        <v>56</v>
      </c>
      <c r="P1073" s="1" t="s">
        <v>733</v>
      </c>
      <c r="Q1073" s="1" t="s">
        <v>734</v>
      </c>
      <c r="R1073" s="1">
        <v>1.0</v>
      </c>
      <c r="S1073" s="1"/>
    </row>
    <row r="1074" ht="15.75" customHeight="1">
      <c r="A1074" s="1" t="s">
        <v>1850</v>
      </c>
      <c r="B1074" s="1" t="s">
        <v>1849</v>
      </c>
      <c r="C1074" s="1" t="s">
        <v>617</v>
      </c>
      <c r="E1074" s="1">
        <v>26.7559493</v>
      </c>
      <c r="F1074" s="1">
        <v>83.36779849999999</v>
      </c>
      <c r="G1074" s="1" t="s">
        <v>97</v>
      </c>
      <c r="H1074" s="1" t="s">
        <v>98</v>
      </c>
      <c r="J1074" s="1" t="s">
        <v>25</v>
      </c>
      <c r="K1074" s="1" t="s">
        <v>99</v>
      </c>
      <c r="L1074" s="1" t="s">
        <v>27</v>
      </c>
      <c r="N1074" s="1" t="s">
        <v>28</v>
      </c>
      <c r="O1074" s="1" t="s">
        <v>29</v>
      </c>
      <c r="P1074" s="1" t="s">
        <v>733</v>
      </c>
      <c r="Q1074" s="1" t="s">
        <v>734</v>
      </c>
      <c r="R1074" s="1">
        <v>1.0</v>
      </c>
      <c r="S1074" s="1" t="str">
        <f>IFERROR(__xludf.DUMMYFUNCTION("""COMPUTED_VALUE"""),"store_004043")</f>
        <v>store_004043</v>
      </c>
    </row>
    <row r="1075" ht="15.75" customHeight="1">
      <c r="A1075" s="1" t="s">
        <v>2668</v>
      </c>
      <c r="B1075" s="1" t="s">
        <v>2669</v>
      </c>
      <c r="C1075" s="1" t="s">
        <v>2665</v>
      </c>
      <c r="E1075" s="1">
        <v>26.7848296</v>
      </c>
      <c r="F1075" s="1">
        <v>83.3855703</v>
      </c>
      <c r="G1075" s="1" t="s">
        <v>97</v>
      </c>
      <c r="H1075" s="1" t="s">
        <v>98</v>
      </c>
      <c r="J1075" s="1" t="s">
        <v>118</v>
      </c>
      <c r="P1075" s="1" t="s">
        <v>733</v>
      </c>
      <c r="Q1075" s="1" t="s">
        <v>734</v>
      </c>
      <c r="R1075" s="1">
        <v>1.0</v>
      </c>
      <c r="S1075" s="1"/>
    </row>
    <row r="1076" ht="15.75" customHeight="1">
      <c r="A1076" s="1" t="s">
        <v>2670</v>
      </c>
      <c r="B1076" s="1" t="s">
        <v>2671</v>
      </c>
      <c r="C1076" s="1" t="s">
        <v>2665</v>
      </c>
      <c r="E1076" s="1">
        <v>26.7940797</v>
      </c>
      <c r="F1076" s="1">
        <v>83.3876946</v>
      </c>
      <c r="G1076" s="1" t="s">
        <v>97</v>
      </c>
      <c r="H1076" s="1" t="s">
        <v>98</v>
      </c>
      <c r="J1076" s="1" t="s">
        <v>56</v>
      </c>
      <c r="P1076" s="1" t="s">
        <v>733</v>
      </c>
      <c r="Q1076" s="1" t="s">
        <v>734</v>
      </c>
      <c r="R1076" s="1">
        <v>1.0</v>
      </c>
      <c r="S1076" s="1"/>
    </row>
    <row r="1077" ht="15.75" customHeight="1">
      <c r="A1077" s="1" t="s">
        <v>2672</v>
      </c>
      <c r="B1077" s="1" t="s">
        <v>2673</v>
      </c>
      <c r="C1077" s="1" t="s">
        <v>2674</v>
      </c>
      <c r="E1077" s="1">
        <v>27.1257126</v>
      </c>
      <c r="F1077" s="1">
        <v>83.5826366</v>
      </c>
      <c r="G1077" s="1" t="s">
        <v>97</v>
      </c>
      <c r="H1077" s="1" t="s">
        <v>98</v>
      </c>
      <c r="J1077" s="1" t="s">
        <v>25</v>
      </c>
      <c r="K1077" s="1" t="s">
        <v>1910</v>
      </c>
      <c r="L1077" s="1" t="s">
        <v>1911</v>
      </c>
      <c r="N1077" s="1" t="s">
        <v>28</v>
      </c>
      <c r="O1077" s="1" t="s">
        <v>29</v>
      </c>
      <c r="P1077" s="1" t="s">
        <v>733</v>
      </c>
      <c r="Q1077" s="1" t="s">
        <v>734</v>
      </c>
      <c r="R1077" s="1">
        <v>0.0</v>
      </c>
      <c r="S1077" s="1"/>
    </row>
    <row r="1078" ht="15.75" customHeight="1">
      <c r="A1078" s="1" t="s">
        <v>2675</v>
      </c>
      <c r="B1078" s="1" t="s">
        <v>2676</v>
      </c>
      <c r="C1078" s="1" t="s">
        <v>765</v>
      </c>
      <c r="E1078" s="1">
        <v>26.7337839</v>
      </c>
      <c r="F1078" s="1">
        <v>83.37844799999999</v>
      </c>
      <c r="G1078" s="1" t="s">
        <v>54</v>
      </c>
      <c r="H1078" s="1" t="s">
        <v>55</v>
      </c>
      <c r="J1078" s="1" t="s">
        <v>56</v>
      </c>
      <c r="K1078" s="1" t="s">
        <v>26</v>
      </c>
      <c r="L1078" s="1" t="s">
        <v>27</v>
      </c>
      <c r="N1078" s="1" t="s">
        <v>28</v>
      </c>
      <c r="O1078" s="1" t="s">
        <v>57</v>
      </c>
      <c r="P1078" s="1" t="s">
        <v>733</v>
      </c>
      <c r="Q1078" s="1" t="s">
        <v>734</v>
      </c>
      <c r="R1078" s="1">
        <v>2.0</v>
      </c>
      <c r="S1078" s="1"/>
    </row>
    <row r="1079" ht="15.75" customHeight="1">
      <c r="A1079" s="1" t="s">
        <v>2677</v>
      </c>
      <c r="B1079" s="1" t="s">
        <v>2678</v>
      </c>
      <c r="C1079" s="1" t="s">
        <v>174</v>
      </c>
      <c r="E1079" s="1">
        <v>28.6334515</v>
      </c>
      <c r="F1079" s="1">
        <v>77.2815092</v>
      </c>
      <c r="G1079" s="1" t="s">
        <v>97</v>
      </c>
      <c r="H1079" s="1" t="s">
        <v>98</v>
      </c>
      <c r="J1079" s="1" t="s">
        <v>118</v>
      </c>
      <c r="P1079" s="1" t="s">
        <v>2140</v>
      </c>
      <c r="Q1079" s="1" t="s">
        <v>2141</v>
      </c>
      <c r="R1079" s="1">
        <v>1.0</v>
      </c>
      <c r="S1079" s="1"/>
    </row>
    <row r="1080" ht="15.75" customHeight="1">
      <c r="A1080" s="1" t="s">
        <v>2679</v>
      </c>
      <c r="B1080" s="1" t="s">
        <v>2680</v>
      </c>
      <c r="C1080" s="1" t="s">
        <v>174</v>
      </c>
      <c r="E1080" s="1">
        <v>28.7016983</v>
      </c>
      <c r="F1080" s="1">
        <v>77.081409</v>
      </c>
      <c r="G1080" s="1" t="s">
        <v>97</v>
      </c>
      <c r="H1080" s="1" t="s">
        <v>98</v>
      </c>
      <c r="J1080" s="1" t="s">
        <v>118</v>
      </c>
      <c r="P1080" s="1" t="s">
        <v>2140</v>
      </c>
      <c r="Q1080" s="1" t="s">
        <v>2141</v>
      </c>
      <c r="R1080" s="1">
        <v>1.0</v>
      </c>
      <c r="S1080" s="1"/>
    </row>
    <row r="1081" ht="15.75" customHeight="1">
      <c r="A1081" s="1" t="s">
        <v>2681</v>
      </c>
      <c r="B1081" s="1" t="s">
        <v>2682</v>
      </c>
      <c r="C1081" s="1" t="s">
        <v>1112</v>
      </c>
      <c r="E1081" s="1">
        <v>13.1239583</v>
      </c>
      <c r="F1081" s="1">
        <v>80.2121332</v>
      </c>
      <c r="G1081" s="1" t="s">
        <v>54</v>
      </c>
      <c r="H1081" s="1" t="s">
        <v>55</v>
      </c>
      <c r="J1081" s="1" t="s">
        <v>118</v>
      </c>
      <c r="K1081" s="1" t="s">
        <v>26</v>
      </c>
      <c r="L1081" s="1" t="s">
        <v>27</v>
      </c>
      <c r="N1081" s="1" t="s">
        <v>1097</v>
      </c>
      <c r="O1081" s="1" t="s">
        <v>57</v>
      </c>
      <c r="P1081" s="1" t="s">
        <v>1098</v>
      </c>
      <c r="Q1081" s="1" t="s">
        <v>1099</v>
      </c>
      <c r="R1081" s="1">
        <v>0.0</v>
      </c>
      <c r="S1081" s="1"/>
    </row>
    <row r="1082" ht="15.75" customHeight="1">
      <c r="A1082" s="1" t="s">
        <v>2683</v>
      </c>
      <c r="B1082" s="1" t="s">
        <v>2684</v>
      </c>
      <c r="C1082" s="1" t="s">
        <v>1078</v>
      </c>
      <c r="E1082" s="1">
        <v>12.9908404</v>
      </c>
      <c r="F1082" s="1">
        <v>77.7607805</v>
      </c>
      <c r="G1082" s="1" t="s">
        <v>54</v>
      </c>
      <c r="H1082" s="1" t="s">
        <v>55</v>
      </c>
      <c r="J1082" s="1" t="s">
        <v>56</v>
      </c>
      <c r="K1082" s="1" t="s">
        <v>26</v>
      </c>
      <c r="L1082" s="1" t="s">
        <v>27</v>
      </c>
      <c r="N1082" s="1" t="s">
        <v>743</v>
      </c>
      <c r="O1082" s="1" t="s">
        <v>57</v>
      </c>
      <c r="P1082" s="1" t="s">
        <v>1079</v>
      </c>
      <c r="Q1082" s="1" t="s">
        <v>1080</v>
      </c>
      <c r="R1082" s="1">
        <v>5.0</v>
      </c>
      <c r="S1082" s="1"/>
    </row>
    <row r="1083" ht="15.75" customHeight="1">
      <c r="A1083" s="1" t="s">
        <v>2685</v>
      </c>
      <c r="B1083" s="1" t="s">
        <v>2686</v>
      </c>
      <c r="C1083" s="1" t="s">
        <v>1978</v>
      </c>
      <c r="E1083" s="1">
        <v>19.9758225</v>
      </c>
      <c r="F1083" s="1">
        <v>73.8414578</v>
      </c>
      <c r="G1083" s="1" t="s">
        <v>54</v>
      </c>
      <c r="H1083" s="1" t="s">
        <v>55</v>
      </c>
      <c r="J1083" s="1" t="s">
        <v>56</v>
      </c>
      <c r="K1083" s="1" t="s">
        <v>26</v>
      </c>
      <c r="L1083" s="1" t="s">
        <v>27</v>
      </c>
      <c r="N1083" s="1" t="s">
        <v>143</v>
      </c>
      <c r="O1083" s="1" t="s">
        <v>57</v>
      </c>
      <c r="P1083" s="1" t="s">
        <v>2239</v>
      </c>
      <c r="Q1083" s="1" t="s">
        <v>2240</v>
      </c>
      <c r="R1083" s="1">
        <v>0.0</v>
      </c>
      <c r="S1083" s="1"/>
    </row>
    <row r="1084" ht="15.75" customHeight="1">
      <c r="A1084" s="1" t="s">
        <v>2687</v>
      </c>
      <c r="B1084" s="1" t="s">
        <v>2688</v>
      </c>
      <c r="C1084" s="1" t="s">
        <v>242</v>
      </c>
      <c r="E1084" s="1">
        <v>21.1255374</v>
      </c>
      <c r="F1084" s="1">
        <v>73.1122499</v>
      </c>
      <c r="G1084" s="1" t="s">
        <v>54</v>
      </c>
      <c r="H1084" s="1" t="s">
        <v>55</v>
      </c>
      <c r="J1084" s="1" t="s">
        <v>25</v>
      </c>
      <c r="K1084" s="1" t="s">
        <v>26</v>
      </c>
      <c r="L1084" s="1" t="s">
        <v>27</v>
      </c>
      <c r="N1084" s="1" t="s">
        <v>216</v>
      </c>
      <c r="O1084" s="1" t="s">
        <v>57</v>
      </c>
      <c r="P1084" s="1" t="s">
        <v>2689</v>
      </c>
      <c r="Q1084" s="1" t="s">
        <v>2690</v>
      </c>
      <c r="R1084" s="1">
        <v>0.0</v>
      </c>
      <c r="S1084" s="1"/>
    </row>
    <row r="1085" ht="15.75" customHeight="1">
      <c r="A1085" s="1" t="s">
        <v>2691</v>
      </c>
      <c r="B1085" s="1" t="s">
        <v>2692</v>
      </c>
      <c r="C1085" s="1" t="s">
        <v>148</v>
      </c>
      <c r="E1085" s="1">
        <v>19.470135</v>
      </c>
      <c r="F1085" s="1">
        <v>72.802973</v>
      </c>
      <c r="G1085" s="1" t="s">
        <v>54</v>
      </c>
      <c r="H1085" s="1" t="s">
        <v>55</v>
      </c>
      <c r="J1085" s="1" t="s">
        <v>56</v>
      </c>
      <c r="K1085" s="1" t="s">
        <v>26</v>
      </c>
      <c r="L1085" s="1" t="s">
        <v>27</v>
      </c>
      <c r="N1085" s="1" t="s">
        <v>143</v>
      </c>
      <c r="O1085" s="1" t="s">
        <v>57</v>
      </c>
      <c r="P1085" s="1" t="s">
        <v>144</v>
      </c>
      <c r="Q1085" s="1" t="s">
        <v>145</v>
      </c>
      <c r="R1085" s="1">
        <v>0.0</v>
      </c>
      <c r="S1085" s="1"/>
    </row>
    <row r="1086" ht="15.75" customHeight="1">
      <c r="A1086" s="1" t="s">
        <v>2693</v>
      </c>
      <c r="B1086" s="1" t="s">
        <v>2694</v>
      </c>
      <c r="C1086" s="1" t="s">
        <v>1112</v>
      </c>
      <c r="E1086" s="1">
        <v>13.0377692</v>
      </c>
      <c r="F1086" s="1">
        <v>80.1593461</v>
      </c>
      <c r="G1086" s="1" t="s">
        <v>2112</v>
      </c>
      <c r="H1086" s="1" t="s">
        <v>2113</v>
      </c>
      <c r="J1086" s="1" t="s">
        <v>56</v>
      </c>
      <c r="P1086" s="1" t="s">
        <v>1098</v>
      </c>
      <c r="Q1086" s="1" t="s">
        <v>1099</v>
      </c>
      <c r="R1086" s="1">
        <v>5.0</v>
      </c>
      <c r="S1086" s="1"/>
    </row>
    <row r="1087" ht="15.75" customHeight="1">
      <c r="A1087" s="1" t="s">
        <v>2695</v>
      </c>
      <c r="B1087" s="1" t="s">
        <v>2696</v>
      </c>
      <c r="C1087" s="1" t="s">
        <v>2697</v>
      </c>
      <c r="E1087" s="1">
        <v>12.4854101</v>
      </c>
      <c r="F1087" s="1">
        <v>78.5605866</v>
      </c>
      <c r="G1087" s="1" t="s">
        <v>2112</v>
      </c>
      <c r="H1087" s="1" t="s">
        <v>2113</v>
      </c>
      <c r="J1087" s="1" t="s">
        <v>44</v>
      </c>
      <c r="P1087" s="1" t="s">
        <v>1098</v>
      </c>
      <c r="Q1087" s="1" t="s">
        <v>1099</v>
      </c>
      <c r="R1087" s="1">
        <v>0.0</v>
      </c>
      <c r="S1087" s="1"/>
    </row>
    <row r="1088" ht="15.75" customHeight="1">
      <c r="A1088" s="1" t="s">
        <v>2698</v>
      </c>
      <c r="B1088" s="1" t="s">
        <v>2699</v>
      </c>
      <c r="C1088" s="1" t="s">
        <v>1112</v>
      </c>
      <c r="E1088" s="1">
        <v>13.11658</v>
      </c>
      <c r="F1088" s="1">
        <v>80.0993312</v>
      </c>
      <c r="G1088" s="1" t="s">
        <v>2112</v>
      </c>
      <c r="H1088" s="1" t="s">
        <v>2113</v>
      </c>
      <c r="J1088" s="1" t="s">
        <v>56</v>
      </c>
      <c r="P1088" s="1" t="s">
        <v>1098</v>
      </c>
      <c r="Q1088" s="1" t="s">
        <v>1099</v>
      </c>
      <c r="R1088" s="1">
        <v>2.0</v>
      </c>
      <c r="S1088" s="1"/>
    </row>
    <row r="1089" ht="15.75" customHeight="1">
      <c r="A1089" s="1" t="s">
        <v>2700</v>
      </c>
      <c r="B1089" s="1" t="s">
        <v>2701</v>
      </c>
      <c r="C1089" s="1" t="s">
        <v>1112</v>
      </c>
      <c r="E1089" s="1">
        <v>12.9215692</v>
      </c>
      <c r="F1089" s="1">
        <v>80.16640850000002</v>
      </c>
      <c r="G1089" s="1" t="s">
        <v>2112</v>
      </c>
      <c r="H1089" s="1" t="s">
        <v>2113</v>
      </c>
      <c r="J1089" s="1" t="s">
        <v>56</v>
      </c>
      <c r="P1089" s="1" t="s">
        <v>1098</v>
      </c>
      <c r="Q1089" s="1" t="s">
        <v>1099</v>
      </c>
      <c r="R1089" s="1">
        <v>3.0</v>
      </c>
      <c r="S1089" s="1"/>
    </row>
    <row r="1090" ht="15.75" customHeight="1">
      <c r="A1090" s="1" t="s">
        <v>2702</v>
      </c>
      <c r="B1090" s="1" t="s">
        <v>2703</v>
      </c>
      <c r="C1090" s="1" t="s">
        <v>2407</v>
      </c>
      <c r="E1090" s="1">
        <v>11.7581669</v>
      </c>
      <c r="F1090" s="1">
        <v>79.76308039999999</v>
      </c>
      <c r="G1090" s="1" t="s">
        <v>2112</v>
      </c>
      <c r="H1090" s="1" t="s">
        <v>2113</v>
      </c>
      <c r="J1090" s="1" t="s">
        <v>118</v>
      </c>
      <c r="P1090" s="1" t="s">
        <v>1098</v>
      </c>
      <c r="Q1090" s="1" t="s">
        <v>1099</v>
      </c>
      <c r="R1090" s="1">
        <v>0.0</v>
      </c>
      <c r="S1090" s="1"/>
    </row>
    <row r="1091" ht="15.75" customHeight="1">
      <c r="A1091" s="1" t="s">
        <v>2704</v>
      </c>
      <c r="B1091" s="1" t="s">
        <v>2705</v>
      </c>
      <c r="C1091" s="1" t="s">
        <v>2706</v>
      </c>
      <c r="E1091" s="1">
        <v>8.182126499999999</v>
      </c>
      <c r="F1091" s="1">
        <v>77.4296327</v>
      </c>
      <c r="G1091" s="1" t="s">
        <v>2112</v>
      </c>
      <c r="H1091" s="1" t="s">
        <v>2113</v>
      </c>
      <c r="J1091" s="1" t="s">
        <v>56</v>
      </c>
      <c r="P1091" s="1" t="s">
        <v>1098</v>
      </c>
      <c r="Q1091" s="1" t="s">
        <v>1099</v>
      </c>
      <c r="R1091" s="1">
        <v>0.0</v>
      </c>
      <c r="S1091" s="1"/>
    </row>
    <row r="1092" ht="15.75" customHeight="1">
      <c r="A1092" s="1" t="s">
        <v>2707</v>
      </c>
      <c r="B1092" s="1" t="s">
        <v>2708</v>
      </c>
      <c r="C1092" s="1" t="s">
        <v>1112</v>
      </c>
      <c r="E1092" s="1">
        <v>12.8498082</v>
      </c>
      <c r="F1092" s="1">
        <v>80.0650297</v>
      </c>
      <c r="G1092" s="1" t="s">
        <v>2112</v>
      </c>
      <c r="H1092" s="1" t="s">
        <v>2113</v>
      </c>
      <c r="J1092" s="1" t="s">
        <v>56</v>
      </c>
      <c r="P1092" s="1" t="s">
        <v>1098</v>
      </c>
      <c r="Q1092" s="1" t="s">
        <v>1099</v>
      </c>
      <c r="R1092" s="1">
        <v>1.0</v>
      </c>
      <c r="S1092" s="1"/>
    </row>
    <row r="1093" ht="15.75" customHeight="1">
      <c r="A1093" s="1" t="s">
        <v>2709</v>
      </c>
      <c r="B1093" s="1" t="s">
        <v>2710</v>
      </c>
      <c r="C1093" s="1" t="s">
        <v>1112</v>
      </c>
      <c r="E1093" s="1">
        <v>13.1233945</v>
      </c>
      <c r="F1093" s="1">
        <v>80.14577039999999</v>
      </c>
      <c r="G1093" s="1" t="s">
        <v>2112</v>
      </c>
      <c r="H1093" s="1" t="s">
        <v>2113</v>
      </c>
      <c r="J1093" s="1" t="s">
        <v>56</v>
      </c>
      <c r="P1093" s="1" t="s">
        <v>1098</v>
      </c>
      <c r="Q1093" s="1" t="s">
        <v>1099</v>
      </c>
      <c r="R1093" s="1">
        <v>1.0</v>
      </c>
      <c r="S1093" s="1"/>
    </row>
    <row r="1094" ht="15.75" customHeight="1">
      <c r="A1094" s="1" t="s">
        <v>2711</v>
      </c>
      <c r="B1094" s="1" t="s">
        <v>2712</v>
      </c>
      <c r="C1094" s="1" t="s">
        <v>1112</v>
      </c>
      <c r="E1094" s="1">
        <v>12.699366</v>
      </c>
      <c r="F1094" s="1">
        <v>79.96913239999999</v>
      </c>
      <c r="G1094" s="1" t="s">
        <v>2112</v>
      </c>
      <c r="H1094" s="1" t="s">
        <v>2113</v>
      </c>
      <c r="J1094" s="1" t="s">
        <v>118</v>
      </c>
      <c r="P1094" s="1" t="s">
        <v>1098</v>
      </c>
      <c r="Q1094" s="1" t="s">
        <v>1099</v>
      </c>
      <c r="R1094" s="1">
        <v>0.0</v>
      </c>
      <c r="S1094" s="1"/>
    </row>
    <row r="1095" ht="15.75" customHeight="1">
      <c r="A1095" s="1" t="s">
        <v>2713</v>
      </c>
      <c r="B1095" s="1" t="s">
        <v>2714</v>
      </c>
      <c r="C1095" s="1" t="s">
        <v>2715</v>
      </c>
      <c r="E1095" s="1">
        <v>8.182126499999999</v>
      </c>
      <c r="F1095" s="1">
        <v>77.4296327</v>
      </c>
      <c r="G1095" s="1" t="s">
        <v>2112</v>
      </c>
      <c r="H1095" s="1" t="s">
        <v>2113</v>
      </c>
      <c r="J1095" s="1" t="s">
        <v>25</v>
      </c>
      <c r="P1095" s="1" t="s">
        <v>1098</v>
      </c>
      <c r="Q1095" s="1" t="s">
        <v>1099</v>
      </c>
      <c r="R1095" s="1">
        <v>0.0</v>
      </c>
      <c r="S1095" s="1"/>
    </row>
    <row r="1096" ht="15.75" customHeight="1">
      <c r="A1096" s="1" t="s">
        <v>2716</v>
      </c>
      <c r="B1096" s="1" t="s">
        <v>2717</v>
      </c>
      <c r="C1096" s="1" t="s">
        <v>1112</v>
      </c>
      <c r="E1096" s="1">
        <v>13.0905268</v>
      </c>
      <c r="F1096" s="1">
        <v>79.6604138</v>
      </c>
      <c r="G1096" s="1" t="s">
        <v>2112</v>
      </c>
      <c r="H1096" s="1" t="s">
        <v>2113</v>
      </c>
      <c r="J1096" s="1" t="s">
        <v>56</v>
      </c>
      <c r="P1096" s="1" t="s">
        <v>1098</v>
      </c>
      <c r="Q1096" s="1" t="s">
        <v>1099</v>
      </c>
      <c r="R1096" s="1">
        <v>0.0</v>
      </c>
      <c r="S1096" s="1"/>
    </row>
    <row r="1097" ht="15.75" customHeight="1">
      <c r="A1097" s="1" t="s">
        <v>2718</v>
      </c>
      <c r="B1097" s="1" t="s">
        <v>2719</v>
      </c>
      <c r="C1097" s="1" t="s">
        <v>2078</v>
      </c>
      <c r="E1097" s="1">
        <v>11.337123</v>
      </c>
      <c r="F1097" s="1">
        <v>77.71207600000001</v>
      </c>
      <c r="G1097" s="1" t="s">
        <v>2112</v>
      </c>
      <c r="H1097" s="1" t="s">
        <v>2113</v>
      </c>
      <c r="J1097" s="1" t="s">
        <v>44</v>
      </c>
      <c r="P1097" s="1" t="s">
        <v>1098</v>
      </c>
      <c r="Q1097" s="1" t="s">
        <v>1099</v>
      </c>
      <c r="R1097" s="1">
        <v>0.0</v>
      </c>
      <c r="S1097" s="1"/>
    </row>
    <row r="1098" ht="15.75" customHeight="1">
      <c r="A1098" s="1" t="s">
        <v>2720</v>
      </c>
      <c r="B1098" s="1" t="s">
        <v>2721</v>
      </c>
      <c r="C1098" s="1" t="s">
        <v>1265</v>
      </c>
      <c r="E1098" s="1">
        <v>12.118331</v>
      </c>
      <c r="F1098" s="1">
        <v>78.1562253</v>
      </c>
      <c r="G1098" s="1" t="s">
        <v>2112</v>
      </c>
      <c r="H1098" s="1" t="s">
        <v>2113</v>
      </c>
      <c r="J1098" s="1" t="s">
        <v>56</v>
      </c>
      <c r="P1098" s="1" t="s">
        <v>1098</v>
      </c>
      <c r="Q1098" s="1" t="s">
        <v>1099</v>
      </c>
      <c r="R1098" s="1">
        <v>0.0</v>
      </c>
      <c r="S1098" s="1"/>
    </row>
    <row r="1099" ht="15.75" customHeight="1">
      <c r="A1099" s="1" t="s">
        <v>2722</v>
      </c>
      <c r="B1099" s="1" t="s">
        <v>2723</v>
      </c>
      <c r="C1099" s="1" t="s">
        <v>1112</v>
      </c>
      <c r="E1099" s="1">
        <v>12.9994093</v>
      </c>
      <c r="F1099" s="1">
        <v>80.0972961</v>
      </c>
      <c r="G1099" s="1" t="s">
        <v>2112</v>
      </c>
      <c r="H1099" s="1" t="s">
        <v>2113</v>
      </c>
      <c r="J1099" s="1" t="s">
        <v>56</v>
      </c>
      <c r="P1099" s="1" t="s">
        <v>1098</v>
      </c>
      <c r="Q1099" s="1" t="s">
        <v>1099</v>
      </c>
      <c r="R1099" s="1">
        <v>4.0</v>
      </c>
      <c r="S1099" s="1"/>
    </row>
    <row r="1100" ht="15.75" customHeight="1">
      <c r="A1100" s="1" t="s">
        <v>2724</v>
      </c>
      <c r="B1100" s="1" t="s">
        <v>2725</v>
      </c>
      <c r="C1100" s="1" t="s">
        <v>1112</v>
      </c>
      <c r="E1100" s="1">
        <v>10.7777634</v>
      </c>
      <c r="F1100" s="1">
        <v>79.6336908</v>
      </c>
      <c r="G1100" s="1" t="s">
        <v>2112</v>
      </c>
      <c r="H1100" s="1" t="s">
        <v>2113</v>
      </c>
      <c r="J1100" s="1" t="s">
        <v>118</v>
      </c>
      <c r="P1100" s="1" t="s">
        <v>1098</v>
      </c>
      <c r="Q1100" s="1" t="s">
        <v>1099</v>
      </c>
      <c r="R1100" s="1">
        <v>0.0</v>
      </c>
      <c r="S1100" s="1"/>
    </row>
    <row r="1101" ht="15.75" customHeight="1">
      <c r="A1101" s="1" t="s">
        <v>2726</v>
      </c>
      <c r="B1101" s="1" t="s">
        <v>2727</v>
      </c>
      <c r="C1101" s="1" t="s">
        <v>1112</v>
      </c>
      <c r="E1101" s="1">
        <v>10.0784579</v>
      </c>
      <c r="F1101" s="1">
        <v>78.7759531</v>
      </c>
      <c r="G1101" s="1" t="s">
        <v>2112</v>
      </c>
      <c r="H1101" s="1" t="s">
        <v>2113</v>
      </c>
      <c r="J1101" s="1" t="s">
        <v>118</v>
      </c>
      <c r="P1101" s="1" t="s">
        <v>1098</v>
      </c>
      <c r="Q1101" s="1" t="s">
        <v>1099</v>
      </c>
      <c r="R1101" s="1">
        <v>0.0</v>
      </c>
      <c r="S1101" s="1"/>
    </row>
    <row r="1102" ht="15.75" customHeight="1">
      <c r="A1102" s="1" t="s">
        <v>2728</v>
      </c>
      <c r="B1102" s="1" t="s">
        <v>2729</v>
      </c>
      <c r="C1102" s="1" t="s">
        <v>1112</v>
      </c>
      <c r="E1102" s="1">
        <v>10.3656344</v>
      </c>
      <c r="F1102" s="1">
        <v>77.973654</v>
      </c>
      <c r="G1102" s="1" t="s">
        <v>2112</v>
      </c>
      <c r="H1102" s="1" t="s">
        <v>2113</v>
      </c>
      <c r="J1102" s="1" t="s">
        <v>118</v>
      </c>
      <c r="P1102" s="1" t="s">
        <v>1098</v>
      </c>
      <c r="Q1102" s="1" t="s">
        <v>1099</v>
      </c>
      <c r="R1102" s="1">
        <v>0.0</v>
      </c>
      <c r="S1102" s="1"/>
    </row>
    <row r="1103" ht="15.75" customHeight="1">
      <c r="A1103" s="1" t="s">
        <v>2730</v>
      </c>
      <c r="B1103" s="1" t="s">
        <v>2731</v>
      </c>
      <c r="C1103" s="1" t="s">
        <v>1112</v>
      </c>
      <c r="E1103" s="1">
        <v>11.0007151</v>
      </c>
      <c r="F1103" s="1">
        <v>77.0289675</v>
      </c>
      <c r="G1103" s="1" t="s">
        <v>2112</v>
      </c>
      <c r="H1103" s="1" t="s">
        <v>2113</v>
      </c>
      <c r="J1103" s="1" t="s">
        <v>56</v>
      </c>
      <c r="P1103" s="1" t="s">
        <v>1098</v>
      </c>
      <c r="Q1103" s="1" t="s">
        <v>1099</v>
      </c>
      <c r="R1103" s="1">
        <v>0.0</v>
      </c>
      <c r="S1103" s="1"/>
    </row>
    <row r="1104" ht="15.75" customHeight="1">
      <c r="A1104" s="1" t="s">
        <v>2732</v>
      </c>
      <c r="B1104" s="1" t="s">
        <v>2733</v>
      </c>
      <c r="C1104" s="1" t="s">
        <v>1112</v>
      </c>
      <c r="E1104" s="1">
        <v>11.7685831</v>
      </c>
      <c r="F1104" s="1">
        <v>79.5498542</v>
      </c>
      <c r="G1104" s="1" t="s">
        <v>2112</v>
      </c>
      <c r="H1104" s="1" t="s">
        <v>2113</v>
      </c>
      <c r="J1104" s="1" t="s">
        <v>56</v>
      </c>
      <c r="P1104" s="1" t="s">
        <v>1098</v>
      </c>
      <c r="Q1104" s="1" t="s">
        <v>1099</v>
      </c>
      <c r="R1104" s="1">
        <v>0.0</v>
      </c>
      <c r="S1104" s="1"/>
    </row>
    <row r="1105" ht="15.75" customHeight="1">
      <c r="A1105" s="1" t="s">
        <v>2734</v>
      </c>
      <c r="B1105" s="1" t="s">
        <v>2735</v>
      </c>
      <c r="C1105" s="1" t="s">
        <v>1112</v>
      </c>
      <c r="E1105" s="1">
        <v>13.2810701</v>
      </c>
      <c r="F1105" s="1">
        <v>80.2578123</v>
      </c>
      <c r="G1105" s="1" t="s">
        <v>2112</v>
      </c>
      <c r="H1105" s="1" t="s">
        <v>2113</v>
      </c>
      <c r="J1105" s="1" t="s">
        <v>56</v>
      </c>
      <c r="P1105" s="1" t="s">
        <v>1098</v>
      </c>
      <c r="Q1105" s="1" t="s">
        <v>1099</v>
      </c>
      <c r="R1105" s="1">
        <v>0.0</v>
      </c>
      <c r="S1105" s="1"/>
    </row>
    <row r="1106" ht="15.75" customHeight="1">
      <c r="A1106" s="1" t="s">
        <v>2736</v>
      </c>
      <c r="B1106" s="1" t="s">
        <v>2737</v>
      </c>
      <c r="C1106" s="1" t="s">
        <v>1112</v>
      </c>
      <c r="E1106" s="1">
        <v>12.7864794</v>
      </c>
      <c r="F1106" s="1">
        <v>80.2203122</v>
      </c>
      <c r="G1106" s="1" t="s">
        <v>2112</v>
      </c>
      <c r="H1106" s="1" t="s">
        <v>2113</v>
      </c>
      <c r="J1106" s="1" t="s">
        <v>56</v>
      </c>
      <c r="P1106" s="1" t="s">
        <v>1098</v>
      </c>
      <c r="Q1106" s="1" t="s">
        <v>1099</v>
      </c>
      <c r="R1106" s="1">
        <v>2.0</v>
      </c>
      <c r="S1106" s="1"/>
    </row>
    <row r="1107" ht="15.75" customHeight="1">
      <c r="A1107" s="1" t="s">
        <v>2738</v>
      </c>
      <c r="B1107" s="1" t="s">
        <v>2739</v>
      </c>
      <c r="C1107" s="1" t="s">
        <v>1112</v>
      </c>
      <c r="E1107" s="1">
        <v>9.4494355</v>
      </c>
      <c r="F1107" s="1">
        <v>77.7942662</v>
      </c>
      <c r="G1107" s="1" t="s">
        <v>2112</v>
      </c>
      <c r="H1107" s="1" t="s">
        <v>2113</v>
      </c>
      <c r="J1107" s="1" t="s">
        <v>56</v>
      </c>
      <c r="P1107" s="1" t="s">
        <v>1098</v>
      </c>
      <c r="Q1107" s="1" t="s">
        <v>1099</v>
      </c>
      <c r="R1107" s="1">
        <v>0.0</v>
      </c>
      <c r="S1107" s="1"/>
    </row>
    <row r="1108" ht="15.75" customHeight="1">
      <c r="A1108" s="1" t="s">
        <v>2740</v>
      </c>
      <c r="B1108" s="1" t="s">
        <v>2741</v>
      </c>
      <c r="C1108" s="1" t="s">
        <v>1112</v>
      </c>
      <c r="E1108" s="1">
        <v>11.9313741</v>
      </c>
      <c r="F1108" s="1">
        <v>79.8283583</v>
      </c>
      <c r="G1108" s="1" t="s">
        <v>2112</v>
      </c>
      <c r="H1108" s="1" t="s">
        <v>2113</v>
      </c>
      <c r="J1108" s="1" t="s">
        <v>56</v>
      </c>
      <c r="P1108" s="1" t="s">
        <v>1098</v>
      </c>
      <c r="Q1108" s="1" t="s">
        <v>1099</v>
      </c>
      <c r="R1108" s="1">
        <v>0.0</v>
      </c>
      <c r="S1108" s="1"/>
    </row>
    <row r="1109" ht="15.75" customHeight="1">
      <c r="A1109" s="1" t="s">
        <v>2742</v>
      </c>
      <c r="B1109" s="1" t="s">
        <v>2743</v>
      </c>
      <c r="C1109" s="1" t="s">
        <v>1112</v>
      </c>
      <c r="E1109" s="1">
        <v>8.2383893</v>
      </c>
      <c r="F1109" s="1">
        <v>77.24065</v>
      </c>
      <c r="G1109" s="1" t="s">
        <v>2112</v>
      </c>
      <c r="H1109" s="1" t="s">
        <v>2113</v>
      </c>
      <c r="J1109" s="1" t="s">
        <v>56</v>
      </c>
      <c r="P1109" s="1" t="s">
        <v>1098</v>
      </c>
      <c r="Q1109" s="1" t="s">
        <v>1099</v>
      </c>
      <c r="R1109" s="1">
        <v>0.0</v>
      </c>
      <c r="S1109" s="1"/>
    </row>
    <row r="1110" ht="15.75" customHeight="1">
      <c r="A1110" s="1" t="s">
        <v>2744</v>
      </c>
      <c r="B1110" s="1" t="s">
        <v>2745</v>
      </c>
      <c r="C1110" s="1" t="s">
        <v>1112</v>
      </c>
      <c r="E1110" s="1">
        <v>11.2356928</v>
      </c>
      <c r="F1110" s="1">
        <v>78.1656273</v>
      </c>
      <c r="G1110" s="1" t="s">
        <v>2112</v>
      </c>
      <c r="H1110" s="1" t="s">
        <v>2113</v>
      </c>
      <c r="J1110" s="1" t="s">
        <v>56</v>
      </c>
      <c r="P1110" s="1" t="s">
        <v>1098</v>
      </c>
      <c r="Q1110" s="1" t="s">
        <v>1099</v>
      </c>
      <c r="R1110" s="1">
        <v>0.0</v>
      </c>
      <c r="S1110" s="1"/>
    </row>
    <row r="1111" ht="15.75" customHeight="1">
      <c r="A1111" s="1" t="s">
        <v>2746</v>
      </c>
      <c r="B1111" s="1" t="s">
        <v>2747</v>
      </c>
      <c r="C1111" s="1" t="s">
        <v>1112</v>
      </c>
      <c r="E1111" s="1">
        <v>12.5294782</v>
      </c>
      <c r="F1111" s="1">
        <v>78.2067407</v>
      </c>
      <c r="G1111" s="1" t="s">
        <v>2112</v>
      </c>
      <c r="H1111" s="1" t="s">
        <v>2113</v>
      </c>
      <c r="J1111" s="1" t="s">
        <v>56</v>
      </c>
      <c r="P1111" s="1" t="s">
        <v>1098</v>
      </c>
      <c r="Q1111" s="1" t="s">
        <v>1099</v>
      </c>
      <c r="R1111" s="1">
        <v>0.0</v>
      </c>
      <c r="S1111" s="1"/>
    </row>
    <row r="1112" ht="15.75" customHeight="1">
      <c r="A1112" s="1" t="s">
        <v>2748</v>
      </c>
      <c r="B1112" s="1" t="s">
        <v>2749</v>
      </c>
      <c r="C1112" s="1" t="s">
        <v>1112</v>
      </c>
      <c r="E1112" s="1">
        <v>10.9627695</v>
      </c>
      <c r="F1112" s="1">
        <v>78.0760755</v>
      </c>
      <c r="G1112" s="1" t="s">
        <v>2112</v>
      </c>
      <c r="H1112" s="1" t="s">
        <v>2113</v>
      </c>
      <c r="J1112" s="1" t="s">
        <v>56</v>
      </c>
      <c r="P1112" s="1" t="s">
        <v>1098</v>
      </c>
      <c r="Q1112" s="1" t="s">
        <v>1099</v>
      </c>
      <c r="R1112" s="1">
        <v>0.0</v>
      </c>
      <c r="S1112" s="1"/>
    </row>
    <row r="1113" ht="15.75" customHeight="1">
      <c r="A1113" s="1" t="s">
        <v>2750</v>
      </c>
      <c r="B1113" s="1" t="s">
        <v>2751</v>
      </c>
      <c r="C1113" s="1" t="s">
        <v>1112</v>
      </c>
      <c r="E1113" s="1">
        <v>11.0994189</v>
      </c>
      <c r="F1113" s="1">
        <v>79.64555299999999</v>
      </c>
      <c r="G1113" s="1" t="s">
        <v>2112</v>
      </c>
      <c r="H1113" s="1" t="s">
        <v>2113</v>
      </c>
      <c r="J1113" s="1" t="s">
        <v>56</v>
      </c>
      <c r="P1113" s="1" t="s">
        <v>1098</v>
      </c>
      <c r="Q1113" s="1" t="s">
        <v>1099</v>
      </c>
      <c r="R1113" s="1">
        <v>0.0</v>
      </c>
      <c r="S1113" s="1"/>
    </row>
    <row r="1114" ht="15.75" customHeight="1">
      <c r="A1114" s="1" t="s">
        <v>2752</v>
      </c>
      <c r="B1114" s="1" t="s">
        <v>2753</v>
      </c>
      <c r="C1114" s="1" t="s">
        <v>1112</v>
      </c>
      <c r="E1114" s="1">
        <v>11.3838204</v>
      </c>
      <c r="F1114" s="1">
        <v>77.8946885</v>
      </c>
      <c r="G1114" s="1" t="s">
        <v>2112</v>
      </c>
      <c r="H1114" s="1" t="s">
        <v>2113</v>
      </c>
      <c r="J1114" s="1" t="s">
        <v>25</v>
      </c>
      <c r="P1114" s="1" t="s">
        <v>1098</v>
      </c>
      <c r="Q1114" s="1" t="s">
        <v>1099</v>
      </c>
      <c r="R1114" s="1">
        <v>0.0</v>
      </c>
      <c r="S1114" s="1"/>
    </row>
    <row r="1115" ht="15.75" customHeight="1">
      <c r="A1115" s="1" t="s">
        <v>2754</v>
      </c>
      <c r="B1115" s="1" t="s">
        <v>2755</v>
      </c>
      <c r="C1115" s="1" t="s">
        <v>1112</v>
      </c>
      <c r="E1115" s="1">
        <v>12.9838174</v>
      </c>
      <c r="F1115" s="1">
        <v>80.18826349999999</v>
      </c>
      <c r="G1115" s="1" t="s">
        <v>2112</v>
      </c>
      <c r="H1115" s="1" t="s">
        <v>2113</v>
      </c>
      <c r="J1115" s="1" t="s">
        <v>118</v>
      </c>
      <c r="P1115" s="1" t="s">
        <v>1098</v>
      </c>
      <c r="Q1115" s="1" t="s">
        <v>1099</v>
      </c>
      <c r="R1115" s="1">
        <v>2.0</v>
      </c>
      <c r="S1115" s="1"/>
    </row>
    <row r="1116" ht="15.75" customHeight="1">
      <c r="A1116" s="1" t="s">
        <v>2756</v>
      </c>
      <c r="B1116" s="1" t="s">
        <v>2757</v>
      </c>
      <c r="C1116" s="1" t="s">
        <v>1112</v>
      </c>
      <c r="E1116" s="1">
        <v>10.7755661</v>
      </c>
      <c r="F1116" s="1">
        <v>79.1403503</v>
      </c>
      <c r="G1116" s="1" t="s">
        <v>2112</v>
      </c>
      <c r="H1116" s="1" t="s">
        <v>2113</v>
      </c>
      <c r="J1116" s="1" t="s">
        <v>118</v>
      </c>
      <c r="P1116" s="1" t="s">
        <v>1098</v>
      </c>
      <c r="Q1116" s="1" t="s">
        <v>1099</v>
      </c>
      <c r="R1116" s="1">
        <v>0.0</v>
      </c>
      <c r="S1116" s="1"/>
    </row>
    <row r="1117" ht="15.75" customHeight="1">
      <c r="A1117" s="1" t="s">
        <v>2758</v>
      </c>
      <c r="B1117" s="1" t="s">
        <v>2759</v>
      </c>
      <c r="C1117" s="1" t="s">
        <v>1112</v>
      </c>
      <c r="E1117" s="1">
        <v>9.9152425</v>
      </c>
      <c r="F1117" s="1">
        <v>78.11886670000001</v>
      </c>
      <c r="G1117" s="1" t="s">
        <v>2112</v>
      </c>
      <c r="H1117" s="1" t="s">
        <v>2113</v>
      </c>
      <c r="J1117" s="1" t="s">
        <v>56</v>
      </c>
      <c r="P1117" s="1" t="s">
        <v>1098</v>
      </c>
      <c r="Q1117" s="1" t="s">
        <v>1099</v>
      </c>
      <c r="R1117" s="1">
        <v>0.0</v>
      </c>
      <c r="S1117" s="1"/>
    </row>
    <row r="1118" ht="15.75" customHeight="1">
      <c r="A1118" s="1" t="s">
        <v>2760</v>
      </c>
      <c r="B1118" s="1" t="s">
        <v>2761</v>
      </c>
      <c r="C1118" s="1" t="s">
        <v>1112</v>
      </c>
      <c r="E1118" s="1">
        <v>8.802997099999999</v>
      </c>
      <c r="F1118" s="1">
        <v>78.1417645</v>
      </c>
      <c r="G1118" s="1" t="s">
        <v>2112</v>
      </c>
      <c r="H1118" s="1" t="s">
        <v>2113</v>
      </c>
      <c r="J1118" s="1" t="s">
        <v>56</v>
      </c>
      <c r="P1118" s="1" t="s">
        <v>1098</v>
      </c>
      <c r="Q1118" s="1" t="s">
        <v>1099</v>
      </c>
      <c r="R1118" s="1">
        <v>0.0</v>
      </c>
      <c r="S1118" s="1"/>
    </row>
    <row r="1119" ht="15.75" customHeight="1">
      <c r="A1119" s="1" t="s">
        <v>2762</v>
      </c>
      <c r="B1119" s="1" t="s">
        <v>2763</v>
      </c>
      <c r="C1119" s="1" t="s">
        <v>1112</v>
      </c>
      <c r="E1119" s="1">
        <v>13.0377692</v>
      </c>
      <c r="F1119" s="1">
        <v>80.1593461</v>
      </c>
      <c r="G1119" s="1" t="s">
        <v>2112</v>
      </c>
      <c r="H1119" s="1" t="s">
        <v>2113</v>
      </c>
      <c r="J1119" s="1" t="s">
        <v>118</v>
      </c>
      <c r="P1119" s="1" t="s">
        <v>1098</v>
      </c>
      <c r="Q1119" s="1" t="s">
        <v>1099</v>
      </c>
      <c r="R1119" s="1">
        <v>0.0</v>
      </c>
      <c r="S1119" s="1"/>
    </row>
    <row r="1120" ht="15.75" customHeight="1">
      <c r="A1120" s="1" t="s">
        <v>2764</v>
      </c>
      <c r="B1120" s="1" t="s">
        <v>2765</v>
      </c>
      <c r="C1120" s="1" t="s">
        <v>1112</v>
      </c>
      <c r="E1120" s="1">
        <v>11.9313741</v>
      </c>
      <c r="F1120" s="1">
        <v>79.8283583</v>
      </c>
      <c r="G1120" s="1" t="s">
        <v>2112</v>
      </c>
      <c r="H1120" s="1" t="s">
        <v>2113</v>
      </c>
      <c r="J1120" s="1" t="s">
        <v>56</v>
      </c>
      <c r="P1120" s="1" t="s">
        <v>1098</v>
      </c>
      <c r="Q1120" s="1" t="s">
        <v>1099</v>
      </c>
      <c r="R1120" s="1">
        <v>0.0</v>
      </c>
      <c r="S1120" s="1"/>
    </row>
    <row r="1121" ht="15.75" customHeight="1">
      <c r="A1121" s="1" t="s">
        <v>2766</v>
      </c>
      <c r="B1121" s="1" t="s">
        <v>2767</v>
      </c>
      <c r="C1121" s="1" t="s">
        <v>1112</v>
      </c>
      <c r="E1121" s="1">
        <v>10.7896177</v>
      </c>
      <c r="F1121" s="1">
        <v>79.1380932</v>
      </c>
      <c r="G1121" s="1" t="s">
        <v>2112</v>
      </c>
      <c r="H1121" s="1" t="s">
        <v>2113</v>
      </c>
      <c r="J1121" s="1" t="s">
        <v>56</v>
      </c>
      <c r="P1121" s="1" t="s">
        <v>1098</v>
      </c>
      <c r="Q1121" s="1" t="s">
        <v>1099</v>
      </c>
      <c r="R1121" s="1">
        <v>0.0</v>
      </c>
      <c r="S1121" s="1"/>
    </row>
    <row r="1122" ht="15.75" customHeight="1">
      <c r="A1122" s="1" t="s">
        <v>2768</v>
      </c>
      <c r="B1122" s="1" t="s">
        <v>2769</v>
      </c>
      <c r="C1122" s="1" t="s">
        <v>1112</v>
      </c>
      <c r="E1122" s="1">
        <v>10.3656344</v>
      </c>
      <c r="F1122" s="1">
        <v>77.973654</v>
      </c>
      <c r="G1122" s="1" t="s">
        <v>2112</v>
      </c>
      <c r="H1122" s="1" t="s">
        <v>2113</v>
      </c>
      <c r="J1122" s="1" t="s">
        <v>56</v>
      </c>
      <c r="P1122" s="1" t="s">
        <v>1098</v>
      </c>
      <c r="Q1122" s="1" t="s">
        <v>1099</v>
      </c>
      <c r="R1122" s="1">
        <v>0.0</v>
      </c>
      <c r="S1122" s="1"/>
    </row>
    <row r="1123" ht="15.75" customHeight="1">
      <c r="A1123" s="1" t="s">
        <v>2770</v>
      </c>
      <c r="B1123" s="1" t="s">
        <v>2771</v>
      </c>
      <c r="C1123" s="1" t="s">
        <v>1112</v>
      </c>
      <c r="E1123" s="1">
        <v>12.9624524</v>
      </c>
      <c r="F1123" s="1">
        <v>79.1371293</v>
      </c>
      <c r="G1123" s="1" t="s">
        <v>2112</v>
      </c>
      <c r="H1123" s="1" t="s">
        <v>2113</v>
      </c>
      <c r="J1123" s="1" t="s">
        <v>118</v>
      </c>
      <c r="P1123" s="1" t="s">
        <v>1098</v>
      </c>
      <c r="Q1123" s="1" t="s">
        <v>1099</v>
      </c>
      <c r="R1123" s="1">
        <v>0.0</v>
      </c>
      <c r="S1123" s="1"/>
    </row>
    <row r="1124" ht="15.75" customHeight="1">
      <c r="A1124" s="1" t="s">
        <v>2772</v>
      </c>
      <c r="B1124" s="1" t="s">
        <v>2773</v>
      </c>
      <c r="C1124" s="1" t="s">
        <v>1112</v>
      </c>
      <c r="E1124" s="1">
        <v>12.0565165</v>
      </c>
      <c r="F1124" s="1">
        <v>78.4770939</v>
      </c>
      <c r="G1124" s="1" t="s">
        <v>2112</v>
      </c>
      <c r="H1124" s="1" t="s">
        <v>2113</v>
      </c>
      <c r="J1124" s="1" t="s">
        <v>118</v>
      </c>
      <c r="P1124" s="1" t="s">
        <v>1098</v>
      </c>
      <c r="Q1124" s="1" t="s">
        <v>1099</v>
      </c>
      <c r="R1124" s="1">
        <v>0.0</v>
      </c>
      <c r="S1124" s="1"/>
    </row>
    <row r="1125" ht="15.75" customHeight="1">
      <c r="A1125" s="1" t="s">
        <v>2774</v>
      </c>
      <c r="B1125" s="1" t="s">
        <v>2775</v>
      </c>
      <c r="C1125" s="1" t="s">
        <v>1112</v>
      </c>
      <c r="E1125" s="1">
        <v>9.1846763</v>
      </c>
      <c r="F1125" s="1">
        <v>77.53517889999999</v>
      </c>
      <c r="G1125" s="1" t="s">
        <v>2112</v>
      </c>
      <c r="H1125" s="1" t="s">
        <v>2113</v>
      </c>
      <c r="J1125" s="1" t="s">
        <v>44</v>
      </c>
      <c r="P1125" s="1" t="s">
        <v>1098</v>
      </c>
      <c r="Q1125" s="1" t="s">
        <v>1099</v>
      </c>
      <c r="R1125" s="1">
        <v>0.0</v>
      </c>
      <c r="S1125" s="1"/>
    </row>
    <row r="1126" ht="15.75" customHeight="1">
      <c r="A1126" s="1" t="s">
        <v>2776</v>
      </c>
      <c r="B1126" s="1" t="s">
        <v>2777</v>
      </c>
      <c r="C1126" s="1" t="s">
        <v>1112</v>
      </c>
      <c r="E1126" s="1">
        <v>13.1810909</v>
      </c>
      <c r="F1126" s="1">
        <v>79.6091946</v>
      </c>
      <c r="G1126" s="1" t="s">
        <v>2112</v>
      </c>
      <c r="H1126" s="1" t="s">
        <v>2113</v>
      </c>
      <c r="J1126" s="1" t="s">
        <v>56</v>
      </c>
      <c r="P1126" s="1" t="s">
        <v>1098</v>
      </c>
      <c r="Q1126" s="1" t="s">
        <v>1099</v>
      </c>
      <c r="R1126" s="1">
        <v>0.0</v>
      </c>
      <c r="S1126" s="1"/>
    </row>
    <row r="1127" ht="15.75" customHeight="1">
      <c r="A1127" s="1" t="s">
        <v>2778</v>
      </c>
      <c r="B1127" s="1" t="s">
        <v>2779</v>
      </c>
      <c r="C1127" s="1" t="s">
        <v>1112</v>
      </c>
      <c r="E1127" s="1">
        <v>13.137169</v>
      </c>
      <c r="F1127" s="1">
        <v>79.91198419999999</v>
      </c>
      <c r="G1127" s="1" t="s">
        <v>2112</v>
      </c>
      <c r="H1127" s="1" t="s">
        <v>2113</v>
      </c>
      <c r="J1127" s="1" t="s">
        <v>56</v>
      </c>
      <c r="P1127" s="1" t="s">
        <v>1098</v>
      </c>
      <c r="Q1127" s="1" t="s">
        <v>1099</v>
      </c>
      <c r="R1127" s="1">
        <v>0.0</v>
      </c>
      <c r="S1127" s="1"/>
    </row>
    <row r="1128" ht="15.75" customHeight="1">
      <c r="A1128" s="1" t="s">
        <v>2780</v>
      </c>
      <c r="B1128" s="1" t="s">
        <v>2781</v>
      </c>
      <c r="C1128" s="1" t="s">
        <v>1112</v>
      </c>
      <c r="E1128" s="1">
        <v>9.1744529</v>
      </c>
      <c r="F1128" s="1">
        <v>77.8642762</v>
      </c>
      <c r="G1128" s="1" t="s">
        <v>2112</v>
      </c>
      <c r="H1128" s="1" t="s">
        <v>2113</v>
      </c>
      <c r="J1128" s="1" t="s">
        <v>56</v>
      </c>
      <c r="P1128" s="1" t="s">
        <v>1098</v>
      </c>
      <c r="Q1128" s="1" t="s">
        <v>1099</v>
      </c>
      <c r="R1128" s="1">
        <v>0.0</v>
      </c>
      <c r="S1128" s="1"/>
    </row>
    <row r="1129" ht="15.75" customHeight="1">
      <c r="A1129" s="1" t="s">
        <v>2782</v>
      </c>
      <c r="B1129" s="1" t="s">
        <v>2783</v>
      </c>
      <c r="C1129" s="1" t="s">
        <v>1112</v>
      </c>
      <c r="E1129" s="1">
        <v>13.1229038</v>
      </c>
      <c r="F1129" s="1">
        <v>80.2233042</v>
      </c>
      <c r="G1129" s="1" t="s">
        <v>2112</v>
      </c>
      <c r="H1129" s="1" t="s">
        <v>2113</v>
      </c>
      <c r="J1129" s="1" t="s">
        <v>25</v>
      </c>
      <c r="P1129" s="1" t="s">
        <v>1098</v>
      </c>
      <c r="Q1129" s="1" t="s">
        <v>1099</v>
      </c>
      <c r="R1129" s="1">
        <v>0.0</v>
      </c>
      <c r="S1129" s="1"/>
    </row>
    <row r="1130" ht="15.75" customHeight="1">
      <c r="A1130" s="1" t="s">
        <v>2784</v>
      </c>
      <c r="B1130" s="1" t="s">
        <v>2785</v>
      </c>
      <c r="C1130" s="1" t="s">
        <v>1112</v>
      </c>
      <c r="E1130" s="1">
        <v>12.2236017</v>
      </c>
      <c r="F1130" s="1">
        <v>79.64787799999999</v>
      </c>
      <c r="G1130" s="1" t="s">
        <v>2112</v>
      </c>
      <c r="H1130" s="1" t="s">
        <v>2113</v>
      </c>
      <c r="J1130" s="1" t="s">
        <v>56</v>
      </c>
      <c r="P1130" s="1" t="s">
        <v>1098</v>
      </c>
      <c r="Q1130" s="1" t="s">
        <v>1099</v>
      </c>
      <c r="R1130" s="1">
        <v>0.0</v>
      </c>
      <c r="S1130" s="1"/>
    </row>
    <row r="1131" ht="15.75" customHeight="1">
      <c r="A1131" s="1" t="s">
        <v>2786</v>
      </c>
      <c r="B1131" s="1" t="s">
        <v>2787</v>
      </c>
      <c r="C1131" s="1" t="s">
        <v>1112</v>
      </c>
      <c r="E1131" s="1">
        <v>11.1330549</v>
      </c>
      <c r="F1131" s="1">
        <v>78.5915594</v>
      </c>
      <c r="G1131" s="1" t="s">
        <v>2112</v>
      </c>
      <c r="H1131" s="1" t="s">
        <v>2113</v>
      </c>
      <c r="J1131" s="1" t="s">
        <v>56</v>
      </c>
      <c r="P1131" s="1" t="s">
        <v>1098</v>
      </c>
      <c r="Q1131" s="1" t="s">
        <v>1099</v>
      </c>
      <c r="R1131" s="1">
        <v>0.0</v>
      </c>
      <c r="S1131" s="1"/>
    </row>
    <row r="1132" ht="15.75" customHeight="1">
      <c r="A1132" s="1" t="s">
        <v>2788</v>
      </c>
      <c r="B1132" s="1" t="s">
        <v>2789</v>
      </c>
      <c r="C1132" s="1" t="s">
        <v>1112</v>
      </c>
      <c r="E1132" s="1">
        <v>11.0172735</v>
      </c>
      <c r="F1132" s="1">
        <v>76.968608</v>
      </c>
      <c r="G1132" s="1" t="s">
        <v>2112</v>
      </c>
      <c r="H1132" s="1" t="s">
        <v>2113</v>
      </c>
      <c r="J1132" s="1" t="s">
        <v>56</v>
      </c>
      <c r="P1132" s="1" t="s">
        <v>1098</v>
      </c>
      <c r="Q1132" s="1" t="s">
        <v>1099</v>
      </c>
      <c r="R1132" s="1">
        <v>0.0</v>
      </c>
      <c r="S1132" s="1"/>
    </row>
    <row r="1133" ht="15.75" customHeight="1">
      <c r="A1133" s="1" t="s">
        <v>2790</v>
      </c>
      <c r="B1133" s="1" t="s">
        <v>2791</v>
      </c>
      <c r="C1133" s="1" t="s">
        <v>1112</v>
      </c>
      <c r="E1133" s="1">
        <v>11.4533628</v>
      </c>
      <c r="F1133" s="1">
        <v>77.448195</v>
      </c>
      <c r="G1133" s="1" t="s">
        <v>2112</v>
      </c>
      <c r="H1133" s="1" t="s">
        <v>2113</v>
      </c>
      <c r="J1133" s="1" t="s">
        <v>44</v>
      </c>
      <c r="P1133" s="1" t="s">
        <v>1098</v>
      </c>
      <c r="Q1133" s="1" t="s">
        <v>1099</v>
      </c>
      <c r="R1133" s="1">
        <v>0.0</v>
      </c>
      <c r="S1133" s="1"/>
    </row>
    <row r="1134" ht="15.75" customHeight="1">
      <c r="A1134" s="1" t="s">
        <v>2792</v>
      </c>
      <c r="B1134" s="1" t="s">
        <v>2793</v>
      </c>
      <c r="C1134" s="1" t="s">
        <v>1112</v>
      </c>
      <c r="E1134" s="1">
        <v>11.1341138</v>
      </c>
      <c r="F1134" s="1">
        <v>79.07765789999999</v>
      </c>
      <c r="G1134" s="1" t="s">
        <v>2112</v>
      </c>
      <c r="H1134" s="1" t="s">
        <v>2113</v>
      </c>
      <c r="J1134" s="1" t="s">
        <v>118</v>
      </c>
      <c r="P1134" s="1" t="s">
        <v>1098</v>
      </c>
      <c r="Q1134" s="1" t="s">
        <v>1099</v>
      </c>
      <c r="R1134" s="1">
        <v>0.0</v>
      </c>
      <c r="S1134" s="1"/>
    </row>
    <row r="1135" ht="15.75" customHeight="1">
      <c r="A1135" s="1" t="s">
        <v>2794</v>
      </c>
      <c r="B1135" s="1" t="s">
        <v>2795</v>
      </c>
      <c r="C1135" s="1" t="s">
        <v>1112</v>
      </c>
      <c r="E1135" s="1">
        <v>10.8267426</v>
      </c>
      <c r="F1135" s="1">
        <v>78.6908624</v>
      </c>
      <c r="G1135" s="1" t="s">
        <v>2112</v>
      </c>
      <c r="H1135" s="1" t="s">
        <v>2113</v>
      </c>
      <c r="J1135" s="1" t="s">
        <v>56</v>
      </c>
      <c r="P1135" s="1" t="s">
        <v>1098</v>
      </c>
      <c r="Q1135" s="1" t="s">
        <v>1099</v>
      </c>
      <c r="R1135" s="1">
        <v>0.0</v>
      </c>
      <c r="S1135" s="1"/>
    </row>
    <row r="1136" ht="15.75" customHeight="1">
      <c r="A1136" s="1" t="s">
        <v>2796</v>
      </c>
      <c r="B1136" s="1" t="s">
        <v>2797</v>
      </c>
      <c r="C1136" s="1" t="s">
        <v>1112</v>
      </c>
      <c r="E1136" s="1">
        <v>9.3678499</v>
      </c>
      <c r="F1136" s="1">
        <v>78.8317539</v>
      </c>
      <c r="G1136" s="1" t="s">
        <v>2112</v>
      </c>
      <c r="H1136" s="1" t="s">
        <v>2113</v>
      </c>
      <c r="J1136" s="1" t="s">
        <v>56</v>
      </c>
      <c r="P1136" s="1" t="s">
        <v>1098</v>
      </c>
      <c r="Q1136" s="1" t="s">
        <v>1099</v>
      </c>
      <c r="R1136" s="1">
        <v>0.0</v>
      </c>
      <c r="S1136" s="1"/>
    </row>
    <row r="1137" ht="15.75" customHeight="1">
      <c r="A1137" s="1" t="s">
        <v>2798</v>
      </c>
      <c r="B1137" s="1" t="s">
        <v>2799</v>
      </c>
      <c r="C1137" s="1" t="s">
        <v>1112</v>
      </c>
      <c r="E1137" s="1">
        <v>8.3351989</v>
      </c>
      <c r="F1137" s="1">
        <v>77.8676565</v>
      </c>
      <c r="G1137" s="1" t="s">
        <v>2112</v>
      </c>
      <c r="H1137" s="1" t="s">
        <v>2113</v>
      </c>
      <c r="J1137" s="1" t="s">
        <v>25</v>
      </c>
      <c r="P1137" s="1" t="s">
        <v>1098</v>
      </c>
      <c r="Q1137" s="1" t="s">
        <v>1099</v>
      </c>
      <c r="R1137" s="1">
        <v>0.0</v>
      </c>
      <c r="S1137" s="1"/>
    </row>
    <row r="1138" ht="15.75" customHeight="1">
      <c r="A1138" s="1" t="s">
        <v>2800</v>
      </c>
      <c r="B1138" s="1" t="s">
        <v>2801</v>
      </c>
      <c r="C1138" s="1" t="s">
        <v>1112</v>
      </c>
      <c r="E1138" s="1">
        <v>10.1684402</v>
      </c>
      <c r="F1138" s="1">
        <v>77.7642875</v>
      </c>
      <c r="G1138" s="1" t="s">
        <v>2112</v>
      </c>
      <c r="H1138" s="1" t="s">
        <v>2113</v>
      </c>
      <c r="J1138" s="1" t="s">
        <v>44</v>
      </c>
      <c r="P1138" s="1" t="s">
        <v>1098</v>
      </c>
      <c r="Q1138" s="1" t="s">
        <v>1099</v>
      </c>
      <c r="R1138" s="1">
        <v>0.0</v>
      </c>
      <c r="S1138" s="1"/>
    </row>
    <row r="1139" ht="15.75" customHeight="1">
      <c r="A1139" s="1" t="s">
        <v>2802</v>
      </c>
      <c r="B1139" s="1" t="s">
        <v>2803</v>
      </c>
      <c r="C1139" s="1" t="s">
        <v>1112</v>
      </c>
      <c r="E1139" s="1">
        <v>11.6719388</v>
      </c>
      <c r="F1139" s="1">
        <v>78.1328169</v>
      </c>
      <c r="G1139" s="1" t="s">
        <v>2112</v>
      </c>
      <c r="H1139" s="1" t="s">
        <v>2113</v>
      </c>
      <c r="J1139" s="1" t="s">
        <v>118</v>
      </c>
      <c r="P1139" s="1" t="s">
        <v>1098</v>
      </c>
      <c r="Q1139" s="1" t="s">
        <v>1099</v>
      </c>
      <c r="R1139" s="1">
        <v>0.0</v>
      </c>
      <c r="S1139" s="1"/>
    </row>
    <row r="1140" ht="15.75" customHeight="1">
      <c r="A1140" s="1" t="s">
        <v>2804</v>
      </c>
      <c r="B1140" s="1" t="s">
        <v>2805</v>
      </c>
      <c r="C1140" s="1" t="s">
        <v>1112</v>
      </c>
      <c r="E1140" s="1">
        <v>13.0327115</v>
      </c>
      <c r="F1140" s="1">
        <v>80.23040739999999</v>
      </c>
      <c r="G1140" s="1" t="s">
        <v>2112</v>
      </c>
      <c r="H1140" s="1" t="s">
        <v>2113</v>
      </c>
      <c r="J1140" s="1" t="s">
        <v>56</v>
      </c>
      <c r="P1140" s="1" t="s">
        <v>1098</v>
      </c>
      <c r="Q1140" s="1" t="s">
        <v>1099</v>
      </c>
      <c r="R1140" s="1">
        <v>0.0</v>
      </c>
      <c r="S1140" s="1"/>
    </row>
    <row r="1141" ht="15.75" customHeight="1">
      <c r="A1141" s="1" t="s">
        <v>2806</v>
      </c>
      <c r="B1141" s="1" t="s">
        <v>2807</v>
      </c>
      <c r="C1141" s="1" t="s">
        <v>1112</v>
      </c>
      <c r="E1141" s="1">
        <v>10.9583853</v>
      </c>
      <c r="F1141" s="1">
        <v>79.3727361</v>
      </c>
      <c r="G1141" s="1" t="s">
        <v>2112</v>
      </c>
      <c r="H1141" s="1" t="s">
        <v>2113</v>
      </c>
      <c r="J1141" s="1" t="s">
        <v>44</v>
      </c>
      <c r="P1141" s="1" t="s">
        <v>1098</v>
      </c>
      <c r="Q1141" s="1" t="s">
        <v>1099</v>
      </c>
      <c r="R1141" s="1">
        <v>0.0</v>
      </c>
      <c r="S1141" s="1"/>
    </row>
    <row r="1142" ht="15.75" customHeight="1">
      <c r="A1142" s="1" t="s">
        <v>2808</v>
      </c>
      <c r="B1142" s="1" t="s">
        <v>2809</v>
      </c>
      <c r="C1142" s="1" t="s">
        <v>1112</v>
      </c>
      <c r="E1142" s="1">
        <v>8.3346543</v>
      </c>
      <c r="F1142" s="1">
        <v>77.1719787</v>
      </c>
      <c r="G1142" s="1" t="s">
        <v>2112</v>
      </c>
      <c r="H1142" s="1" t="s">
        <v>2113</v>
      </c>
      <c r="J1142" s="1" t="s">
        <v>56</v>
      </c>
      <c r="P1142" s="1" t="s">
        <v>1098</v>
      </c>
      <c r="Q1142" s="1" t="s">
        <v>1099</v>
      </c>
      <c r="R1142" s="1">
        <v>0.0</v>
      </c>
      <c r="S1142" s="1"/>
    </row>
    <row r="1143" ht="15.75" customHeight="1">
      <c r="A1143" s="1" t="s">
        <v>2810</v>
      </c>
      <c r="B1143" s="1" t="s">
        <v>2811</v>
      </c>
      <c r="C1143" s="1" t="s">
        <v>1112</v>
      </c>
      <c r="E1143" s="1">
        <v>12.7316019</v>
      </c>
      <c r="F1143" s="1">
        <v>77.8283518</v>
      </c>
      <c r="G1143" s="1" t="s">
        <v>2112</v>
      </c>
      <c r="H1143" s="1" t="s">
        <v>2113</v>
      </c>
      <c r="J1143" s="1" t="s">
        <v>118</v>
      </c>
      <c r="P1143" s="1" t="s">
        <v>1098</v>
      </c>
      <c r="Q1143" s="1" t="s">
        <v>1099</v>
      </c>
      <c r="R1143" s="1">
        <v>0.0</v>
      </c>
      <c r="S1143" s="1"/>
    </row>
    <row r="1144" ht="15.75" customHeight="1">
      <c r="A1144" s="1" t="s">
        <v>2812</v>
      </c>
      <c r="B1144" s="1" t="s">
        <v>2813</v>
      </c>
      <c r="C1144" s="1" t="s">
        <v>1112</v>
      </c>
      <c r="E1144" s="1">
        <v>12.9263934</v>
      </c>
      <c r="F1144" s="1">
        <v>79.14133199999999</v>
      </c>
      <c r="G1144" s="1" t="s">
        <v>2112</v>
      </c>
      <c r="H1144" s="1" t="s">
        <v>2113</v>
      </c>
      <c r="J1144" s="1" t="s">
        <v>118</v>
      </c>
      <c r="P1144" s="1" t="s">
        <v>1098</v>
      </c>
      <c r="Q1144" s="1" t="s">
        <v>1099</v>
      </c>
      <c r="R1144" s="1">
        <v>0.0</v>
      </c>
      <c r="S1144" s="1"/>
    </row>
    <row r="1145" ht="15.75" customHeight="1">
      <c r="A1145" s="1" t="s">
        <v>2814</v>
      </c>
      <c r="B1145" s="1" t="s">
        <v>2815</v>
      </c>
      <c r="C1145" s="1" t="s">
        <v>1112</v>
      </c>
      <c r="E1145" s="1">
        <v>13.1229038</v>
      </c>
      <c r="F1145" s="1">
        <v>80.2233042</v>
      </c>
      <c r="G1145" s="1" t="s">
        <v>2112</v>
      </c>
      <c r="H1145" s="1" t="s">
        <v>2113</v>
      </c>
      <c r="J1145" s="1" t="s">
        <v>56</v>
      </c>
      <c r="P1145" s="1" t="s">
        <v>1098</v>
      </c>
      <c r="Q1145" s="1" t="s">
        <v>1099</v>
      </c>
      <c r="R1145" s="1">
        <v>1.0</v>
      </c>
      <c r="S1145" s="1"/>
    </row>
    <row r="1146" ht="15.75" customHeight="1">
      <c r="A1146" s="1" t="s">
        <v>2816</v>
      </c>
      <c r="B1146" s="1" t="s">
        <v>2817</v>
      </c>
      <c r="C1146" s="1" t="s">
        <v>1112</v>
      </c>
      <c r="E1146" s="1">
        <v>11.5847937</v>
      </c>
      <c r="F1146" s="1">
        <v>77.85087519999999</v>
      </c>
      <c r="G1146" s="1" t="s">
        <v>2112</v>
      </c>
      <c r="H1146" s="1" t="s">
        <v>2113</v>
      </c>
      <c r="J1146" s="1" t="s">
        <v>44</v>
      </c>
      <c r="P1146" s="1" t="s">
        <v>1098</v>
      </c>
      <c r="Q1146" s="1" t="s">
        <v>1099</v>
      </c>
      <c r="R1146" s="1">
        <v>0.0</v>
      </c>
      <c r="S1146" s="1"/>
    </row>
    <row r="1147" ht="15.75" customHeight="1">
      <c r="A1147" s="1" t="s">
        <v>2818</v>
      </c>
      <c r="B1147" s="1" t="s">
        <v>2819</v>
      </c>
      <c r="C1147" s="1" t="s">
        <v>1112</v>
      </c>
      <c r="E1147" s="1">
        <v>8.9815544</v>
      </c>
      <c r="F1147" s="1">
        <v>77.42390309999999</v>
      </c>
      <c r="G1147" s="1" t="s">
        <v>2112</v>
      </c>
      <c r="H1147" s="1" t="s">
        <v>2113</v>
      </c>
      <c r="J1147" s="1" t="s">
        <v>56</v>
      </c>
      <c r="P1147" s="1" t="s">
        <v>1098</v>
      </c>
      <c r="Q1147" s="1" t="s">
        <v>1099</v>
      </c>
      <c r="R1147" s="1">
        <v>0.0</v>
      </c>
      <c r="S1147" s="1"/>
    </row>
    <row r="1148" ht="15.75" customHeight="1">
      <c r="A1148" s="1" t="s">
        <v>2820</v>
      </c>
      <c r="B1148" s="1" t="s">
        <v>2821</v>
      </c>
      <c r="C1148" s="1" t="s">
        <v>1112</v>
      </c>
      <c r="E1148" s="1">
        <v>9.593790499999999</v>
      </c>
      <c r="F1148" s="1">
        <v>77.9537227</v>
      </c>
      <c r="G1148" s="1" t="s">
        <v>2112</v>
      </c>
      <c r="H1148" s="1" t="s">
        <v>2113</v>
      </c>
      <c r="J1148" s="1" t="s">
        <v>56</v>
      </c>
      <c r="P1148" s="1" t="s">
        <v>1098</v>
      </c>
      <c r="Q1148" s="1" t="s">
        <v>1099</v>
      </c>
      <c r="R1148" s="1">
        <v>0.0</v>
      </c>
      <c r="S1148" s="1"/>
    </row>
    <row r="1149" ht="15.75" customHeight="1">
      <c r="A1149" s="1" t="s">
        <v>2822</v>
      </c>
      <c r="B1149" s="1" t="s">
        <v>2823</v>
      </c>
      <c r="C1149" s="1" t="s">
        <v>1112</v>
      </c>
      <c r="E1149" s="1">
        <v>8.2410356</v>
      </c>
      <c r="F1149" s="1">
        <v>77.32173209999999</v>
      </c>
      <c r="G1149" s="1" t="s">
        <v>2112</v>
      </c>
      <c r="H1149" s="1" t="s">
        <v>2113</v>
      </c>
      <c r="J1149" s="1" t="s">
        <v>25</v>
      </c>
      <c r="P1149" s="1" t="s">
        <v>1098</v>
      </c>
      <c r="Q1149" s="1" t="s">
        <v>1099</v>
      </c>
      <c r="R1149" s="1">
        <v>0.0</v>
      </c>
      <c r="S1149" s="1"/>
    </row>
    <row r="1150" ht="15.75" customHeight="1">
      <c r="A1150" s="1" t="s">
        <v>2824</v>
      </c>
      <c r="B1150" s="1" t="s">
        <v>2825</v>
      </c>
      <c r="C1150" s="1" t="s">
        <v>1112</v>
      </c>
      <c r="E1150" s="1">
        <v>11.0172735</v>
      </c>
      <c r="F1150" s="1">
        <v>76.968608</v>
      </c>
      <c r="G1150" s="1" t="s">
        <v>2112</v>
      </c>
      <c r="H1150" s="1" t="s">
        <v>2113</v>
      </c>
      <c r="J1150" s="1" t="s">
        <v>44</v>
      </c>
      <c r="P1150" s="1" t="s">
        <v>1098</v>
      </c>
      <c r="Q1150" s="1" t="s">
        <v>1099</v>
      </c>
      <c r="R1150" s="1">
        <v>0.0</v>
      </c>
      <c r="S1150" s="1"/>
    </row>
    <row r="1151" ht="15.75" customHeight="1">
      <c r="A1151" s="1" t="s">
        <v>2826</v>
      </c>
      <c r="B1151" s="1" t="s">
        <v>2827</v>
      </c>
      <c r="C1151" s="1" t="s">
        <v>1112</v>
      </c>
      <c r="E1151" s="1">
        <v>10.2830621</v>
      </c>
      <c r="F1151" s="1">
        <v>78.5436789</v>
      </c>
      <c r="G1151" s="1" t="s">
        <v>2112</v>
      </c>
      <c r="H1151" s="1" t="s">
        <v>2113</v>
      </c>
      <c r="J1151" s="1" t="s">
        <v>56</v>
      </c>
      <c r="P1151" s="1" t="s">
        <v>1098</v>
      </c>
      <c r="Q1151" s="1" t="s">
        <v>1099</v>
      </c>
      <c r="R1151" s="1">
        <v>0.0</v>
      </c>
      <c r="S1151" s="1"/>
    </row>
    <row r="1152" ht="15.75" customHeight="1">
      <c r="A1152" s="1" t="s">
        <v>2828</v>
      </c>
      <c r="B1152" s="1" t="s">
        <v>2829</v>
      </c>
      <c r="C1152" s="1" t="s">
        <v>1112</v>
      </c>
      <c r="E1152" s="1">
        <v>10.0340835</v>
      </c>
      <c r="F1152" s="1">
        <v>78.34285779999999</v>
      </c>
      <c r="G1152" s="1" t="s">
        <v>2112</v>
      </c>
      <c r="H1152" s="1" t="s">
        <v>2113</v>
      </c>
      <c r="J1152" s="1" t="s">
        <v>44</v>
      </c>
      <c r="P1152" s="1" t="s">
        <v>1098</v>
      </c>
      <c r="Q1152" s="1" t="s">
        <v>1099</v>
      </c>
      <c r="R1152" s="1">
        <v>0.0</v>
      </c>
      <c r="S1152" s="1"/>
    </row>
    <row r="1153" ht="15.75" customHeight="1">
      <c r="A1153" s="1" t="s">
        <v>2830</v>
      </c>
      <c r="B1153" s="1" t="s">
        <v>2831</v>
      </c>
      <c r="C1153" s="1" t="s">
        <v>1112</v>
      </c>
      <c r="E1153" s="1">
        <v>11.0172735</v>
      </c>
      <c r="F1153" s="1">
        <v>76.968608</v>
      </c>
      <c r="G1153" s="1" t="s">
        <v>2112</v>
      </c>
      <c r="H1153" s="1" t="s">
        <v>2113</v>
      </c>
      <c r="J1153" s="1" t="s">
        <v>56</v>
      </c>
      <c r="P1153" s="1" t="s">
        <v>1098</v>
      </c>
      <c r="Q1153" s="1" t="s">
        <v>1099</v>
      </c>
      <c r="R1153" s="1">
        <v>0.0</v>
      </c>
      <c r="S1153" s="1"/>
    </row>
    <row r="1154" ht="15.75" customHeight="1">
      <c r="A1154" s="1" t="s">
        <v>2832</v>
      </c>
      <c r="B1154" s="1" t="s">
        <v>2833</v>
      </c>
      <c r="C1154" s="1" t="s">
        <v>1112</v>
      </c>
      <c r="E1154" s="1">
        <v>12.9418971</v>
      </c>
      <c r="F1154" s="1">
        <v>78.8598743</v>
      </c>
      <c r="G1154" s="1" t="s">
        <v>2112</v>
      </c>
      <c r="H1154" s="1" t="s">
        <v>2113</v>
      </c>
      <c r="J1154" s="1" t="s">
        <v>56</v>
      </c>
      <c r="P1154" s="1" t="s">
        <v>1098</v>
      </c>
      <c r="Q1154" s="1" t="s">
        <v>1099</v>
      </c>
      <c r="R1154" s="1">
        <v>0.0</v>
      </c>
      <c r="S1154" s="1"/>
    </row>
    <row r="1155" ht="15.75" customHeight="1">
      <c r="A1155" s="1" t="s">
        <v>2834</v>
      </c>
      <c r="B1155" s="1" t="s">
        <v>2835</v>
      </c>
      <c r="C1155" s="1" t="s">
        <v>1112</v>
      </c>
      <c r="E1155" s="1">
        <v>9.3678499</v>
      </c>
      <c r="F1155" s="1">
        <v>78.8317539</v>
      </c>
      <c r="G1155" s="1" t="s">
        <v>2112</v>
      </c>
      <c r="H1155" s="1" t="s">
        <v>2113</v>
      </c>
      <c r="J1155" s="1" t="s">
        <v>56</v>
      </c>
      <c r="P1155" s="1" t="s">
        <v>1098</v>
      </c>
      <c r="Q1155" s="1" t="s">
        <v>1099</v>
      </c>
      <c r="R1155" s="1">
        <v>0.0</v>
      </c>
      <c r="S1155" s="1"/>
    </row>
    <row r="1156" ht="15.75" customHeight="1">
      <c r="A1156" s="1" t="s">
        <v>2836</v>
      </c>
      <c r="B1156" s="1" t="s">
        <v>2837</v>
      </c>
      <c r="C1156" s="1" t="s">
        <v>1112</v>
      </c>
      <c r="E1156" s="1">
        <v>11.6719388</v>
      </c>
      <c r="F1156" s="1">
        <v>78.1328169</v>
      </c>
      <c r="G1156" s="1" t="s">
        <v>2112</v>
      </c>
      <c r="H1156" s="1" t="s">
        <v>2113</v>
      </c>
      <c r="J1156" s="1" t="s">
        <v>56</v>
      </c>
      <c r="P1156" s="1" t="s">
        <v>1098</v>
      </c>
      <c r="Q1156" s="1" t="s">
        <v>1099</v>
      </c>
      <c r="R1156" s="1">
        <v>0.0</v>
      </c>
      <c r="S1156" s="1"/>
    </row>
    <row r="1157" ht="15.75" customHeight="1">
      <c r="A1157" s="1" t="s">
        <v>2838</v>
      </c>
      <c r="B1157" s="1" t="s">
        <v>2839</v>
      </c>
      <c r="C1157" s="1" t="s">
        <v>1112</v>
      </c>
      <c r="E1157" s="1">
        <v>9.957995</v>
      </c>
      <c r="F1157" s="1">
        <v>78.8112536</v>
      </c>
      <c r="G1157" s="1" t="s">
        <v>2112</v>
      </c>
      <c r="H1157" s="1" t="s">
        <v>2113</v>
      </c>
      <c r="J1157" s="1" t="s">
        <v>56</v>
      </c>
      <c r="P1157" s="1" t="s">
        <v>1098</v>
      </c>
      <c r="Q1157" s="1" t="s">
        <v>1099</v>
      </c>
      <c r="R1157" s="1">
        <v>0.0</v>
      </c>
      <c r="S1157" s="1"/>
    </row>
    <row r="1158" ht="15.75" customHeight="1">
      <c r="A1158" s="1" t="s">
        <v>2840</v>
      </c>
      <c r="B1158" s="1" t="s">
        <v>2841</v>
      </c>
      <c r="C1158" s="1" t="s">
        <v>1112</v>
      </c>
      <c r="E1158" s="1">
        <v>13.0989817</v>
      </c>
      <c r="F1158" s="1">
        <v>80.1842368</v>
      </c>
      <c r="G1158" s="1" t="s">
        <v>2112</v>
      </c>
      <c r="H1158" s="1" t="s">
        <v>2113</v>
      </c>
      <c r="J1158" s="1" t="s">
        <v>56</v>
      </c>
      <c r="P1158" s="1" t="s">
        <v>1098</v>
      </c>
      <c r="Q1158" s="1" t="s">
        <v>1099</v>
      </c>
      <c r="R1158" s="1">
        <v>0.0</v>
      </c>
      <c r="S1158" s="1"/>
    </row>
    <row r="1159" ht="15.75" customHeight="1">
      <c r="A1159" s="1" t="s">
        <v>2842</v>
      </c>
      <c r="B1159" s="1" t="s">
        <v>2843</v>
      </c>
      <c r="C1159" s="1" t="s">
        <v>1112</v>
      </c>
      <c r="E1159" s="1">
        <v>10.5854779</v>
      </c>
      <c r="F1159" s="1">
        <v>77.2513453</v>
      </c>
      <c r="G1159" s="1" t="s">
        <v>2112</v>
      </c>
      <c r="H1159" s="1" t="s">
        <v>2113</v>
      </c>
      <c r="J1159" s="1" t="s">
        <v>56</v>
      </c>
      <c r="P1159" s="1" t="s">
        <v>1098</v>
      </c>
      <c r="Q1159" s="1" t="s">
        <v>1099</v>
      </c>
      <c r="R1159" s="1">
        <v>0.0</v>
      </c>
      <c r="S1159" s="1"/>
    </row>
    <row r="1160" ht="15.75" customHeight="1">
      <c r="A1160" s="1" t="s">
        <v>2844</v>
      </c>
      <c r="B1160" s="1" t="s">
        <v>2845</v>
      </c>
      <c r="C1160" s="1" t="s">
        <v>1112</v>
      </c>
      <c r="E1160" s="1">
        <v>11.4744705</v>
      </c>
      <c r="F1160" s="1">
        <v>77.86944419999999</v>
      </c>
      <c r="G1160" s="1" t="s">
        <v>2112</v>
      </c>
      <c r="H1160" s="1" t="s">
        <v>2113</v>
      </c>
      <c r="J1160" s="1" t="s">
        <v>56</v>
      </c>
      <c r="P1160" s="1" t="s">
        <v>1098</v>
      </c>
      <c r="Q1160" s="1" t="s">
        <v>1099</v>
      </c>
      <c r="R1160" s="1">
        <v>0.0</v>
      </c>
      <c r="S1160" s="1"/>
    </row>
    <row r="1161" ht="15.75" customHeight="1">
      <c r="A1161" s="1" t="s">
        <v>2846</v>
      </c>
      <c r="B1161" s="1" t="s">
        <v>2847</v>
      </c>
      <c r="C1161" s="1" t="s">
        <v>1112</v>
      </c>
      <c r="E1161" s="1">
        <v>11.7876646</v>
      </c>
      <c r="F1161" s="1">
        <v>77.80062939999999</v>
      </c>
      <c r="G1161" s="1" t="s">
        <v>2112</v>
      </c>
      <c r="H1161" s="1" t="s">
        <v>2113</v>
      </c>
      <c r="J1161" s="1" t="s">
        <v>56</v>
      </c>
      <c r="P1161" s="1" t="s">
        <v>1098</v>
      </c>
      <c r="Q1161" s="1" t="s">
        <v>1099</v>
      </c>
      <c r="R1161" s="1">
        <v>0.0</v>
      </c>
      <c r="S1161" s="1"/>
    </row>
    <row r="1162" ht="15.75" customHeight="1">
      <c r="A1162" s="1" t="s">
        <v>2848</v>
      </c>
      <c r="B1162" s="1" t="s">
        <v>2849</v>
      </c>
      <c r="C1162" s="1" t="s">
        <v>1112</v>
      </c>
      <c r="E1162" s="1">
        <v>12.7316019</v>
      </c>
      <c r="F1162" s="1">
        <v>77.8283518</v>
      </c>
      <c r="G1162" s="1" t="s">
        <v>2112</v>
      </c>
      <c r="H1162" s="1" t="s">
        <v>2113</v>
      </c>
      <c r="J1162" s="1" t="s">
        <v>56</v>
      </c>
      <c r="P1162" s="1" t="s">
        <v>1098</v>
      </c>
      <c r="Q1162" s="1" t="s">
        <v>1099</v>
      </c>
      <c r="R1162" s="1">
        <v>0.0</v>
      </c>
      <c r="S1162" s="1"/>
    </row>
    <row r="1163" ht="15.75" customHeight="1">
      <c r="A1163" s="1" t="s">
        <v>2850</v>
      </c>
      <c r="B1163" s="1" t="s">
        <v>2851</v>
      </c>
      <c r="C1163" s="1" t="s">
        <v>1112</v>
      </c>
      <c r="E1163" s="1">
        <v>11.4041276</v>
      </c>
      <c r="F1163" s="1">
        <v>76.69908810000001</v>
      </c>
      <c r="G1163" s="1" t="s">
        <v>2112</v>
      </c>
      <c r="H1163" s="1" t="s">
        <v>2113</v>
      </c>
      <c r="J1163" s="1" t="s">
        <v>118</v>
      </c>
      <c r="P1163" s="1" t="s">
        <v>1098</v>
      </c>
      <c r="Q1163" s="1" t="s">
        <v>1099</v>
      </c>
      <c r="R1163" s="1">
        <v>0.0</v>
      </c>
      <c r="S1163" s="1"/>
    </row>
    <row r="1164" ht="15.75" customHeight="1">
      <c r="A1164" s="1" t="s">
        <v>2852</v>
      </c>
      <c r="B1164" s="1" t="s">
        <v>2853</v>
      </c>
      <c r="C1164" s="1" t="s">
        <v>1112</v>
      </c>
      <c r="E1164" s="1">
        <v>13.0327115</v>
      </c>
      <c r="F1164" s="1">
        <v>80.23040739999999</v>
      </c>
      <c r="G1164" s="1" t="s">
        <v>2112</v>
      </c>
      <c r="H1164" s="1" t="s">
        <v>2113</v>
      </c>
      <c r="J1164" s="1" t="s">
        <v>56</v>
      </c>
      <c r="P1164" s="1" t="s">
        <v>1098</v>
      </c>
      <c r="Q1164" s="1" t="s">
        <v>1099</v>
      </c>
      <c r="R1164" s="1">
        <v>0.0</v>
      </c>
      <c r="S1164" s="1"/>
    </row>
    <row r="1165" ht="15.75" customHeight="1">
      <c r="A1165" s="1" t="s">
        <v>2854</v>
      </c>
      <c r="B1165" s="1" t="s">
        <v>2855</v>
      </c>
      <c r="C1165" s="1" t="s">
        <v>1112</v>
      </c>
      <c r="E1165" s="1">
        <v>12.3345045</v>
      </c>
      <c r="F1165" s="1">
        <v>78.36895319999999</v>
      </c>
      <c r="G1165" s="1" t="s">
        <v>2112</v>
      </c>
      <c r="H1165" s="1" t="s">
        <v>2113</v>
      </c>
      <c r="J1165" s="1" t="s">
        <v>56</v>
      </c>
      <c r="P1165" s="1" t="s">
        <v>1098</v>
      </c>
      <c r="Q1165" s="1" t="s">
        <v>1099</v>
      </c>
      <c r="R1165" s="1">
        <v>0.0</v>
      </c>
      <c r="S1165" s="1"/>
    </row>
    <row r="1166" ht="15.75" customHeight="1">
      <c r="A1166" s="1" t="s">
        <v>2856</v>
      </c>
      <c r="B1166" s="1" t="s">
        <v>2857</v>
      </c>
      <c r="C1166" s="1" t="s">
        <v>1112</v>
      </c>
      <c r="E1166" s="1">
        <v>11.6938794</v>
      </c>
      <c r="F1166" s="1">
        <v>77.9725395</v>
      </c>
      <c r="G1166" s="1" t="s">
        <v>2112</v>
      </c>
      <c r="H1166" s="1" t="s">
        <v>2113</v>
      </c>
      <c r="J1166" s="1" t="s">
        <v>56</v>
      </c>
      <c r="P1166" s="1" t="s">
        <v>1098</v>
      </c>
      <c r="Q1166" s="1" t="s">
        <v>1099</v>
      </c>
      <c r="R1166" s="1">
        <v>0.0</v>
      </c>
      <c r="S1166" s="1"/>
    </row>
    <row r="1167" ht="15.75" customHeight="1">
      <c r="A1167" s="1" t="s">
        <v>2858</v>
      </c>
      <c r="B1167" s="1" t="s">
        <v>2859</v>
      </c>
      <c r="C1167" s="1" t="s">
        <v>1112</v>
      </c>
      <c r="E1167" s="1">
        <v>10.9607023</v>
      </c>
      <c r="F1167" s="1">
        <v>78.4484432</v>
      </c>
      <c r="G1167" s="1" t="s">
        <v>2112</v>
      </c>
      <c r="H1167" s="1" t="s">
        <v>2113</v>
      </c>
      <c r="J1167" s="1" t="s">
        <v>56</v>
      </c>
      <c r="P1167" s="1" t="s">
        <v>1098</v>
      </c>
      <c r="Q1167" s="1" t="s">
        <v>1099</v>
      </c>
      <c r="R1167" s="1">
        <v>0.0</v>
      </c>
      <c r="S1167" s="1"/>
    </row>
    <row r="1168" ht="15.75" customHeight="1">
      <c r="A1168" s="1" t="s">
        <v>2860</v>
      </c>
      <c r="B1168" s="1" t="s">
        <v>2861</v>
      </c>
      <c r="C1168" s="1" t="s">
        <v>1112</v>
      </c>
      <c r="E1168" s="1">
        <v>11.4558897</v>
      </c>
      <c r="F1168" s="1">
        <v>78.19427879999999</v>
      </c>
      <c r="G1168" s="1" t="s">
        <v>2112</v>
      </c>
      <c r="H1168" s="1" t="s">
        <v>2113</v>
      </c>
      <c r="J1168" s="1" t="s">
        <v>56</v>
      </c>
      <c r="P1168" s="1" t="s">
        <v>1098</v>
      </c>
      <c r="Q1168" s="1" t="s">
        <v>1099</v>
      </c>
      <c r="R1168" s="1">
        <v>0.0</v>
      </c>
      <c r="S1168" s="1"/>
    </row>
    <row r="1169" ht="15.75" customHeight="1">
      <c r="A1169" s="1" t="s">
        <v>2862</v>
      </c>
      <c r="B1169" s="1" t="s">
        <v>2863</v>
      </c>
      <c r="C1169" s="1" t="s">
        <v>1112</v>
      </c>
      <c r="E1169" s="1">
        <v>13.1079394</v>
      </c>
      <c r="F1169" s="1">
        <v>79.42126929999999</v>
      </c>
      <c r="G1169" s="1" t="s">
        <v>2112</v>
      </c>
      <c r="H1169" s="1" t="s">
        <v>2113</v>
      </c>
      <c r="J1169" s="1" t="s">
        <v>56</v>
      </c>
      <c r="P1169" s="1" t="s">
        <v>1098</v>
      </c>
      <c r="Q1169" s="1" t="s">
        <v>1099</v>
      </c>
      <c r="R1169" s="1">
        <v>0.0</v>
      </c>
      <c r="S1169" s="1"/>
    </row>
    <row r="1170" ht="15.75" customHeight="1">
      <c r="A1170" s="1" t="s">
        <v>2864</v>
      </c>
      <c r="B1170" s="1" t="s">
        <v>2865</v>
      </c>
      <c r="C1170" s="1" t="s">
        <v>1112</v>
      </c>
      <c r="E1170" s="1">
        <v>8.424757699999999</v>
      </c>
      <c r="F1170" s="1">
        <v>77.1966273</v>
      </c>
      <c r="G1170" s="1" t="s">
        <v>2112</v>
      </c>
      <c r="H1170" s="1" t="s">
        <v>2113</v>
      </c>
      <c r="J1170" s="1" t="s">
        <v>56</v>
      </c>
      <c r="P1170" s="1" t="s">
        <v>1098</v>
      </c>
      <c r="Q1170" s="1" t="s">
        <v>1099</v>
      </c>
      <c r="R1170" s="1">
        <v>0.0</v>
      </c>
      <c r="S1170" s="1"/>
    </row>
    <row r="1171" ht="15.75" customHeight="1">
      <c r="A1171" s="1" t="s">
        <v>2866</v>
      </c>
      <c r="B1171" s="1" t="s">
        <v>2867</v>
      </c>
      <c r="C1171" s="1" t="s">
        <v>1112</v>
      </c>
      <c r="E1171" s="1">
        <v>13.0860525</v>
      </c>
      <c r="F1171" s="1">
        <v>80.2496476</v>
      </c>
      <c r="G1171" s="1" t="s">
        <v>2112</v>
      </c>
      <c r="H1171" s="1" t="s">
        <v>2113</v>
      </c>
      <c r="J1171" s="1" t="s">
        <v>56</v>
      </c>
      <c r="P1171" s="1" t="s">
        <v>1098</v>
      </c>
      <c r="Q1171" s="1" t="s">
        <v>1099</v>
      </c>
      <c r="R1171" s="1">
        <v>0.0</v>
      </c>
      <c r="S1171" s="1"/>
    </row>
    <row r="1172" ht="15.75" customHeight="1">
      <c r="A1172" s="1" t="s">
        <v>2868</v>
      </c>
      <c r="B1172" s="1" t="s">
        <v>2869</v>
      </c>
      <c r="C1172" s="1" t="s">
        <v>1112</v>
      </c>
      <c r="E1172" s="1">
        <v>10.6568138</v>
      </c>
      <c r="F1172" s="1">
        <v>77.01205809999999</v>
      </c>
      <c r="G1172" s="1" t="s">
        <v>2112</v>
      </c>
      <c r="H1172" s="1" t="s">
        <v>2113</v>
      </c>
      <c r="J1172" s="1" t="s">
        <v>56</v>
      </c>
      <c r="P1172" s="1" t="s">
        <v>1098</v>
      </c>
      <c r="Q1172" s="1" t="s">
        <v>1099</v>
      </c>
      <c r="R1172" s="1">
        <v>0.0</v>
      </c>
      <c r="S1172" s="1"/>
    </row>
    <row r="1173" ht="15.75" customHeight="1">
      <c r="A1173" s="1" t="s">
        <v>2870</v>
      </c>
      <c r="B1173" s="1" t="s">
        <v>2871</v>
      </c>
      <c r="C1173" s="1" t="s">
        <v>1112</v>
      </c>
      <c r="E1173" s="1">
        <v>12.7869056</v>
      </c>
      <c r="F1173" s="1">
        <v>78.7224677</v>
      </c>
      <c r="G1173" s="1" t="s">
        <v>2112</v>
      </c>
      <c r="H1173" s="1" t="s">
        <v>2113</v>
      </c>
      <c r="J1173" s="1" t="s">
        <v>56</v>
      </c>
      <c r="P1173" s="1" t="s">
        <v>1098</v>
      </c>
      <c r="Q1173" s="1" t="s">
        <v>1099</v>
      </c>
      <c r="R1173" s="1">
        <v>0.0</v>
      </c>
      <c r="S1173" s="1"/>
    </row>
    <row r="1174" ht="15.75" customHeight="1">
      <c r="A1174" s="1" t="s">
        <v>2872</v>
      </c>
      <c r="B1174" s="1" t="s">
        <v>2873</v>
      </c>
      <c r="C1174" s="1" t="s">
        <v>1112</v>
      </c>
      <c r="E1174" s="1">
        <v>10.4525178</v>
      </c>
      <c r="F1174" s="1">
        <v>77.5169097</v>
      </c>
      <c r="G1174" s="1" t="s">
        <v>2112</v>
      </c>
      <c r="H1174" s="1" t="s">
        <v>2113</v>
      </c>
      <c r="J1174" s="1" t="s">
        <v>56</v>
      </c>
      <c r="P1174" s="1" t="s">
        <v>1098</v>
      </c>
      <c r="Q1174" s="1" t="s">
        <v>1099</v>
      </c>
      <c r="R1174" s="1">
        <v>0.0</v>
      </c>
      <c r="S1174" s="1"/>
    </row>
    <row r="1175" ht="15.75" customHeight="1">
      <c r="A1175" s="1" t="s">
        <v>2874</v>
      </c>
      <c r="B1175" s="1" t="s">
        <v>2875</v>
      </c>
      <c r="C1175" s="1" t="s">
        <v>1112</v>
      </c>
      <c r="E1175" s="1">
        <v>9.9152425</v>
      </c>
      <c r="F1175" s="1">
        <v>78.11886670000001</v>
      </c>
      <c r="G1175" s="1" t="s">
        <v>2112</v>
      </c>
      <c r="H1175" s="1" t="s">
        <v>2113</v>
      </c>
      <c r="J1175" s="1" t="s">
        <v>56</v>
      </c>
      <c r="P1175" s="1" t="s">
        <v>1098</v>
      </c>
      <c r="Q1175" s="1" t="s">
        <v>1099</v>
      </c>
      <c r="R1175" s="1">
        <v>0.0</v>
      </c>
      <c r="S1175" s="1"/>
    </row>
    <row r="1176" ht="15.75" customHeight="1">
      <c r="A1176" s="1" t="s">
        <v>2876</v>
      </c>
      <c r="B1176" s="1" t="s">
        <v>2877</v>
      </c>
      <c r="C1176" s="1" t="s">
        <v>1112</v>
      </c>
      <c r="E1176" s="1">
        <v>12.9263934</v>
      </c>
      <c r="F1176" s="1">
        <v>79.14133199999999</v>
      </c>
      <c r="G1176" s="1" t="s">
        <v>2112</v>
      </c>
      <c r="H1176" s="1" t="s">
        <v>2113</v>
      </c>
      <c r="J1176" s="1" t="s">
        <v>56</v>
      </c>
      <c r="P1176" s="1" t="s">
        <v>1098</v>
      </c>
      <c r="Q1176" s="1" t="s">
        <v>1099</v>
      </c>
      <c r="R1176" s="1">
        <v>0.0</v>
      </c>
      <c r="S1176" s="1"/>
    </row>
    <row r="1177" ht="15.75" customHeight="1">
      <c r="A1177" s="1" t="s">
        <v>2878</v>
      </c>
      <c r="B1177" s="1" t="s">
        <v>2879</v>
      </c>
      <c r="C1177" s="1" t="s">
        <v>1112</v>
      </c>
      <c r="E1177" s="1">
        <v>11.1076845</v>
      </c>
      <c r="F1177" s="1">
        <v>78.00882510000001</v>
      </c>
      <c r="G1177" s="1" t="s">
        <v>2112</v>
      </c>
      <c r="H1177" s="1" t="s">
        <v>2113</v>
      </c>
      <c r="J1177" s="1" t="s">
        <v>56</v>
      </c>
      <c r="P1177" s="1" t="s">
        <v>1098</v>
      </c>
      <c r="Q1177" s="1" t="s">
        <v>1099</v>
      </c>
      <c r="R1177" s="1">
        <v>0.0</v>
      </c>
      <c r="S1177" s="1"/>
    </row>
    <row r="1178" ht="15.75" customHeight="1">
      <c r="A1178" s="1" t="s">
        <v>2880</v>
      </c>
      <c r="B1178" s="1" t="s">
        <v>2881</v>
      </c>
      <c r="C1178" s="1" t="s">
        <v>1112</v>
      </c>
      <c r="E1178" s="1">
        <v>12.9283938</v>
      </c>
      <c r="F1178" s="1">
        <v>80.1155086</v>
      </c>
      <c r="G1178" s="1" t="s">
        <v>2112</v>
      </c>
      <c r="H1178" s="1" t="s">
        <v>2113</v>
      </c>
      <c r="J1178" s="1" t="s">
        <v>56</v>
      </c>
      <c r="P1178" s="1" t="s">
        <v>1098</v>
      </c>
      <c r="Q1178" s="1" t="s">
        <v>1099</v>
      </c>
      <c r="R1178" s="1">
        <v>0.0</v>
      </c>
      <c r="S1178" s="1"/>
    </row>
    <row r="1179" ht="15.75" customHeight="1">
      <c r="A1179" s="1" t="s">
        <v>2882</v>
      </c>
      <c r="B1179" s="1" t="s">
        <v>2883</v>
      </c>
      <c r="C1179" s="1" t="s">
        <v>1112</v>
      </c>
      <c r="E1179" s="1">
        <v>13.0327115</v>
      </c>
      <c r="F1179" s="1">
        <v>80.23040739999999</v>
      </c>
      <c r="G1179" s="1" t="s">
        <v>2112</v>
      </c>
      <c r="H1179" s="1" t="s">
        <v>2113</v>
      </c>
      <c r="J1179" s="1" t="s">
        <v>56</v>
      </c>
      <c r="P1179" s="1" t="s">
        <v>1098</v>
      </c>
      <c r="Q1179" s="1" t="s">
        <v>1099</v>
      </c>
      <c r="R1179" s="1">
        <v>0.0</v>
      </c>
      <c r="S1179" s="1"/>
    </row>
    <row r="1180" ht="15.75" customHeight="1">
      <c r="A1180" s="1" t="s">
        <v>2884</v>
      </c>
      <c r="B1180" s="1" t="s">
        <v>2885</v>
      </c>
      <c r="C1180" s="1" t="s">
        <v>1112</v>
      </c>
      <c r="E1180" s="1">
        <v>13.0154555</v>
      </c>
      <c r="F1180" s="1">
        <v>80.22562479999999</v>
      </c>
      <c r="G1180" s="1" t="s">
        <v>2112</v>
      </c>
      <c r="H1180" s="1" t="s">
        <v>2113</v>
      </c>
      <c r="J1180" s="1" t="s">
        <v>56</v>
      </c>
      <c r="P1180" s="1" t="s">
        <v>1098</v>
      </c>
      <c r="Q1180" s="1" t="s">
        <v>1099</v>
      </c>
      <c r="R1180" s="1">
        <v>0.0</v>
      </c>
      <c r="S1180" s="1"/>
    </row>
    <row r="1181" ht="15.75" customHeight="1">
      <c r="A1181" s="1" t="s">
        <v>2886</v>
      </c>
      <c r="B1181" s="1" t="s">
        <v>2887</v>
      </c>
      <c r="C1181" s="1" t="s">
        <v>1112</v>
      </c>
      <c r="E1181" s="1">
        <v>13.0327115</v>
      </c>
      <c r="F1181" s="1">
        <v>80.23040739999999</v>
      </c>
      <c r="G1181" s="1" t="s">
        <v>2112</v>
      </c>
      <c r="H1181" s="1" t="s">
        <v>2113</v>
      </c>
      <c r="J1181" s="1" t="s">
        <v>56</v>
      </c>
      <c r="P1181" s="1" t="s">
        <v>1098</v>
      </c>
      <c r="Q1181" s="1" t="s">
        <v>1099</v>
      </c>
      <c r="R1181" s="1">
        <v>0.0</v>
      </c>
      <c r="S1181" s="1"/>
    </row>
    <row r="1182" ht="15.75" customHeight="1">
      <c r="A1182" s="1" t="s">
        <v>2888</v>
      </c>
      <c r="B1182" s="1" t="s">
        <v>2889</v>
      </c>
      <c r="C1182" s="1" t="s">
        <v>1112</v>
      </c>
      <c r="E1182" s="1">
        <v>13.0665343</v>
      </c>
      <c r="F1182" s="1">
        <v>80.23071259999999</v>
      </c>
      <c r="G1182" s="1" t="s">
        <v>2112</v>
      </c>
      <c r="H1182" s="1" t="s">
        <v>2113</v>
      </c>
      <c r="J1182" s="1" t="s">
        <v>56</v>
      </c>
      <c r="P1182" s="1" t="s">
        <v>1098</v>
      </c>
      <c r="Q1182" s="1" t="s">
        <v>1099</v>
      </c>
      <c r="R1182" s="1">
        <v>0.0</v>
      </c>
      <c r="S1182" s="1"/>
    </row>
    <row r="1183" ht="15.75" customHeight="1">
      <c r="A1183" s="1" t="s">
        <v>2890</v>
      </c>
      <c r="B1183" s="1" t="s">
        <v>2891</v>
      </c>
      <c r="C1183" s="1" t="s">
        <v>497</v>
      </c>
      <c r="E1183" s="1">
        <v>25.5846549</v>
      </c>
      <c r="F1183" s="1">
        <v>85.1430063</v>
      </c>
      <c r="G1183" s="1" t="s">
        <v>54</v>
      </c>
      <c r="H1183" s="1" t="s">
        <v>55</v>
      </c>
      <c r="J1183" s="1" t="s">
        <v>56</v>
      </c>
      <c r="K1183" s="1" t="s">
        <v>2892</v>
      </c>
      <c r="L1183" s="1" t="s">
        <v>27</v>
      </c>
      <c r="N1183" s="1" t="s">
        <v>498</v>
      </c>
      <c r="O1183" s="1" t="s">
        <v>57</v>
      </c>
      <c r="P1183" s="1" t="s">
        <v>733</v>
      </c>
      <c r="Q1183" s="1" t="s">
        <v>734</v>
      </c>
      <c r="R1183" s="1">
        <v>0.0</v>
      </c>
      <c r="S1183" s="1"/>
    </row>
    <row r="1184" ht="15.75" customHeight="1">
      <c r="A1184" s="1" t="s">
        <v>2893</v>
      </c>
      <c r="B1184" s="1" t="s">
        <v>2894</v>
      </c>
      <c r="C1184" s="1" t="s">
        <v>497</v>
      </c>
      <c r="E1184" s="1">
        <v>25.62387</v>
      </c>
      <c r="F1184" s="1">
        <v>85.0418186</v>
      </c>
      <c r="G1184" s="1" t="s">
        <v>54</v>
      </c>
      <c r="H1184" s="1" t="s">
        <v>55</v>
      </c>
      <c r="J1184" s="1" t="s">
        <v>56</v>
      </c>
      <c r="K1184" s="1" t="s">
        <v>2892</v>
      </c>
      <c r="L1184" s="1" t="s">
        <v>27</v>
      </c>
      <c r="N1184" s="1" t="s">
        <v>498</v>
      </c>
      <c r="O1184" s="1" t="s">
        <v>57</v>
      </c>
      <c r="P1184" s="1" t="s">
        <v>733</v>
      </c>
      <c r="Q1184" s="1" t="s">
        <v>734</v>
      </c>
      <c r="R1184" s="1">
        <v>0.0</v>
      </c>
      <c r="S1184" s="1"/>
    </row>
    <row r="1185" ht="15.75" customHeight="1">
      <c r="A1185" s="1" t="s">
        <v>2895</v>
      </c>
      <c r="B1185" s="1" t="s">
        <v>2896</v>
      </c>
      <c r="C1185" s="1" t="s">
        <v>2897</v>
      </c>
      <c r="E1185" s="1">
        <v>25.782507</v>
      </c>
      <c r="F1185" s="1">
        <v>87.4630256</v>
      </c>
      <c r="G1185" s="1" t="s">
        <v>54</v>
      </c>
      <c r="H1185" s="1" t="s">
        <v>55</v>
      </c>
      <c r="J1185" s="1" t="s">
        <v>56</v>
      </c>
      <c r="K1185" s="1" t="s">
        <v>2892</v>
      </c>
      <c r="L1185" s="1" t="s">
        <v>27</v>
      </c>
      <c r="N1185" s="1" t="s">
        <v>498</v>
      </c>
      <c r="O1185" s="1" t="s">
        <v>57</v>
      </c>
      <c r="P1185" s="1" t="s">
        <v>733</v>
      </c>
      <c r="Q1185" s="1" t="s">
        <v>734</v>
      </c>
      <c r="R1185" s="1">
        <v>0.0</v>
      </c>
      <c r="S1185" s="1"/>
    </row>
    <row r="1186" ht="15.75" customHeight="1">
      <c r="A1186" s="1" t="s">
        <v>2898</v>
      </c>
      <c r="B1186" s="1" t="s">
        <v>2899</v>
      </c>
      <c r="C1186" s="1" t="s">
        <v>2900</v>
      </c>
      <c r="E1186" s="1">
        <v>25.62387</v>
      </c>
      <c r="F1186" s="1">
        <v>85.0418186</v>
      </c>
      <c r="G1186" s="1" t="s">
        <v>54</v>
      </c>
      <c r="H1186" s="1" t="s">
        <v>55</v>
      </c>
      <c r="J1186" s="1" t="s">
        <v>56</v>
      </c>
      <c r="K1186" s="1" t="s">
        <v>2892</v>
      </c>
      <c r="L1186" s="1" t="s">
        <v>27</v>
      </c>
      <c r="N1186" s="1" t="s">
        <v>498</v>
      </c>
      <c r="O1186" s="1" t="s">
        <v>57</v>
      </c>
      <c r="P1186" s="1" t="s">
        <v>733</v>
      </c>
      <c r="Q1186" s="1" t="s">
        <v>734</v>
      </c>
      <c r="R1186" s="1">
        <v>0.0</v>
      </c>
      <c r="S1186" s="1"/>
    </row>
    <row r="1187" ht="15.75" customHeight="1">
      <c r="A1187" s="1" t="s">
        <v>2901</v>
      </c>
      <c r="B1187" s="1" t="s">
        <v>2902</v>
      </c>
      <c r="C1187" s="1" t="s">
        <v>2903</v>
      </c>
      <c r="E1187" s="1">
        <v>24.9544207</v>
      </c>
      <c r="F1187" s="1">
        <v>84.0163774</v>
      </c>
      <c r="G1187" s="1" t="s">
        <v>54</v>
      </c>
      <c r="H1187" s="1" t="s">
        <v>55</v>
      </c>
      <c r="J1187" s="1" t="s">
        <v>44</v>
      </c>
      <c r="K1187" s="1" t="s">
        <v>2892</v>
      </c>
      <c r="L1187" s="1" t="s">
        <v>27</v>
      </c>
      <c r="N1187" s="1" t="s">
        <v>498</v>
      </c>
      <c r="O1187" s="1" t="s">
        <v>57</v>
      </c>
      <c r="P1187" s="1" t="s">
        <v>733</v>
      </c>
      <c r="Q1187" s="1" t="s">
        <v>734</v>
      </c>
      <c r="R1187" s="1">
        <v>0.0</v>
      </c>
      <c r="S1187" s="1"/>
    </row>
    <row r="1188" ht="15.75" customHeight="1">
      <c r="A1188" s="1" t="s">
        <v>2904</v>
      </c>
      <c r="B1188" s="1" t="s">
        <v>2905</v>
      </c>
      <c r="C1188" s="1" t="s">
        <v>2900</v>
      </c>
      <c r="E1188" s="1">
        <v>25.8824236</v>
      </c>
      <c r="F1188" s="1">
        <v>85.0292782</v>
      </c>
      <c r="G1188" s="1" t="s">
        <v>54</v>
      </c>
      <c r="H1188" s="1" t="s">
        <v>55</v>
      </c>
      <c r="J1188" s="1" t="s">
        <v>56</v>
      </c>
      <c r="K1188" s="1" t="s">
        <v>2892</v>
      </c>
      <c r="L1188" s="1" t="s">
        <v>27</v>
      </c>
      <c r="N1188" s="1" t="s">
        <v>498</v>
      </c>
      <c r="O1188" s="1" t="s">
        <v>57</v>
      </c>
      <c r="P1188" s="1" t="s">
        <v>733</v>
      </c>
      <c r="Q1188" s="1" t="s">
        <v>734</v>
      </c>
      <c r="R1188" s="1">
        <v>0.0</v>
      </c>
      <c r="S1188" s="1"/>
    </row>
    <row r="1189" ht="15.75" customHeight="1">
      <c r="A1189" s="1" t="s">
        <v>2906</v>
      </c>
      <c r="B1189" s="1" t="s">
        <v>2907</v>
      </c>
      <c r="C1189" s="1" t="s">
        <v>497</v>
      </c>
      <c r="E1189" s="1">
        <v>25.6100144</v>
      </c>
      <c r="F1189" s="1">
        <v>85.1177635</v>
      </c>
      <c r="G1189" s="1" t="s">
        <v>54</v>
      </c>
      <c r="H1189" s="1" t="s">
        <v>55</v>
      </c>
      <c r="J1189" s="1" t="s">
        <v>56</v>
      </c>
      <c r="K1189" s="1" t="s">
        <v>2892</v>
      </c>
      <c r="L1189" s="1" t="s">
        <v>27</v>
      </c>
      <c r="N1189" s="1" t="s">
        <v>498</v>
      </c>
      <c r="O1189" s="1" t="s">
        <v>57</v>
      </c>
      <c r="P1189" s="1" t="s">
        <v>733</v>
      </c>
      <c r="Q1189" s="1" t="s">
        <v>734</v>
      </c>
      <c r="R1189" s="1">
        <v>0.0</v>
      </c>
      <c r="S1189" s="1"/>
    </row>
    <row r="1190" ht="15.75" customHeight="1">
      <c r="A1190" s="1" t="s">
        <v>2908</v>
      </c>
      <c r="B1190" s="1" t="s">
        <v>2909</v>
      </c>
      <c r="C1190" s="1" t="s">
        <v>2910</v>
      </c>
      <c r="E1190" s="1">
        <v>26.6574827</v>
      </c>
      <c r="F1190" s="1">
        <v>84.92007350000002</v>
      </c>
      <c r="G1190" s="1" t="s">
        <v>54</v>
      </c>
      <c r="H1190" s="1" t="s">
        <v>55</v>
      </c>
      <c r="J1190" s="1" t="s">
        <v>56</v>
      </c>
      <c r="K1190" s="1" t="s">
        <v>2892</v>
      </c>
      <c r="L1190" s="1" t="s">
        <v>27</v>
      </c>
      <c r="N1190" s="1" t="s">
        <v>498</v>
      </c>
      <c r="O1190" s="1" t="s">
        <v>57</v>
      </c>
      <c r="P1190" s="1" t="s">
        <v>733</v>
      </c>
      <c r="Q1190" s="1" t="s">
        <v>734</v>
      </c>
      <c r="R1190" s="1">
        <v>0.0</v>
      </c>
      <c r="S1190" s="1"/>
    </row>
    <row r="1191" ht="15.75" customHeight="1">
      <c r="A1191" s="1" t="s">
        <v>2911</v>
      </c>
      <c r="B1191" s="1" t="s">
        <v>2912</v>
      </c>
      <c r="C1191" s="1" t="s">
        <v>2913</v>
      </c>
      <c r="E1191" s="1">
        <v>25.173206</v>
      </c>
      <c r="F1191" s="1">
        <v>86.095468</v>
      </c>
      <c r="G1191" s="1" t="s">
        <v>54</v>
      </c>
      <c r="H1191" s="1" t="s">
        <v>55</v>
      </c>
      <c r="J1191" s="1" t="s">
        <v>118</v>
      </c>
      <c r="K1191" s="1" t="s">
        <v>2892</v>
      </c>
      <c r="L1191" s="1" t="s">
        <v>27</v>
      </c>
      <c r="N1191" s="1" t="s">
        <v>498</v>
      </c>
      <c r="O1191" s="1" t="s">
        <v>57</v>
      </c>
      <c r="P1191" s="1" t="s">
        <v>733</v>
      </c>
      <c r="Q1191" s="1" t="s">
        <v>734</v>
      </c>
      <c r="R1191" s="1">
        <v>0.0</v>
      </c>
      <c r="S1191" s="1"/>
    </row>
    <row r="1192" ht="15.75" customHeight="1">
      <c r="A1192" s="1" t="s">
        <v>2914</v>
      </c>
      <c r="B1192" s="1" t="s">
        <v>2915</v>
      </c>
      <c r="C1192" s="1" t="s">
        <v>497</v>
      </c>
      <c r="E1192" s="1">
        <v>25.62387</v>
      </c>
      <c r="F1192" s="1">
        <v>85.0418186</v>
      </c>
      <c r="G1192" s="1" t="s">
        <v>54</v>
      </c>
      <c r="H1192" s="1" t="s">
        <v>55</v>
      </c>
      <c r="J1192" s="1" t="s">
        <v>56</v>
      </c>
      <c r="K1192" s="1" t="s">
        <v>2892</v>
      </c>
      <c r="L1192" s="1" t="s">
        <v>27</v>
      </c>
      <c r="N1192" s="1" t="s">
        <v>498</v>
      </c>
      <c r="O1192" s="1" t="s">
        <v>57</v>
      </c>
      <c r="P1192" s="1" t="s">
        <v>733</v>
      </c>
      <c r="Q1192" s="1" t="s">
        <v>734</v>
      </c>
      <c r="R1192" s="1">
        <v>0.0</v>
      </c>
      <c r="S1192" s="1"/>
    </row>
    <row r="1193" ht="15.75" customHeight="1">
      <c r="A1193" s="1" t="s">
        <v>2916</v>
      </c>
      <c r="B1193" s="1" t="s">
        <v>2917</v>
      </c>
      <c r="C1193" s="1" t="s">
        <v>549</v>
      </c>
      <c r="E1193" s="1">
        <v>30.7398061</v>
      </c>
      <c r="F1193" s="1">
        <v>76.7825045</v>
      </c>
      <c r="G1193" s="1" t="s">
        <v>54</v>
      </c>
      <c r="H1193" s="1" t="s">
        <v>55</v>
      </c>
      <c r="J1193" s="1" t="s">
        <v>56</v>
      </c>
      <c r="K1193" s="1" t="s">
        <v>2892</v>
      </c>
      <c r="L1193" s="1" t="s">
        <v>27</v>
      </c>
      <c r="N1193" s="1" t="s">
        <v>549</v>
      </c>
      <c r="O1193" s="1" t="s">
        <v>57</v>
      </c>
      <c r="P1193" s="1" t="s">
        <v>938</v>
      </c>
      <c r="Q1193" s="1" t="s">
        <v>939</v>
      </c>
      <c r="R1193" s="1">
        <v>0.0</v>
      </c>
      <c r="S1193" s="1"/>
    </row>
    <row r="1194" ht="15.75" customHeight="1">
      <c r="A1194" s="1" t="s">
        <v>2918</v>
      </c>
      <c r="B1194" s="1" t="s">
        <v>2919</v>
      </c>
      <c r="C1194" s="1" t="s">
        <v>174</v>
      </c>
      <c r="E1194" s="1">
        <v>28.5374512</v>
      </c>
      <c r="F1194" s="1">
        <v>77.2131321</v>
      </c>
      <c r="G1194" s="1" t="s">
        <v>54</v>
      </c>
      <c r="H1194" s="1" t="s">
        <v>55</v>
      </c>
      <c r="J1194" s="1" t="s">
        <v>56</v>
      </c>
      <c r="K1194" s="1" t="s">
        <v>2892</v>
      </c>
      <c r="L1194" s="1" t="s">
        <v>27</v>
      </c>
      <c r="N1194" s="1" t="s">
        <v>174</v>
      </c>
      <c r="O1194" s="1" t="s">
        <v>29</v>
      </c>
      <c r="P1194" s="1" t="s">
        <v>1749</v>
      </c>
      <c r="Q1194" s="1" t="s">
        <v>1750</v>
      </c>
      <c r="R1194" s="1">
        <v>3.0</v>
      </c>
      <c r="S1194" s="1"/>
    </row>
    <row r="1195" ht="15.75" customHeight="1">
      <c r="A1195" s="1" t="s">
        <v>2920</v>
      </c>
      <c r="B1195" s="1" t="s">
        <v>2921</v>
      </c>
      <c r="C1195" s="1" t="s">
        <v>174</v>
      </c>
      <c r="E1195" s="1">
        <v>28.5601049</v>
      </c>
      <c r="F1195" s="1">
        <v>77.2068769</v>
      </c>
      <c r="G1195" s="1" t="s">
        <v>54</v>
      </c>
      <c r="H1195" s="1" t="s">
        <v>55</v>
      </c>
      <c r="J1195" s="1" t="s">
        <v>56</v>
      </c>
      <c r="K1195" s="1" t="s">
        <v>2892</v>
      </c>
      <c r="L1195" s="1" t="s">
        <v>27</v>
      </c>
      <c r="N1195" s="1" t="s">
        <v>174</v>
      </c>
      <c r="O1195" s="1" t="s">
        <v>29</v>
      </c>
      <c r="P1195" s="1" t="s">
        <v>1749</v>
      </c>
      <c r="Q1195" s="1" t="s">
        <v>1750</v>
      </c>
      <c r="R1195" s="1">
        <v>4.0</v>
      </c>
      <c r="S1195" s="1"/>
    </row>
    <row r="1196" ht="15.75" customHeight="1">
      <c r="A1196" s="1" t="s">
        <v>2922</v>
      </c>
      <c r="B1196" s="1" t="s">
        <v>2923</v>
      </c>
      <c r="C1196" s="1" t="s">
        <v>174</v>
      </c>
      <c r="E1196" s="1">
        <v>28.6470895</v>
      </c>
      <c r="F1196" s="1">
        <v>77.2401306</v>
      </c>
      <c r="G1196" s="1" t="s">
        <v>54</v>
      </c>
      <c r="H1196" s="1" t="s">
        <v>55</v>
      </c>
      <c r="J1196" s="1" t="s">
        <v>118</v>
      </c>
      <c r="K1196" s="1" t="s">
        <v>2892</v>
      </c>
      <c r="L1196" s="1" t="s">
        <v>27</v>
      </c>
      <c r="N1196" s="1" t="s">
        <v>174</v>
      </c>
      <c r="O1196" s="1" t="s">
        <v>57</v>
      </c>
      <c r="P1196" s="1" t="s">
        <v>1749</v>
      </c>
      <c r="Q1196" s="1" t="s">
        <v>1750</v>
      </c>
      <c r="R1196" s="1">
        <v>0.0</v>
      </c>
      <c r="S1196" s="1"/>
    </row>
    <row r="1197" ht="15.75" customHeight="1">
      <c r="A1197" s="1" t="s">
        <v>2924</v>
      </c>
      <c r="B1197" s="1" t="s">
        <v>2925</v>
      </c>
      <c r="C1197" s="1" t="s">
        <v>174</v>
      </c>
      <c r="E1197" s="1">
        <v>28.649377</v>
      </c>
      <c r="F1197" s="1">
        <v>77.1905025</v>
      </c>
      <c r="G1197" s="1" t="s">
        <v>54</v>
      </c>
      <c r="H1197" s="1" t="s">
        <v>55</v>
      </c>
      <c r="J1197" s="1" t="s">
        <v>56</v>
      </c>
      <c r="K1197" s="1" t="s">
        <v>2892</v>
      </c>
      <c r="L1197" s="1" t="s">
        <v>27</v>
      </c>
      <c r="N1197" s="1" t="s">
        <v>174</v>
      </c>
      <c r="O1197" s="1" t="s">
        <v>57</v>
      </c>
      <c r="P1197" s="1" t="s">
        <v>1749</v>
      </c>
      <c r="Q1197" s="1" t="s">
        <v>1750</v>
      </c>
      <c r="R1197" s="1">
        <v>2.0</v>
      </c>
      <c r="S1197" s="1"/>
    </row>
    <row r="1198" ht="15.75" customHeight="1">
      <c r="A1198" s="1" t="s">
        <v>2926</v>
      </c>
      <c r="B1198" s="1" t="s">
        <v>2927</v>
      </c>
      <c r="C1198" s="1" t="s">
        <v>174</v>
      </c>
      <c r="E1198" s="1">
        <v>28.541889</v>
      </c>
      <c r="F1198" s="1">
        <v>77.254543</v>
      </c>
      <c r="G1198" s="1" t="s">
        <v>54</v>
      </c>
      <c r="H1198" s="1" t="s">
        <v>55</v>
      </c>
      <c r="J1198" s="1" t="s">
        <v>118</v>
      </c>
      <c r="K1198" s="1" t="s">
        <v>2892</v>
      </c>
      <c r="L1198" s="1" t="s">
        <v>27</v>
      </c>
      <c r="N1198" s="1" t="s">
        <v>174</v>
      </c>
      <c r="O1198" s="1" t="s">
        <v>57</v>
      </c>
      <c r="P1198" s="1" t="s">
        <v>1749</v>
      </c>
      <c r="Q1198" s="1" t="s">
        <v>1750</v>
      </c>
      <c r="R1198" s="1">
        <v>1.0</v>
      </c>
      <c r="S1198" s="1"/>
    </row>
    <row r="1199" ht="15.75" customHeight="1">
      <c r="A1199" s="1" t="s">
        <v>2928</v>
      </c>
      <c r="B1199" s="1" t="s">
        <v>2929</v>
      </c>
      <c r="C1199" s="1" t="s">
        <v>174</v>
      </c>
      <c r="E1199" s="1">
        <v>28.5818465</v>
      </c>
      <c r="F1199" s="1">
        <v>77.2474939</v>
      </c>
      <c r="G1199" s="1" t="s">
        <v>54</v>
      </c>
      <c r="H1199" s="1" t="s">
        <v>55</v>
      </c>
      <c r="J1199" s="1" t="s">
        <v>118</v>
      </c>
      <c r="K1199" s="1" t="s">
        <v>2892</v>
      </c>
      <c r="L1199" s="1" t="s">
        <v>27</v>
      </c>
      <c r="N1199" s="1" t="s">
        <v>174</v>
      </c>
      <c r="O1199" s="1" t="s">
        <v>57</v>
      </c>
      <c r="P1199" s="1" t="s">
        <v>1749</v>
      </c>
      <c r="Q1199" s="1" t="s">
        <v>1750</v>
      </c>
      <c r="R1199" s="1">
        <v>0.0</v>
      </c>
      <c r="S1199" s="1"/>
    </row>
    <row r="1200" ht="15.75" customHeight="1">
      <c r="A1200" s="1" t="s">
        <v>2930</v>
      </c>
      <c r="B1200" s="1" t="s">
        <v>2931</v>
      </c>
      <c r="C1200" s="1" t="s">
        <v>174</v>
      </c>
      <c r="E1200" s="1">
        <v>28.5560751</v>
      </c>
      <c r="F1200" s="1">
        <v>77.1751661</v>
      </c>
      <c r="G1200" s="1" t="s">
        <v>54</v>
      </c>
      <c r="H1200" s="1" t="s">
        <v>55</v>
      </c>
      <c r="J1200" s="1" t="s">
        <v>56</v>
      </c>
      <c r="K1200" s="1" t="s">
        <v>2892</v>
      </c>
      <c r="L1200" s="1" t="s">
        <v>27</v>
      </c>
      <c r="N1200" s="1" t="s">
        <v>174</v>
      </c>
      <c r="O1200" s="1" t="s">
        <v>29</v>
      </c>
      <c r="P1200" s="1" t="s">
        <v>1749</v>
      </c>
      <c r="Q1200" s="1" t="s">
        <v>1750</v>
      </c>
      <c r="R1200" s="1">
        <v>2.0</v>
      </c>
      <c r="S1200" s="1"/>
    </row>
    <row r="1201" ht="15.75" customHeight="1">
      <c r="A1201" s="1" t="s">
        <v>2932</v>
      </c>
      <c r="B1201" s="1" t="s">
        <v>2933</v>
      </c>
      <c r="C1201" s="1" t="s">
        <v>174</v>
      </c>
      <c r="E1201" s="1">
        <v>28.5423564</v>
      </c>
      <c r="F1201" s="1">
        <v>77.2536271</v>
      </c>
      <c r="G1201" s="1" t="s">
        <v>54</v>
      </c>
      <c r="H1201" s="1" t="s">
        <v>55</v>
      </c>
      <c r="J1201" s="1" t="s">
        <v>56</v>
      </c>
      <c r="K1201" s="1" t="s">
        <v>2892</v>
      </c>
      <c r="L1201" s="1" t="s">
        <v>27</v>
      </c>
      <c r="N1201" s="1" t="s">
        <v>174</v>
      </c>
      <c r="O1201" s="1" t="s">
        <v>57</v>
      </c>
      <c r="P1201" s="1" t="s">
        <v>1749</v>
      </c>
      <c r="Q1201" s="1" t="s">
        <v>1750</v>
      </c>
      <c r="R1201" s="1">
        <v>4.0</v>
      </c>
      <c r="S1201" s="1"/>
    </row>
    <row r="1202" ht="15.75" customHeight="1">
      <c r="A1202" s="1" t="s">
        <v>2934</v>
      </c>
      <c r="B1202" s="1" t="s">
        <v>2935</v>
      </c>
      <c r="C1202" s="1" t="s">
        <v>174</v>
      </c>
      <c r="E1202" s="1">
        <v>28.5489171</v>
      </c>
      <c r="F1202" s="1">
        <v>77.2525466</v>
      </c>
      <c r="G1202" s="1" t="s">
        <v>54</v>
      </c>
      <c r="H1202" s="1" t="s">
        <v>55</v>
      </c>
      <c r="J1202" s="1" t="s">
        <v>118</v>
      </c>
      <c r="K1202" s="1" t="s">
        <v>2892</v>
      </c>
      <c r="L1202" s="1" t="s">
        <v>27</v>
      </c>
      <c r="N1202" s="1" t="s">
        <v>174</v>
      </c>
      <c r="O1202" s="1" t="s">
        <v>29</v>
      </c>
      <c r="P1202" s="1" t="s">
        <v>1749</v>
      </c>
      <c r="Q1202" s="1" t="s">
        <v>1750</v>
      </c>
      <c r="R1202" s="1">
        <v>4.0</v>
      </c>
      <c r="S1202" s="1"/>
    </row>
    <row r="1203" ht="15.75" customHeight="1">
      <c r="A1203" s="1" t="s">
        <v>2936</v>
      </c>
      <c r="B1203" s="1" t="s">
        <v>2937</v>
      </c>
      <c r="C1203" s="1" t="s">
        <v>174</v>
      </c>
      <c r="E1203" s="1">
        <v>28.5490526</v>
      </c>
      <c r="F1203" s="1">
        <v>77.2516061</v>
      </c>
      <c r="G1203" s="1" t="s">
        <v>54</v>
      </c>
      <c r="H1203" s="1" t="s">
        <v>55</v>
      </c>
      <c r="J1203" s="1" t="s">
        <v>44</v>
      </c>
      <c r="K1203" s="1" t="s">
        <v>2892</v>
      </c>
      <c r="L1203" s="1" t="s">
        <v>27</v>
      </c>
      <c r="N1203" s="1" t="s">
        <v>174</v>
      </c>
      <c r="O1203" s="1" t="s">
        <v>29</v>
      </c>
      <c r="P1203" s="1" t="s">
        <v>1749</v>
      </c>
      <c r="Q1203" s="1" t="s">
        <v>1750</v>
      </c>
      <c r="R1203" s="1">
        <v>3.0</v>
      </c>
      <c r="S1203" s="1"/>
    </row>
    <row r="1204" ht="15.75" customHeight="1">
      <c r="A1204" s="1" t="s">
        <v>2938</v>
      </c>
      <c r="B1204" s="1" t="s">
        <v>2939</v>
      </c>
      <c r="C1204" s="1" t="s">
        <v>174</v>
      </c>
      <c r="E1204" s="1">
        <v>28.5236406</v>
      </c>
      <c r="F1204" s="1">
        <v>77.20729</v>
      </c>
      <c r="G1204" s="1" t="s">
        <v>54</v>
      </c>
      <c r="H1204" s="1" t="s">
        <v>55</v>
      </c>
      <c r="J1204" s="1" t="s">
        <v>118</v>
      </c>
      <c r="K1204" s="1" t="s">
        <v>2892</v>
      </c>
      <c r="L1204" s="1" t="s">
        <v>27</v>
      </c>
      <c r="N1204" s="1" t="s">
        <v>174</v>
      </c>
      <c r="O1204" s="1" t="s">
        <v>29</v>
      </c>
      <c r="P1204" s="1" t="s">
        <v>1902</v>
      </c>
      <c r="Q1204" s="1" t="s">
        <v>1903</v>
      </c>
      <c r="R1204" s="1">
        <v>8.0</v>
      </c>
      <c r="S1204" s="1"/>
    </row>
    <row r="1205" ht="15.75" customHeight="1">
      <c r="A1205" s="1" t="s">
        <v>2940</v>
      </c>
      <c r="B1205" s="1" t="s">
        <v>2941</v>
      </c>
      <c r="C1205" s="1" t="s">
        <v>174</v>
      </c>
      <c r="E1205" s="1">
        <v>28.6314327</v>
      </c>
      <c r="F1205" s="1">
        <v>77.27846319999999</v>
      </c>
      <c r="G1205" s="1" t="s">
        <v>54</v>
      </c>
      <c r="H1205" s="1" t="s">
        <v>55</v>
      </c>
      <c r="J1205" s="1" t="s">
        <v>56</v>
      </c>
      <c r="K1205" s="1" t="s">
        <v>2892</v>
      </c>
      <c r="L1205" s="1" t="s">
        <v>27</v>
      </c>
      <c r="N1205" s="1" t="s">
        <v>174</v>
      </c>
      <c r="O1205" s="1" t="s">
        <v>29</v>
      </c>
      <c r="P1205" s="1" t="s">
        <v>1749</v>
      </c>
      <c r="Q1205" s="1" t="s">
        <v>1750</v>
      </c>
      <c r="R1205" s="1">
        <v>10.0</v>
      </c>
      <c r="S1205" s="1"/>
    </row>
    <row r="1206" ht="15.75" customHeight="1">
      <c r="A1206" s="1" t="s">
        <v>2942</v>
      </c>
      <c r="B1206" s="1" t="s">
        <v>2943</v>
      </c>
      <c r="C1206" s="1" t="s">
        <v>174</v>
      </c>
      <c r="E1206" s="1">
        <v>28.6892487</v>
      </c>
      <c r="F1206" s="1">
        <v>77.2930611</v>
      </c>
      <c r="G1206" s="1" t="s">
        <v>54</v>
      </c>
      <c r="H1206" s="1" t="s">
        <v>55</v>
      </c>
      <c r="J1206" s="1" t="s">
        <v>56</v>
      </c>
      <c r="K1206" s="1" t="s">
        <v>2892</v>
      </c>
      <c r="L1206" s="1" t="s">
        <v>27</v>
      </c>
      <c r="N1206" s="1" t="s">
        <v>174</v>
      </c>
      <c r="O1206" s="1" t="s">
        <v>57</v>
      </c>
      <c r="P1206" s="1" t="s">
        <v>1749</v>
      </c>
      <c r="Q1206" s="1" t="s">
        <v>1750</v>
      </c>
      <c r="R1206" s="1">
        <v>0.0</v>
      </c>
      <c r="S1206" s="1"/>
    </row>
    <row r="1207" ht="15.75" customHeight="1">
      <c r="A1207" s="1" t="s">
        <v>2944</v>
      </c>
      <c r="B1207" s="1" t="s">
        <v>2945</v>
      </c>
      <c r="C1207" s="1" t="s">
        <v>174</v>
      </c>
      <c r="E1207" s="1">
        <v>28.6001027</v>
      </c>
      <c r="F1207" s="1">
        <v>77.3179277</v>
      </c>
      <c r="G1207" s="1" t="s">
        <v>54</v>
      </c>
      <c r="H1207" s="1" t="s">
        <v>55</v>
      </c>
      <c r="J1207" s="1" t="s">
        <v>44</v>
      </c>
      <c r="K1207" s="1" t="s">
        <v>2892</v>
      </c>
      <c r="L1207" s="1" t="s">
        <v>27</v>
      </c>
      <c r="N1207" s="1" t="s">
        <v>174</v>
      </c>
      <c r="O1207" s="1" t="s">
        <v>57</v>
      </c>
      <c r="P1207" s="1" t="s">
        <v>1749</v>
      </c>
      <c r="Q1207" s="1" t="s">
        <v>1750</v>
      </c>
      <c r="R1207" s="1">
        <v>0.0</v>
      </c>
      <c r="S1207" s="1"/>
    </row>
    <row r="1208" ht="15.75" customHeight="1">
      <c r="A1208" s="1" t="s">
        <v>2946</v>
      </c>
      <c r="B1208" s="1" t="s">
        <v>2947</v>
      </c>
      <c r="C1208" s="1" t="s">
        <v>174</v>
      </c>
      <c r="E1208" s="1">
        <v>28.7031832</v>
      </c>
      <c r="F1208" s="1">
        <v>77.26433910000002</v>
      </c>
      <c r="G1208" s="1" t="s">
        <v>54</v>
      </c>
      <c r="H1208" s="1" t="s">
        <v>55</v>
      </c>
      <c r="J1208" s="1" t="s">
        <v>56</v>
      </c>
      <c r="K1208" s="1" t="s">
        <v>2892</v>
      </c>
      <c r="L1208" s="1" t="s">
        <v>27</v>
      </c>
      <c r="N1208" s="1" t="s">
        <v>174</v>
      </c>
      <c r="O1208" s="1" t="s">
        <v>57</v>
      </c>
      <c r="P1208" s="1" t="s">
        <v>1749</v>
      </c>
      <c r="Q1208" s="1" t="s">
        <v>1750</v>
      </c>
      <c r="R1208" s="1">
        <v>1.0</v>
      </c>
      <c r="S1208" s="1"/>
    </row>
    <row r="1209" ht="15.75" customHeight="1">
      <c r="A1209" s="1" t="s">
        <v>2948</v>
      </c>
      <c r="B1209" s="1" t="s">
        <v>2949</v>
      </c>
      <c r="C1209" s="1" t="s">
        <v>174</v>
      </c>
      <c r="E1209" s="1">
        <v>28.6307087</v>
      </c>
      <c r="F1209" s="1">
        <v>77.2775913</v>
      </c>
      <c r="G1209" s="1" t="s">
        <v>54</v>
      </c>
      <c r="H1209" s="1" t="s">
        <v>55</v>
      </c>
      <c r="J1209" s="1" t="s">
        <v>56</v>
      </c>
      <c r="K1209" s="1" t="s">
        <v>2892</v>
      </c>
      <c r="L1209" s="1" t="s">
        <v>27</v>
      </c>
      <c r="N1209" s="1" t="s">
        <v>174</v>
      </c>
      <c r="O1209" s="1" t="s">
        <v>29</v>
      </c>
      <c r="P1209" s="1" t="s">
        <v>1749</v>
      </c>
      <c r="Q1209" s="1" t="s">
        <v>1750</v>
      </c>
      <c r="R1209" s="1">
        <v>5.0</v>
      </c>
      <c r="S1209" s="1"/>
    </row>
    <row r="1210" ht="15.75" customHeight="1">
      <c r="A1210" s="1" t="s">
        <v>2950</v>
      </c>
      <c r="B1210" s="1" t="s">
        <v>2951</v>
      </c>
      <c r="C1210" s="1" t="s">
        <v>174</v>
      </c>
      <c r="E1210" s="1">
        <v>28.6322172</v>
      </c>
      <c r="F1210" s="1">
        <v>77.2793817</v>
      </c>
      <c r="G1210" s="1" t="s">
        <v>54</v>
      </c>
      <c r="H1210" s="1" t="s">
        <v>55</v>
      </c>
      <c r="J1210" s="1" t="s">
        <v>118</v>
      </c>
      <c r="K1210" s="1" t="s">
        <v>2892</v>
      </c>
      <c r="L1210" s="1" t="s">
        <v>27</v>
      </c>
      <c r="N1210" s="1" t="s">
        <v>174</v>
      </c>
      <c r="O1210" s="1" t="s">
        <v>29</v>
      </c>
      <c r="P1210" s="1" t="s">
        <v>1749</v>
      </c>
      <c r="Q1210" s="1" t="s">
        <v>1750</v>
      </c>
      <c r="R1210" s="1">
        <v>7.0</v>
      </c>
      <c r="S1210" s="1"/>
    </row>
    <row r="1211" ht="15.75" customHeight="1">
      <c r="A1211" s="1" t="s">
        <v>2952</v>
      </c>
      <c r="B1211" s="1" t="s">
        <v>2953</v>
      </c>
      <c r="C1211" s="1" t="s">
        <v>174</v>
      </c>
      <c r="E1211" s="1">
        <v>28.6900409</v>
      </c>
      <c r="F1211" s="1">
        <v>77.2773667</v>
      </c>
      <c r="G1211" s="1" t="s">
        <v>54</v>
      </c>
      <c r="H1211" s="1" t="s">
        <v>55</v>
      </c>
      <c r="J1211" s="1" t="s">
        <v>44</v>
      </c>
      <c r="K1211" s="1" t="s">
        <v>2892</v>
      </c>
      <c r="L1211" s="1" t="s">
        <v>27</v>
      </c>
      <c r="N1211" s="1" t="s">
        <v>174</v>
      </c>
      <c r="O1211" s="1" t="s">
        <v>57</v>
      </c>
      <c r="P1211" s="1" t="s">
        <v>1749</v>
      </c>
      <c r="Q1211" s="1" t="s">
        <v>1750</v>
      </c>
      <c r="R1211" s="1">
        <v>0.0</v>
      </c>
      <c r="S1211" s="1"/>
    </row>
    <row r="1212" ht="15.75" customHeight="1">
      <c r="A1212" s="1" t="s">
        <v>2954</v>
      </c>
      <c r="B1212" s="1" t="s">
        <v>2955</v>
      </c>
      <c r="C1212" s="1" t="s">
        <v>174</v>
      </c>
      <c r="E1212" s="1">
        <v>28.7229238</v>
      </c>
      <c r="F1212" s="1">
        <v>77.2731802</v>
      </c>
      <c r="G1212" s="1" t="s">
        <v>54</v>
      </c>
      <c r="H1212" s="1" t="s">
        <v>55</v>
      </c>
      <c r="J1212" s="1" t="s">
        <v>56</v>
      </c>
      <c r="K1212" s="1" t="s">
        <v>2892</v>
      </c>
      <c r="L1212" s="1" t="s">
        <v>27</v>
      </c>
      <c r="N1212" s="1" t="s">
        <v>174</v>
      </c>
      <c r="O1212" s="1" t="s">
        <v>57</v>
      </c>
      <c r="P1212" s="1" t="s">
        <v>1749</v>
      </c>
      <c r="Q1212" s="1" t="s">
        <v>1750</v>
      </c>
      <c r="R1212" s="1">
        <v>0.0</v>
      </c>
      <c r="S1212" s="1"/>
    </row>
    <row r="1213" ht="15.75" customHeight="1">
      <c r="A1213" s="1" t="s">
        <v>2956</v>
      </c>
      <c r="B1213" s="1" t="s">
        <v>2957</v>
      </c>
      <c r="C1213" s="1" t="s">
        <v>174</v>
      </c>
      <c r="E1213" s="1">
        <v>28.7031832</v>
      </c>
      <c r="F1213" s="1">
        <v>77.26433910000002</v>
      </c>
      <c r="G1213" s="1" t="s">
        <v>54</v>
      </c>
      <c r="H1213" s="1" t="s">
        <v>55</v>
      </c>
      <c r="J1213" s="1" t="s">
        <v>56</v>
      </c>
      <c r="K1213" s="1" t="s">
        <v>2892</v>
      </c>
      <c r="L1213" s="1" t="s">
        <v>27</v>
      </c>
      <c r="N1213" s="1" t="s">
        <v>174</v>
      </c>
      <c r="O1213" s="1" t="s">
        <v>29</v>
      </c>
      <c r="P1213" s="1" t="s">
        <v>1749</v>
      </c>
      <c r="Q1213" s="1" t="s">
        <v>1750</v>
      </c>
      <c r="R1213" s="1">
        <v>1.0</v>
      </c>
      <c r="S1213" s="1"/>
    </row>
    <row r="1214" ht="15.75" customHeight="1">
      <c r="A1214" s="1" t="s">
        <v>2958</v>
      </c>
      <c r="B1214" s="1" t="s">
        <v>2959</v>
      </c>
      <c r="C1214" s="1" t="s">
        <v>174</v>
      </c>
      <c r="E1214" s="1">
        <v>28.6322172</v>
      </c>
      <c r="F1214" s="1">
        <v>77.2793817</v>
      </c>
      <c r="G1214" s="1" t="s">
        <v>54</v>
      </c>
      <c r="H1214" s="1" t="s">
        <v>55</v>
      </c>
      <c r="J1214" s="1" t="s">
        <v>56</v>
      </c>
      <c r="K1214" s="1" t="s">
        <v>2892</v>
      </c>
      <c r="L1214" s="1" t="s">
        <v>27</v>
      </c>
      <c r="N1214" s="1" t="s">
        <v>174</v>
      </c>
      <c r="O1214" s="1" t="s">
        <v>57</v>
      </c>
      <c r="P1214" s="1" t="s">
        <v>1749</v>
      </c>
      <c r="Q1214" s="1" t="s">
        <v>1750</v>
      </c>
      <c r="R1214" s="1">
        <v>2.0</v>
      </c>
      <c r="S1214" s="1"/>
    </row>
    <row r="1215" ht="15.75" customHeight="1">
      <c r="A1215" s="1" t="s">
        <v>2960</v>
      </c>
      <c r="B1215" s="1" t="s">
        <v>2961</v>
      </c>
      <c r="C1215" s="1" t="s">
        <v>174</v>
      </c>
      <c r="E1215" s="1">
        <v>28.5601049</v>
      </c>
      <c r="F1215" s="1">
        <v>77.2068769</v>
      </c>
      <c r="G1215" s="1" t="s">
        <v>54</v>
      </c>
      <c r="H1215" s="1" t="s">
        <v>55</v>
      </c>
      <c r="J1215" s="1" t="s">
        <v>25</v>
      </c>
      <c r="K1215" s="1" t="s">
        <v>2892</v>
      </c>
      <c r="L1215" s="1" t="s">
        <v>27</v>
      </c>
      <c r="N1215" s="1" t="s">
        <v>174</v>
      </c>
      <c r="O1215" s="1" t="s">
        <v>57</v>
      </c>
      <c r="P1215" s="1" t="s">
        <v>1749</v>
      </c>
      <c r="Q1215" s="1" t="s">
        <v>1750</v>
      </c>
      <c r="R1215" s="1">
        <v>1.0</v>
      </c>
      <c r="S1215" s="1"/>
    </row>
    <row r="1216" ht="15.75" customHeight="1">
      <c r="A1216" s="1" t="s">
        <v>2962</v>
      </c>
      <c r="B1216" s="1" t="s">
        <v>2963</v>
      </c>
      <c r="C1216" s="1" t="s">
        <v>174</v>
      </c>
      <c r="E1216" s="1">
        <v>28.6351321</v>
      </c>
      <c r="F1216" s="1">
        <v>77.0968537</v>
      </c>
      <c r="G1216" s="1" t="s">
        <v>54</v>
      </c>
      <c r="H1216" s="1" t="s">
        <v>55</v>
      </c>
      <c r="J1216" s="1" t="s">
        <v>56</v>
      </c>
      <c r="K1216" s="1" t="s">
        <v>2892</v>
      </c>
      <c r="L1216" s="1" t="s">
        <v>27</v>
      </c>
      <c r="N1216" s="1" t="s">
        <v>174</v>
      </c>
      <c r="O1216" s="1" t="s">
        <v>29</v>
      </c>
      <c r="P1216" s="1" t="s">
        <v>1749</v>
      </c>
      <c r="Q1216" s="1" t="s">
        <v>1750</v>
      </c>
      <c r="R1216" s="1">
        <v>5.0</v>
      </c>
      <c r="S1216" s="1"/>
    </row>
    <row r="1217" ht="15.75" customHeight="1">
      <c r="A1217" s="1" t="s">
        <v>2964</v>
      </c>
      <c r="B1217" s="1" t="s">
        <v>2965</v>
      </c>
      <c r="C1217" s="1" t="s">
        <v>174</v>
      </c>
      <c r="E1217" s="1">
        <v>28.6742456</v>
      </c>
      <c r="F1217" s="1">
        <v>77.1183559</v>
      </c>
      <c r="G1217" s="1" t="s">
        <v>54</v>
      </c>
      <c r="H1217" s="1" t="s">
        <v>55</v>
      </c>
      <c r="J1217" s="1" t="s">
        <v>44</v>
      </c>
      <c r="K1217" s="1" t="s">
        <v>2892</v>
      </c>
      <c r="L1217" s="1" t="s">
        <v>27</v>
      </c>
      <c r="N1217" s="1" t="s">
        <v>174</v>
      </c>
      <c r="O1217" s="1" t="s">
        <v>57</v>
      </c>
      <c r="P1217" s="1" t="s">
        <v>1749</v>
      </c>
      <c r="Q1217" s="1" t="s">
        <v>1750</v>
      </c>
      <c r="R1217" s="1">
        <v>2.0</v>
      </c>
      <c r="S1217" s="1"/>
    </row>
    <row r="1218" ht="15.75" customHeight="1">
      <c r="A1218" s="1" t="s">
        <v>2966</v>
      </c>
      <c r="B1218" s="1" t="s">
        <v>2967</v>
      </c>
      <c r="C1218" s="1" t="s">
        <v>174</v>
      </c>
      <c r="E1218" s="1">
        <v>28.5886359</v>
      </c>
      <c r="F1218" s="1">
        <v>77.0715525</v>
      </c>
      <c r="G1218" s="1" t="s">
        <v>54</v>
      </c>
      <c r="H1218" s="1" t="s">
        <v>55</v>
      </c>
      <c r="J1218" s="1" t="s">
        <v>118</v>
      </c>
      <c r="K1218" s="1" t="s">
        <v>2892</v>
      </c>
      <c r="L1218" s="1" t="s">
        <v>27</v>
      </c>
      <c r="N1218" s="1" t="s">
        <v>174</v>
      </c>
      <c r="O1218" s="1" t="s">
        <v>57</v>
      </c>
      <c r="P1218" s="1" t="s">
        <v>1749</v>
      </c>
      <c r="Q1218" s="1" t="s">
        <v>1750</v>
      </c>
      <c r="R1218" s="1">
        <v>0.0</v>
      </c>
      <c r="S1218" s="1"/>
    </row>
    <row r="1219" ht="15.75" customHeight="1">
      <c r="A1219" s="1" t="s">
        <v>2968</v>
      </c>
      <c r="B1219" s="1" t="s">
        <v>2969</v>
      </c>
      <c r="C1219" s="1" t="s">
        <v>174</v>
      </c>
      <c r="E1219" s="1">
        <v>28.5886359</v>
      </c>
      <c r="F1219" s="1">
        <v>77.0715525</v>
      </c>
      <c r="G1219" s="1" t="s">
        <v>54</v>
      </c>
      <c r="H1219" s="1" t="s">
        <v>55</v>
      </c>
      <c r="J1219" s="1" t="s">
        <v>118</v>
      </c>
      <c r="K1219" s="1" t="s">
        <v>2892</v>
      </c>
      <c r="L1219" s="1" t="s">
        <v>27</v>
      </c>
      <c r="N1219" s="1" t="s">
        <v>174</v>
      </c>
      <c r="O1219" s="1" t="s">
        <v>57</v>
      </c>
      <c r="P1219" s="1" t="s">
        <v>1749</v>
      </c>
      <c r="Q1219" s="1" t="s">
        <v>1750</v>
      </c>
      <c r="R1219" s="1">
        <v>0.0</v>
      </c>
      <c r="S1219" s="1"/>
    </row>
    <row r="1220" ht="15.75" customHeight="1">
      <c r="A1220" s="1" t="s">
        <v>2970</v>
      </c>
      <c r="B1220" s="1" t="s">
        <v>2971</v>
      </c>
      <c r="C1220" s="1" t="s">
        <v>174</v>
      </c>
      <c r="E1220" s="1">
        <v>28.6195821</v>
      </c>
      <c r="F1220" s="1">
        <v>77.3009692</v>
      </c>
      <c r="G1220" s="1" t="s">
        <v>54</v>
      </c>
      <c r="H1220" s="1" t="s">
        <v>55</v>
      </c>
      <c r="J1220" s="1" t="s">
        <v>44</v>
      </c>
      <c r="K1220" s="1" t="s">
        <v>2892</v>
      </c>
      <c r="L1220" s="1" t="s">
        <v>27</v>
      </c>
      <c r="N1220" s="1" t="s">
        <v>174</v>
      </c>
      <c r="O1220" s="1" t="s">
        <v>57</v>
      </c>
      <c r="P1220" s="1" t="s">
        <v>1749</v>
      </c>
      <c r="Q1220" s="1" t="s">
        <v>1750</v>
      </c>
      <c r="R1220" s="1">
        <v>0.0</v>
      </c>
      <c r="S1220" s="1"/>
    </row>
    <row r="1221" ht="15.75" customHeight="1">
      <c r="A1221" s="1" t="s">
        <v>2972</v>
      </c>
      <c r="B1221" s="1" t="s">
        <v>2973</v>
      </c>
      <c r="C1221" s="1" t="s">
        <v>174</v>
      </c>
      <c r="E1221" s="1">
        <v>28.5374512</v>
      </c>
      <c r="F1221" s="1">
        <v>77.2131321</v>
      </c>
      <c r="G1221" s="1" t="s">
        <v>54</v>
      </c>
      <c r="H1221" s="1" t="s">
        <v>55</v>
      </c>
      <c r="J1221" s="1" t="s">
        <v>44</v>
      </c>
      <c r="K1221" s="1" t="s">
        <v>2892</v>
      </c>
      <c r="L1221" s="1" t="s">
        <v>27</v>
      </c>
      <c r="N1221" s="1" t="s">
        <v>174</v>
      </c>
      <c r="O1221" s="1" t="s">
        <v>57</v>
      </c>
      <c r="P1221" s="1" t="s">
        <v>1749</v>
      </c>
      <c r="Q1221" s="1" t="s">
        <v>1750</v>
      </c>
      <c r="R1221" s="1">
        <v>1.0</v>
      </c>
      <c r="S1221" s="1"/>
    </row>
    <row r="1222" ht="15.75" customHeight="1">
      <c r="A1222" s="1" t="s">
        <v>2974</v>
      </c>
      <c r="B1222" s="1" t="s">
        <v>2975</v>
      </c>
      <c r="C1222" s="1" t="s">
        <v>174</v>
      </c>
      <c r="E1222" s="1">
        <v>28.533735</v>
      </c>
      <c r="F1222" s="1">
        <v>77.299787</v>
      </c>
      <c r="G1222" s="1" t="s">
        <v>54</v>
      </c>
      <c r="H1222" s="1" t="s">
        <v>55</v>
      </c>
      <c r="J1222" s="1" t="s">
        <v>56</v>
      </c>
      <c r="K1222" s="1" t="s">
        <v>2892</v>
      </c>
      <c r="L1222" s="1" t="s">
        <v>27</v>
      </c>
      <c r="N1222" s="1" t="s">
        <v>174</v>
      </c>
      <c r="O1222" s="1" t="s">
        <v>57</v>
      </c>
      <c r="P1222" s="1" t="s">
        <v>1749</v>
      </c>
      <c r="Q1222" s="1" t="s">
        <v>1750</v>
      </c>
      <c r="R1222" s="1">
        <v>0.0</v>
      </c>
      <c r="S1222" s="1"/>
    </row>
    <row r="1223" ht="15.75" customHeight="1">
      <c r="A1223" s="1" t="s">
        <v>2976</v>
      </c>
      <c r="B1223" s="1" t="s">
        <v>2977</v>
      </c>
      <c r="C1223" s="1" t="s">
        <v>174</v>
      </c>
      <c r="E1223" s="1">
        <v>28.624648</v>
      </c>
      <c r="F1223" s="1">
        <v>77.06444359999999</v>
      </c>
      <c r="G1223" s="1" t="s">
        <v>54</v>
      </c>
      <c r="H1223" s="1" t="s">
        <v>55</v>
      </c>
      <c r="J1223" s="1" t="s">
        <v>44</v>
      </c>
      <c r="K1223" s="1" t="s">
        <v>2892</v>
      </c>
      <c r="L1223" s="1" t="s">
        <v>27</v>
      </c>
      <c r="N1223" s="1" t="s">
        <v>174</v>
      </c>
      <c r="O1223" s="1" t="s">
        <v>57</v>
      </c>
      <c r="P1223" s="1" t="s">
        <v>1749</v>
      </c>
      <c r="Q1223" s="1" t="s">
        <v>1750</v>
      </c>
      <c r="R1223" s="1">
        <v>1.0</v>
      </c>
      <c r="S1223" s="1"/>
    </row>
    <row r="1224" ht="15.75" customHeight="1">
      <c r="A1224" s="1" t="s">
        <v>2978</v>
      </c>
      <c r="B1224" s="1" t="s">
        <v>2979</v>
      </c>
      <c r="C1224" s="1" t="s">
        <v>174</v>
      </c>
      <c r="E1224" s="1">
        <v>28.5490526</v>
      </c>
      <c r="F1224" s="1">
        <v>77.2516061</v>
      </c>
      <c r="G1224" s="1" t="s">
        <v>54</v>
      </c>
      <c r="H1224" s="1" t="s">
        <v>55</v>
      </c>
      <c r="J1224" s="1" t="s">
        <v>25</v>
      </c>
      <c r="K1224" s="1" t="s">
        <v>2892</v>
      </c>
      <c r="L1224" s="1" t="s">
        <v>27</v>
      </c>
      <c r="N1224" s="1" t="s">
        <v>174</v>
      </c>
      <c r="O1224" s="1" t="s">
        <v>29</v>
      </c>
      <c r="P1224" s="1" t="s">
        <v>1749</v>
      </c>
      <c r="Q1224" s="1" t="s">
        <v>1750</v>
      </c>
      <c r="R1224" s="1">
        <v>4.0</v>
      </c>
      <c r="S1224" s="1"/>
    </row>
    <row r="1225" ht="15.75" customHeight="1">
      <c r="A1225" s="1" t="s">
        <v>2980</v>
      </c>
      <c r="B1225" s="1" t="s">
        <v>2981</v>
      </c>
      <c r="C1225" s="1" t="s">
        <v>174</v>
      </c>
      <c r="E1225" s="1">
        <v>28.5013996</v>
      </c>
      <c r="F1225" s="1">
        <v>77.29109919999999</v>
      </c>
      <c r="G1225" s="1" t="s">
        <v>54</v>
      </c>
      <c r="H1225" s="1" t="s">
        <v>55</v>
      </c>
      <c r="J1225" s="1" t="s">
        <v>44</v>
      </c>
      <c r="K1225" s="1" t="s">
        <v>2892</v>
      </c>
      <c r="L1225" s="1" t="s">
        <v>27</v>
      </c>
      <c r="N1225" s="1" t="s">
        <v>174</v>
      </c>
      <c r="O1225" s="1" t="s">
        <v>57</v>
      </c>
      <c r="P1225" s="1" t="s">
        <v>1749</v>
      </c>
      <c r="Q1225" s="1" t="s">
        <v>1750</v>
      </c>
      <c r="R1225" s="1">
        <v>0.0</v>
      </c>
      <c r="S1225" s="1"/>
    </row>
    <row r="1226" ht="15.75" customHeight="1">
      <c r="A1226" s="1" t="s">
        <v>2982</v>
      </c>
      <c r="B1226" s="1" t="s">
        <v>2983</v>
      </c>
      <c r="C1226" s="1" t="s">
        <v>174</v>
      </c>
      <c r="E1226" s="1">
        <v>28.5423564</v>
      </c>
      <c r="F1226" s="1">
        <v>77.2536271</v>
      </c>
      <c r="G1226" s="1" t="s">
        <v>54</v>
      </c>
      <c r="H1226" s="1" t="s">
        <v>55</v>
      </c>
      <c r="J1226" s="1" t="s">
        <v>118</v>
      </c>
      <c r="K1226" s="1" t="s">
        <v>2892</v>
      </c>
      <c r="L1226" s="1" t="s">
        <v>27</v>
      </c>
      <c r="N1226" s="1" t="s">
        <v>174</v>
      </c>
      <c r="O1226" s="1" t="s">
        <v>57</v>
      </c>
      <c r="P1226" s="1" t="s">
        <v>1749</v>
      </c>
      <c r="Q1226" s="1" t="s">
        <v>1750</v>
      </c>
      <c r="R1226" s="1">
        <v>5.0</v>
      </c>
      <c r="S1226" s="1"/>
    </row>
    <row r="1227" ht="15.75" customHeight="1">
      <c r="A1227" s="1" t="s">
        <v>2984</v>
      </c>
      <c r="B1227" s="1" t="s">
        <v>2985</v>
      </c>
      <c r="C1227" s="1" t="s">
        <v>174</v>
      </c>
      <c r="E1227" s="1">
        <v>28.6296429</v>
      </c>
      <c r="F1227" s="1">
        <v>77.08175059999999</v>
      </c>
      <c r="G1227" s="1" t="s">
        <v>54</v>
      </c>
      <c r="H1227" s="1" t="s">
        <v>55</v>
      </c>
      <c r="J1227" s="1" t="s">
        <v>25</v>
      </c>
      <c r="K1227" s="1" t="s">
        <v>2892</v>
      </c>
      <c r="L1227" s="1" t="s">
        <v>27</v>
      </c>
      <c r="N1227" s="1" t="s">
        <v>174</v>
      </c>
      <c r="O1227" s="1" t="s">
        <v>57</v>
      </c>
      <c r="P1227" s="1" t="s">
        <v>1749</v>
      </c>
      <c r="Q1227" s="1" t="s">
        <v>1750</v>
      </c>
      <c r="R1227" s="1">
        <v>4.0</v>
      </c>
      <c r="S1227" s="1"/>
    </row>
    <row r="1228" ht="15.75" customHeight="1">
      <c r="A1228" s="1" t="s">
        <v>2986</v>
      </c>
      <c r="B1228" s="1" t="s">
        <v>2987</v>
      </c>
      <c r="C1228" s="1" t="s">
        <v>174</v>
      </c>
      <c r="E1228" s="1">
        <v>28.6304203</v>
      </c>
      <c r="F1228" s="1">
        <v>77.21772159999999</v>
      </c>
      <c r="G1228" s="1" t="s">
        <v>54</v>
      </c>
      <c r="H1228" s="1" t="s">
        <v>55</v>
      </c>
      <c r="J1228" s="1" t="s">
        <v>56</v>
      </c>
      <c r="K1228" s="1" t="s">
        <v>2892</v>
      </c>
      <c r="L1228" s="1" t="s">
        <v>27</v>
      </c>
      <c r="N1228" s="1" t="s">
        <v>174</v>
      </c>
      <c r="O1228" s="1" t="s">
        <v>57</v>
      </c>
      <c r="P1228" s="1" t="s">
        <v>1749</v>
      </c>
      <c r="Q1228" s="1" t="s">
        <v>1750</v>
      </c>
      <c r="R1228" s="1">
        <v>0.0</v>
      </c>
      <c r="S1228" s="1"/>
    </row>
    <row r="1229" ht="15.75" customHeight="1">
      <c r="A1229" s="1" t="s">
        <v>2988</v>
      </c>
      <c r="B1229" s="1" t="s">
        <v>2989</v>
      </c>
      <c r="C1229" s="1" t="s">
        <v>174</v>
      </c>
      <c r="E1229" s="1">
        <v>28.5423564</v>
      </c>
      <c r="F1229" s="1">
        <v>77.2536271</v>
      </c>
      <c r="G1229" s="1" t="s">
        <v>54</v>
      </c>
      <c r="H1229" s="1" t="s">
        <v>55</v>
      </c>
      <c r="J1229" s="1" t="s">
        <v>118</v>
      </c>
      <c r="K1229" s="1" t="s">
        <v>2892</v>
      </c>
      <c r="L1229" s="1" t="s">
        <v>27</v>
      </c>
      <c r="N1229" s="1" t="s">
        <v>174</v>
      </c>
      <c r="O1229" s="1" t="s">
        <v>57</v>
      </c>
      <c r="P1229" s="1" t="s">
        <v>1749</v>
      </c>
      <c r="Q1229" s="1" t="s">
        <v>1750</v>
      </c>
      <c r="R1229" s="1">
        <v>2.0</v>
      </c>
      <c r="S1229" s="1"/>
    </row>
    <row r="1230" ht="15.75" customHeight="1">
      <c r="A1230" s="1" t="s">
        <v>2990</v>
      </c>
      <c r="B1230" s="1" t="s">
        <v>2991</v>
      </c>
      <c r="C1230" s="1" t="s">
        <v>174</v>
      </c>
      <c r="E1230" s="1">
        <v>28.6742456</v>
      </c>
      <c r="F1230" s="1">
        <v>77.1183559</v>
      </c>
      <c r="G1230" s="1" t="s">
        <v>54</v>
      </c>
      <c r="H1230" s="1" t="s">
        <v>55</v>
      </c>
      <c r="J1230" s="1" t="s">
        <v>118</v>
      </c>
      <c r="K1230" s="1" t="s">
        <v>2892</v>
      </c>
      <c r="L1230" s="1" t="s">
        <v>27</v>
      </c>
      <c r="N1230" s="1" t="s">
        <v>174</v>
      </c>
      <c r="O1230" s="1" t="s">
        <v>57</v>
      </c>
      <c r="P1230" s="1" t="s">
        <v>1749</v>
      </c>
      <c r="Q1230" s="1" t="s">
        <v>1750</v>
      </c>
      <c r="R1230" s="1">
        <v>2.0</v>
      </c>
      <c r="S1230" s="1"/>
    </row>
    <row r="1231" ht="15.75" customHeight="1">
      <c r="A1231" s="1" t="s">
        <v>2992</v>
      </c>
      <c r="B1231" s="1" t="s">
        <v>2993</v>
      </c>
      <c r="C1231" s="1" t="s">
        <v>174</v>
      </c>
      <c r="E1231" s="1">
        <v>28.7413615</v>
      </c>
      <c r="F1231" s="1">
        <v>77.12061120000001</v>
      </c>
      <c r="G1231" s="1" t="s">
        <v>54</v>
      </c>
      <c r="H1231" s="1" t="s">
        <v>55</v>
      </c>
      <c r="J1231" s="1" t="s">
        <v>118</v>
      </c>
      <c r="K1231" s="1" t="s">
        <v>2892</v>
      </c>
      <c r="L1231" s="1" t="s">
        <v>27</v>
      </c>
      <c r="N1231" s="1" t="s">
        <v>174</v>
      </c>
      <c r="O1231" s="1" t="s">
        <v>57</v>
      </c>
      <c r="P1231" s="1" t="s">
        <v>1749</v>
      </c>
      <c r="Q1231" s="1" t="s">
        <v>1750</v>
      </c>
      <c r="R1231" s="1">
        <v>0.0</v>
      </c>
      <c r="S1231" s="1"/>
    </row>
    <row r="1232" ht="15.75" customHeight="1">
      <c r="A1232" s="1" t="s">
        <v>2994</v>
      </c>
      <c r="B1232" s="1" t="s">
        <v>2995</v>
      </c>
      <c r="C1232" s="1" t="s">
        <v>174</v>
      </c>
      <c r="E1232" s="1">
        <v>28.5842904</v>
      </c>
      <c r="F1232" s="1">
        <v>77.2204533</v>
      </c>
      <c r="G1232" s="1" t="s">
        <v>54</v>
      </c>
      <c r="H1232" s="1" t="s">
        <v>55</v>
      </c>
      <c r="J1232" s="1" t="s">
        <v>118</v>
      </c>
      <c r="K1232" s="1" t="s">
        <v>2892</v>
      </c>
      <c r="L1232" s="1" t="s">
        <v>27</v>
      </c>
      <c r="N1232" s="1" t="s">
        <v>174</v>
      </c>
      <c r="O1232" s="1" t="s">
        <v>57</v>
      </c>
      <c r="P1232" s="1" t="s">
        <v>1749</v>
      </c>
      <c r="Q1232" s="1" t="s">
        <v>1750</v>
      </c>
      <c r="R1232" s="1">
        <v>2.0</v>
      </c>
      <c r="S1232" s="1"/>
    </row>
    <row r="1233" ht="15.75" customHeight="1">
      <c r="A1233" s="1" t="s">
        <v>2996</v>
      </c>
      <c r="B1233" s="1" t="s">
        <v>2997</v>
      </c>
      <c r="C1233" s="1" t="s">
        <v>174</v>
      </c>
      <c r="E1233" s="1">
        <v>28.5236866</v>
      </c>
      <c r="F1233" s="1">
        <v>77.20699619999999</v>
      </c>
      <c r="G1233" s="1" t="s">
        <v>54</v>
      </c>
      <c r="H1233" s="1" t="s">
        <v>55</v>
      </c>
      <c r="J1233" s="1" t="s">
        <v>25</v>
      </c>
      <c r="K1233" s="1" t="s">
        <v>2892</v>
      </c>
      <c r="L1233" s="1" t="s">
        <v>27</v>
      </c>
      <c r="N1233" s="1" t="s">
        <v>174</v>
      </c>
      <c r="O1233" s="1" t="s">
        <v>29</v>
      </c>
      <c r="P1233" s="1" t="s">
        <v>1749</v>
      </c>
      <c r="Q1233" s="1" t="s">
        <v>1750</v>
      </c>
      <c r="R1233" s="1">
        <v>6.0</v>
      </c>
      <c r="S1233" s="1"/>
    </row>
    <row r="1234" ht="15.75" customHeight="1">
      <c r="A1234" s="1" t="s">
        <v>2998</v>
      </c>
      <c r="B1234" s="1" t="s">
        <v>2999</v>
      </c>
      <c r="C1234" s="1" t="s">
        <v>174</v>
      </c>
      <c r="E1234" s="1">
        <v>28.6493399</v>
      </c>
      <c r="F1234" s="1">
        <v>77.13282079999999</v>
      </c>
      <c r="G1234" s="1" t="s">
        <v>54</v>
      </c>
      <c r="H1234" s="1" t="s">
        <v>55</v>
      </c>
      <c r="J1234" s="1" t="s">
        <v>44</v>
      </c>
      <c r="K1234" s="1" t="s">
        <v>2892</v>
      </c>
      <c r="L1234" s="1" t="s">
        <v>27</v>
      </c>
      <c r="N1234" s="1" t="s">
        <v>174</v>
      </c>
      <c r="O1234" s="1" t="s">
        <v>29</v>
      </c>
      <c r="P1234" s="1" t="s">
        <v>1749</v>
      </c>
      <c r="Q1234" s="1" t="s">
        <v>1750</v>
      </c>
      <c r="R1234" s="1">
        <v>5.0</v>
      </c>
      <c r="S1234" s="1"/>
    </row>
    <row r="1235" ht="15.75" customHeight="1">
      <c r="A1235" s="1" t="s">
        <v>3000</v>
      </c>
      <c r="B1235" s="1" t="s">
        <v>3001</v>
      </c>
      <c r="C1235" s="1" t="s">
        <v>174</v>
      </c>
      <c r="E1235" s="1">
        <v>28.7118371</v>
      </c>
      <c r="F1235" s="1">
        <v>77.26206340000002</v>
      </c>
      <c r="G1235" s="1" t="s">
        <v>54</v>
      </c>
      <c r="H1235" s="1" t="s">
        <v>55</v>
      </c>
      <c r="J1235" s="1" t="s">
        <v>25</v>
      </c>
      <c r="K1235" s="1" t="s">
        <v>2892</v>
      </c>
      <c r="L1235" s="1" t="s">
        <v>27</v>
      </c>
      <c r="N1235" s="1" t="s">
        <v>174</v>
      </c>
      <c r="O1235" s="1" t="s">
        <v>57</v>
      </c>
      <c r="P1235" s="1" t="s">
        <v>1749</v>
      </c>
      <c r="Q1235" s="1" t="s">
        <v>1750</v>
      </c>
      <c r="R1235" s="1">
        <v>0.0</v>
      </c>
      <c r="S1235" s="1"/>
    </row>
    <row r="1236" ht="15.75" customHeight="1">
      <c r="A1236" s="1" t="s">
        <v>3002</v>
      </c>
      <c r="B1236" s="1" t="s">
        <v>3003</v>
      </c>
      <c r="C1236" s="1" t="s">
        <v>174</v>
      </c>
      <c r="E1236" s="1">
        <v>28.6493399</v>
      </c>
      <c r="F1236" s="1">
        <v>77.13282079999999</v>
      </c>
      <c r="G1236" s="1" t="s">
        <v>54</v>
      </c>
      <c r="H1236" s="1" t="s">
        <v>55</v>
      </c>
      <c r="J1236" s="1" t="s">
        <v>25</v>
      </c>
      <c r="K1236" s="1" t="s">
        <v>2892</v>
      </c>
      <c r="L1236" s="1" t="s">
        <v>27</v>
      </c>
      <c r="N1236" s="1" t="s">
        <v>174</v>
      </c>
      <c r="O1236" s="1" t="s">
        <v>57</v>
      </c>
      <c r="P1236" s="1" t="s">
        <v>1749</v>
      </c>
      <c r="Q1236" s="1" t="s">
        <v>1750</v>
      </c>
      <c r="R1236" s="1">
        <v>5.0</v>
      </c>
      <c r="S1236" s="1"/>
    </row>
    <row r="1237" ht="15.75" customHeight="1">
      <c r="A1237" s="1" t="s">
        <v>3004</v>
      </c>
      <c r="B1237" s="1" t="s">
        <v>3005</v>
      </c>
      <c r="C1237" s="1" t="s">
        <v>174</v>
      </c>
      <c r="E1237" s="1">
        <v>28.6932504</v>
      </c>
      <c r="F1237" s="1">
        <v>77.1732045</v>
      </c>
      <c r="G1237" s="1" t="s">
        <v>54</v>
      </c>
      <c r="H1237" s="1" t="s">
        <v>55</v>
      </c>
      <c r="J1237" s="1" t="s">
        <v>118</v>
      </c>
      <c r="K1237" s="1" t="s">
        <v>2892</v>
      </c>
      <c r="L1237" s="1" t="s">
        <v>27</v>
      </c>
      <c r="N1237" s="1" t="s">
        <v>174</v>
      </c>
      <c r="O1237" s="1" t="s">
        <v>57</v>
      </c>
      <c r="P1237" s="1" t="s">
        <v>1749</v>
      </c>
      <c r="Q1237" s="1" t="s">
        <v>1750</v>
      </c>
      <c r="R1237" s="1">
        <v>1.0</v>
      </c>
      <c r="S1237" s="1"/>
    </row>
    <row r="1238" ht="15.75" customHeight="1">
      <c r="A1238" s="1" t="s">
        <v>3006</v>
      </c>
      <c r="B1238" s="1" t="s">
        <v>3007</v>
      </c>
      <c r="C1238" s="1" t="s">
        <v>1716</v>
      </c>
      <c r="E1238" s="1">
        <v>28.4674724</v>
      </c>
      <c r="F1238" s="1">
        <v>77.08221429999999</v>
      </c>
      <c r="G1238" s="1" t="s">
        <v>54</v>
      </c>
      <c r="H1238" s="1" t="s">
        <v>55</v>
      </c>
      <c r="J1238" s="1" t="s">
        <v>25</v>
      </c>
      <c r="K1238" s="1" t="s">
        <v>2892</v>
      </c>
      <c r="L1238" s="1" t="s">
        <v>27</v>
      </c>
      <c r="N1238" s="1" t="s">
        <v>163</v>
      </c>
      <c r="O1238" s="1" t="s">
        <v>29</v>
      </c>
      <c r="P1238" s="1" t="s">
        <v>2163</v>
      </c>
      <c r="Q1238" s="1" t="s">
        <v>2164</v>
      </c>
      <c r="R1238" s="1">
        <v>2.0</v>
      </c>
      <c r="S1238" s="1"/>
    </row>
    <row r="1239" ht="15.75" customHeight="1">
      <c r="A1239" s="1" t="s">
        <v>3008</v>
      </c>
      <c r="B1239" s="1" t="s">
        <v>3009</v>
      </c>
      <c r="C1239" s="1" t="s">
        <v>564</v>
      </c>
      <c r="E1239" s="1">
        <v>30.6864377</v>
      </c>
      <c r="F1239" s="1">
        <v>76.8490877</v>
      </c>
      <c r="G1239" s="1" t="s">
        <v>54</v>
      </c>
      <c r="H1239" s="1" t="s">
        <v>55</v>
      </c>
      <c r="J1239" s="1" t="s">
        <v>56</v>
      </c>
      <c r="K1239" s="1" t="s">
        <v>2892</v>
      </c>
      <c r="L1239" s="1" t="s">
        <v>27</v>
      </c>
      <c r="N1239" s="1" t="s">
        <v>163</v>
      </c>
      <c r="O1239" s="1" t="s">
        <v>57</v>
      </c>
      <c r="P1239" s="1" t="s">
        <v>938</v>
      </c>
      <c r="Q1239" s="1" t="s">
        <v>939</v>
      </c>
      <c r="R1239" s="1">
        <v>0.0</v>
      </c>
      <c r="S1239" s="1"/>
    </row>
    <row r="1240" ht="15.75" customHeight="1">
      <c r="A1240" s="1" t="s">
        <v>3010</v>
      </c>
      <c r="B1240" s="1" t="s">
        <v>3011</v>
      </c>
      <c r="C1240" s="1" t="s">
        <v>564</v>
      </c>
      <c r="E1240" s="1">
        <v>30.6711879</v>
      </c>
      <c r="F1240" s="1">
        <v>76.85551989999999</v>
      </c>
      <c r="G1240" s="1" t="s">
        <v>54</v>
      </c>
      <c r="H1240" s="1" t="s">
        <v>55</v>
      </c>
      <c r="J1240" s="1" t="s">
        <v>25</v>
      </c>
      <c r="K1240" s="1" t="s">
        <v>2892</v>
      </c>
      <c r="L1240" s="1" t="s">
        <v>27</v>
      </c>
      <c r="N1240" s="1" t="s">
        <v>163</v>
      </c>
      <c r="O1240" s="1" t="s">
        <v>29</v>
      </c>
      <c r="P1240" s="1" t="s">
        <v>938</v>
      </c>
      <c r="Q1240" s="1" t="s">
        <v>939</v>
      </c>
      <c r="R1240" s="1">
        <v>0.0</v>
      </c>
      <c r="S1240" s="1"/>
    </row>
    <row r="1241" ht="15.75" customHeight="1">
      <c r="A1241" s="1" t="s">
        <v>3012</v>
      </c>
      <c r="B1241" s="1" t="s">
        <v>3013</v>
      </c>
      <c r="C1241" s="1" t="s">
        <v>564</v>
      </c>
      <c r="E1241" s="1">
        <v>30.6711879</v>
      </c>
      <c r="F1241" s="1">
        <v>76.85551989999999</v>
      </c>
      <c r="G1241" s="1" t="s">
        <v>54</v>
      </c>
      <c r="H1241" s="1" t="s">
        <v>55</v>
      </c>
      <c r="J1241" s="1" t="s">
        <v>25</v>
      </c>
      <c r="K1241" s="1" t="s">
        <v>2892</v>
      </c>
      <c r="L1241" s="1" t="s">
        <v>27</v>
      </c>
      <c r="N1241" s="1" t="s">
        <v>163</v>
      </c>
      <c r="O1241" s="1" t="s">
        <v>57</v>
      </c>
      <c r="P1241" s="1" t="s">
        <v>938</v>
      </c>
      <c r="Q1241" s="1" t="s">
        <v>939</v>
      </c>
      <c r="R1241" s="1">
        <v>0.0</v>
      </c>
      <c r="S1241" s="1"/>
    </row>
    <row r="1242" ht="15.75" customHeight="1">
      <c r="A1242" s="1" t="s">
        <v>3014</v>
      </c>
      <c r="B1242" s="1" t="s">
        <v>3015</v>
      </c>
      <c r="C1242" s="1" t="s">
        <v>1016</v>
      </c>
      <c r="E1242" s="1">
        <v>28.9935817</v>
      </c>
      <c r="F1242" s="1">
        <v>77.02064109999999</v>
      </c>
      <c r="G1242" s="1" t="s">
        <v>54</v>
      </c>
      <c r="H1242" s="1" t="s">
        <v>55</v>
      </c>
      <c r="J1242" s="1" t="s">
        <v>56</v>
      </c>
      <c r="K1242" s="1" t="s">
        <v>2892</v>
      </c>
      <c r="L1242" s="1" t="s">
        <v>27</v>
      </c>
      <c r="N1242" s="1" t="s">
        <v>163</v>
      </c>
      <c r="O1242" s="1" t="s">
        <v>57</v>
      </c>
      <c r="P1242" s="1" t="s">
        <v>938</v>
      </c>
      <c r="Q1242" s="1" t="s">
        <v>939</v>
      </c>
      <c r="R1242" s="1">
        <v>1.0</v>
      </c>
      <c r="S1242" s="1"/>
    </row>
    <row r="1243" ht="15.75" customHeight="1">
      <c r="A1243" s="1" t="s">
        <v>3016</v>
      </c>
      <c r="B1243" s="1" t="s">
        <v>3017</v>
      </c>
      <c r="C1243" s="1" t="s">
        <v>3018</v>
      </c>
      <c r="E1243" s="1">
        <v>29.122586</v>
      </c>
      <c r="F1243" s="1">
        <v>76.4018</v>
      </c>
      <c r="G1243" s="1" t="s">
        <v>54</v>
      </c>
      <c r="H1243" s="1" t="s">
        <v>55</v>
      </c>
      <c r="J1243" s="1" t="s">
        <v>44</v>
      </c>
      <c r="K1243" s="1" t="s">
        <v>2892</v>
      </c>
      <c r="L1243" s="1" t="s">
        <v>27</v>
      </c>
      <c r="N1243" s="1" t="s">
        <v>163</v>
      </c>
      <c r="O1243" s="1" t="s">
        <v>57</v>
      </c>
      <c r="P1243" s="1" t="s">
        <v>938</v>
      </c>
      <c r="Q1243" s="1" t="s">
        <v>939</v>
      </c>
      <c r="R1243" s="1">
        <v>0.0</v>
      </c>
      <c r="S1243" s="1"/>
    </row>
    <row r="1244" ht="15.75" customHeight="1">
      <c r="A1244" s="1" t="s">
        <v>3019</v>
      </c>
      <c r="B1244" s="1" t="s">
        <v>3020</v>
      </c>
      <c r="C1244" s="1" t="s">
        <v>3021</v>
      </c>
      <c r="E1244" s="1">
        <v>28.7031832</v>
      </c>
      <c r="F1244" s="1">
        <v>77.26433910000002</v>
      </c>
      <c r="G1244" s="1" t="s">
        <v>54</v>
      </c>
      <c r="H1244" s="1" t="s">
        <v>55</v>
      </c>
      <c r="J1244" s="1" t="s">
        <v>25</v>
      </c>
      <c r="K1244" s="1" t="s">
        <v>2892</v>
      </c>
      <c r="L1244" s="1" t="s">
        <v>27</v>
      </c>
      <c r="N1244" s="1" t="s">
        <v>163</v>
      </c>
      <c r="O1244" s="1" t="s">
        <v>57</v>
      </c>
      <c r="P1244" s="1" t="s">
        <v>938</v>
      </c>
      <c r="Q1244" s="1" t="s">
        <v>939</v>
      </c>
      <c r="R1244" s="1">
        <v>0.0</v>
      </c>
      <c r="S1244" s="1"/>
    </row>
    <row r="1245" ht="15.75" customHeight="1">
      <c r="A1245" s="1" t="s">
        <v>3022</v>
      </c>
      <c r="B1245" s="1" t="s">
        <v>3023</v>
      </c>
      <c r="C1245" s="1" t="s">
        <v>1716</v>
      </c>
      <c r="E1245" s="1">
        <v>28.4797447</v>
      </c>
      <c r="F1245" s="1">
        <v>77.0865879</v>
      </c>
      <c r="G1245" s="1" t="s">
        <v>54</v>
      </c>
      <c r="H1245" s="1" t="s">
        <v>55</v>
      </c>
      <c r="J1245" s="1" t="s">
        <v>25</v>
      </c>
      <c r="K1245" s="1" t="s">
        <v>2892</v>
      </c>
      <c r="L1245" s="1" t="s">
        <v>27</v>
      </c>
      <c r="N1245" s="1" t="s">
        <v>163</v>
      </c>
      <c r="O1245" s="1" t="s">
        <v>57</v>
      </c>
      <c r="P1245" s="1" t="s">
        <v>2163</v>
      </c>
      <c r="Q1245" s="1" t="s">
        <v>2164</v>
      </c>
      <c r="R1245" s="1">
        <v>1.0</v>
      </c>
      <c r="S1245" s="1"/>
    </row>
    <row r="1246" ht="15.75" customHeight="1">
      <c r="A1246" s="1" t="s">
        <v>3024</v>
      </c>
      <c r="B1246" s="1" t="s">
        <v>3025</v>
      </c>
      <c r="C1246" s="1" t="s">
        <v>3026</v>
      </c>
      <c r="E1246" s="1">
        <v>30.3396779</v>
      </c>
      <c r="F1246" s="1">
        <v>76.84128299999999</v>
      </c>
      <c r="G1246" s="1" t="s">
        <v>54</v>
      </c>
      <c r="H1246" s="1" t="s">
        <v>55</v>
      </c>
      <c r="J1246" s="1" t="s">
        <v>56</v>
      </c>
      <c r="K1246" s="1" t="s">
        <v>2892</v>
      </c>
      <c r="L1246" s="1" t="s">
        <v>27</v>
      </c>
      <c r="N1246" s="1" t="s">
        <v>163</v>
      </c>
      <c r="O1246" s="1" t="s">
        <v>29</v>
      </c>
      <c r="P1246" s="1" t="s">
        <v>938</v>
      </c>
      <c r="Q1246" s="1" t="s">
        <v>939</v>
      </c>
      <c r="R1246" s="1">
        <v>0.0</v>
      </c>
      <c r="S1246" s="1"/>
    </row>
    <row r="1247" ht="15.75" customHeight="1">
      <c r="A1247" s="1" t="s">
        <v>3027</v>
      </c>
      <c r="B1247" s="1" t="s">
        <v>3028</v>
      </c>
      <c r="C1247" s="1" t="s">
        <v>731</v>
      </c>
      <c r="E1247" s="1">
        <v>26.2061475</v>
      </c>
      <c r="F1247" s="1">
        <v>78.19059469999999</v>
      </c>
      <c r="G1247" s="1" t="s">
        <v>54</v>
      </c>
      <c r="H1247" s="1" t="s">
        <v>55</v>
      </c>
      <c r="J1247" s="1" t="s">
        <v>25</v>
      </c>
      <c r="K1247" s="1" t="s">
        <v>2892</v>
      </c>
      <c r="L1247" s="1" t="s">
        <v>27</v>
      </c>
      <c r="N1247" s="1" t="s">
        <v>732</v>
      </c>
      <c r="O1247" s="1" t="s">
        <v>57</v>
      </c>
      <c r="P1247" s="1" t="s">
        <v>733</v>
      </c>
      <c r="Q1247" s="1" t="s">
        <v>734</v>
      </c>
      <c r="R1247" s="1">
        <v>0.0</v>
      </c>
      <c r="S1247" s="1"/>
    </row>
    <row r="1248" ht="15.75" customHeight="1">
      <c r="A1248" s="1" t="s">
        <v>3029</v>
      </c>
      <c r="B1248" s="1" t="s">
        <v>3030</v>
      </c>
      <c r="C1248" s="1" t="s">
        <v>526</v>
      </c>
      <c r="E1248" s="1">
        <v>19.8738791</v>
      </c>
      <c r="F1248" s="1">
        <v>75.328845</v>
      </c>
      <c r="G1248" s="1" t="s">
        <v>54</v>
      </c>
      <c r="H1248" s="1" t="s">
        <v>55</v>
      </c>
      <c r="J1248" s="1" t="s">
        <v>56</v>
      </c>
      <c r="K1248" s="1" t="s">
        <v>2892</v>
      </c>
      <c r="L1248" s="1" t="s">
        <v>27</v>
      </c>
      <c r="N1248" s="1" t="s">
        <v>498</v>
      </c>
      <c r="O1248" s="1" t="s">
        <v>57</v>
      </c>
      <c r="P1248" s="1" t="s">
        <v>2239</v>
      </c>
      <c r="Q1248" s="1" t="s">
        <v>2240</v>
      </c>
      <c r="R1248" s="1">
        <v>0.0</v>
      </c>
      <c r="S1248" s="1"/>
    </row>
    <row r="1249" ht="15.75" customHeight="1">
      <c r="A1249" s="1" t="s">
        <v>3031</v>
      </c>
      <c r="B1249" s="1" t="s">
        <v>3032</v>
      </c>
      <c r="C1249" s="1" t="s">
        <v>3033</v>
      </c>
      <c r="E1249" s="1">
        <v>30.7302882</v>
      </c>
      <c r="F1249" s="1">
        <v>76.72054519999999</v>
      </c>
      <c r="G1249" s="1" t="s">
        <v>54</v>
      </c>
      <c r="H1249" s="1" t="s">
        <v>55</v>
      </c>
      <c r="J1249" s="1" t="s">
        <v>44</v>
      </c>
      <c r="K1249" s="1" t="s">
        <v>2892</v>
      </c>
      <c r="L1249" s="1" t="s">
        <v>27</v>
      </c>
      <c r="N1249" s="1" t="s">
        <v>123</v>
      </c>
      <c r="O1249" s="1" t="s">
        <v>57</v>
      </c>
      <c r="P1249" s="1" t="s">
        <v>938</v>
      </c>
      <c r="Q1249" s="1" t="s">
        <v>939</v>
      </c>
      <c r="R1249" s="1">
        <v>0.0</v>
      </c>
      <c r="S1249" s="1"/>
    </row>
    <row r="1250" ht="15.75" customHeight="1">
      <c r="A1250" s="1" t="s">
        <v>3034</v>
      </c>
      <c r="B1250" s="1" t="s">
        <v>3035</v>
      </c>
      <c r="C1250" s="1" t="s">
        <v>3033</v>
      </c>
      <c r="E1250" s="1">
        <v>30.7302882</v>
      </c>
      <c r="F1250" s="1">
        <v>76.72054519999999</v>
      </c>
      <c r="G1250" s="1" t="s">
        <v>54</v>
      </c>
      <c r="H1250" s="1" t="s">
        <v>55</v>
      </c>
      <c r="J1250" s="1" t="s">
        <v>56</v>
      </c>
      <c r="K1250" s="1" t="s">
        <v>2892</v>
      </c>
      <c r="L1250" s="1" t="s">
        <v>27</v>
      </c>
      <c r="N1250" s="1" t="s">
        <v>123</v>
      </c>
      <c r="O1250" s="1" t="s">
        <v>57</v>
      </c>
      <c r="P1250" s="1" t="s">
        <v>938</v>
      </c>
      <c r="Q1250" s="1" t="s">
        <v>939</v>
      </c>
      <c r="R1250" s="1">
        <v>0.0</v>
      </c>
      <c r="S1250" s="1"/>
    </row>
    <row r="1251" ht="15.75" customHeight="1">
      <c r="A1251" s="1" t="s">
        <v>3036</v>
      </c>
      <c r="B1251" s="1" t="s">
        <v>3037</v>
      </c>
      <c r="C1251" s="1" t="s">
        <v>946</v>
      </c>
      <c r="E1251" s="1">
        <v>30.8933446</v>
      </c>
      <c r="F1251" s="1">
        <v>75.8231699</v>
      </c>
      <c r="G1251" s="1" t="s">
        <v>54</v>
      </c>
      <c r="H1251" s="1" t="s">
        <v>55</v>
      </c>
      <c r="J1251" s="1" t="s">
        <v>56</v>
      </c>
      <c r="K1251" s="1" t="s">
        <v>2892</v>
      </c>
      <c r="L1251" s="1" t="s">
        <v>27</v>
      </c>
      <c r="N1251" s="1" t="s">
        <v>123</v>
      </c>
      <c r="O1251" s="1" t="s">
        <v>57</v>
      </c>
      <c r="P1251" s="1" t="s">
        <v>938</v>
      </c>
      <c r="Q1251" s="1" t="s">
        <v>939</v>
      </c>
      <c r="R1251" s="1">
        <v>0.0</v>
      </c>
      <c r="S1251" s="1"/>
    </row>
    <row r="1252" ht="15.75" customHeight="1">
      <c r="A1252" s="1" t="s">
        <v>3038</v>
      </c>
      <c r="B1252" s="1" t="s">
        <v>3039</v>
      </c>
      <c r="C1252" s="1" t="s">
        <v>980</v>
      </c>
      <c r="E1252" s="1">
        <v>30.3367359</v>
      </c>
      <c r="F1252" s="1">
        <v>76.3833088</v>
      </c>
      <c r="G1252" s="1" t="s">
        <v>54</v>
      </c>
      <c r="H1252" s="1" t="s">
        <v>55</v>
      </c>
      <c r="J1252" s="1" t="s">
        <v>56</v>
      </c>
      <c r="K1252" s="1" t="s">
        <v>2892</v>
      </c>
      <c r="L1252" s="1" t="s">
        <v>27</v>
      </c>
      <c r="N1252" s="1" t="s">
        <v>123</v>
      </c>
      <c r="O1252" s="1" t="s">
        <v>57</v>
      </c>
      <c r="P1252" s="1" t="s">
        <v>938</v>
      </c>
      <c r="Q1252" s="1" t="s">
        <v>939</v>
      </c>
      <c r="R1252" s="1">
        <v>0.0</v>
      </c>
      <c r="S1252" s="1"/>
    </row>
    <row r="1253" ht="15.75" customHeight="1">
      <c r="A1253" s="1" t="s">
        <v>3040</v>
      </c>
      <c r="B1253" s="1" t="s">
        <v>3041</v>
      </c>
      <c r="C1253" s="1" t="s">
        <v>3042</v>
      </c>
      <c r="E1253" s="1">
        <v>30.4779138</v>
      </c>
      <c r="F1253" s="1">
        <v>74.5145464</v>
      </c>
      <c r="G1253" s="1" t="s">
        <v>54</v>
      </c>
      <c r="H1253" s="1" t="s">
        <v>55</v>
      </c>
      <c r="J1253" s="1" t="s">
        <v>25</v>
      </c>
      <c r="K1253" s="1" t="s">
        <v>2892</v>
      </c>
      <c r="L1253" s="1" t="s">
        <v>27</v>
      </c>
      <c r="N1253" s="1" t="s">
        <v>123</v>
      </c>
      <c r="O1253" s="1" t="s">
        <v>57</v>
      </c>
      <c r="P1253" s="1" t="s">
        <v>938</v>
      </c>
      <c r="Q1253" s="1" t="s">
        <v>939</v>
      </c>
      <c r="R1253" s="1">
        <v>0.0</v>
      </c>
      <c r="S1253" s="1"/>
    </row>
    <row r="1254" ht="15.75" customHeight="1">
      <c r="A1254" s="1" t="s">
        <v>3043</v>
      </c>
      <c r="B1254" s="1" t="s">
        <v>3044</v>
      </c>
      <c r="C1254" s="1" t="s">
        <v>990</v>
      </c>
      <c r="E1254" s="1">
        <v>32.273556</v>
      </c>
      <c r="F1254" s="1">
        <v>75.6396038</v>
      </c>
      <c r="G1254" s="1" t="s">
        <v>54</v>
      </c>
      <c r="H1254" s="1" t="s">
        <v>55</v>
      </c>
      <c r="J1254" s="1" t="s">
        <v>25</v>
      </c>
      <c r="K1254" s="1" t="s">
        <v>2892</v>
      </c>
      <c r="L1254" s="1" t="s">
        <v>27</v>
      </c>
      <c r="N1254" s="1" t="s">
        <v>123</v>
      </c>
      <c r="O1254" s="1" t="s">
        <v>57</v>
      </c>
      <c r="P1254" s="1" t="s">
        <v>938</v>
      </c>
      <c r="Q1254" s="1" t="s">
        <v>939</v>
      </c>
      <c r="R1254" s="1">
        <v>0.0</v>
      </c>
      <c r="S1254" s="1"/>
    </row>
    <row r="1255" ht="15.75" customHeight="1">
      <c r="A1255" s="1" t="s">
        <v>3045</v>
      </c>
      <c r="B1255" s="1" t="s">
        <v>3046</v>
      </c>
      <c r="C1255" s="1" t="s">
        <v>3047</v>
      </c>
      <c r="E1255" s="1">
        <v>28.572176</v>
      </c>
      <c r="F1255" s="1">
        <v>77.3240682</v>
      </c>
      <c r="G1255" s="1" t="s">
        <v>54</v>
      </c>
      <c r="H1255" s="1" t="s">
        <v>55</v>
      </c>
      <c r="J1255" s="1" t="s">
        <v>56</v>
      </c>
      <c r="K1255" s="1" t="s">
        <v>2892</v>
      </c>
      <c r="L1255" s="1" t="s">
        <v>27</v>
      </c>
      <c r="N1255" s="1" t="s">
        <v>123</v>
      </c>
      <c r="O1255" s="1" t="s">
        <v>57</v>
      </c>
      <c r="P1255" s="1" t="s">
        <v>938</v>
      </c>
      <c r="Q1255" s="1" t="s">
        <v>939</v>
      </c>
      <c r="R1255" s="1">
        <v>0.0</v>
      </c>
      <c r="S1255" s="1"/>
    </row>
    <row r="1256" ht="15.75" customHeight="1">
      <c r="A1256" s="1" t="s">
        <v>3048</v>
      </c>
      <c r="B1256" s="1" t="s">
        <v>3049</v>
      </c>
      <c r="C1256" s="1" t="s">
        <v>3033</v>
      </c>
      <c r="E1256" s="1">
        <v>30.74355139999999</v>
      </c>
      <c r="F1256" s="1">
        <v>76.643892</v>
      </c>
      <c r="G1256" s="1" t="s">
        <v>54</v>
      </c>
      <c r="H1256" s="1" t="s">
        <v>55</v>
      </c>
      <c r="J1256" s="1" t="s">
        <v>25</v>
      </c>
      <c r="K1256" s="1" t="s">
        <v>2892</v>
      </c>
      <c r="L1256" s="1" t="s">
        <v>27</v>
      </c>
      <c r="N1256" s="1" t="s">
        <v>123</v>
      </c>
      <c r="O1256" s="1" t="s">
        <v>57</v>
      </c>
      <c r="P1256" s="1" t="s">
        <v>938</v>
      </c>
      <c r="Q1256" s="1" t="s">
        <v>939</v>
      </c>
      <c r="R1256" s="1">
        <v>0.0</v>
      </c>
      <c r="S1256" s="1"/>
    </row>
    <row r="1257" ht="15.75" customHeight="1">
      <c r="A1257" s="1" t="s">
        <v>3050</v>
      </c>
      <c r="B1257" s="1" t="s">
        <v>3051</v>
      </c>
      <c r="C1257" s="1" t="s">
        <v>3042</v>
      </c>
      <c r="E1257" s="1">
        <v>30.1895237</v>
      </c>
      <c r="F1257" s="1">
        <v>74.4982567</v>
      </c>
      <c r="G1257" s="1" t="s">
        <v>54</v>
      </c>
      <c r="H1257" s="1" t="s">
        <v>55</v>
      </c>
      <c r="J1257" s="1" t="s">
        <v>56</v>
      </c>
      <c r="K1257" s="1" t="s">
        <v>2892</v>
      </c>
      <c r="L1257" s="1" t="s">
        <v>27</v>
      </c>
      <c r="N1257" s="1" t="s">
        <v>123</v>
      </c>
      <c r="O1257" s="1" t="s">
        <v>57</v>
      </c>
      <c r="P1257" s="1" t="s">
        <v>938</v>
      </c>
      <c r="Q1257" s="1" t="s">
        <v>939</v>
      </c>
      <c r="R1257" s="1">
        <v>0.0</v>
      </c>
      <c r="S1257" s="1"/>
    </row>
    <row r="1258" ht="15.75" customHeight="1">
      <c r="A1258" s="1" t="s">
        <v>3052</v>
      </c>
      <c r="B1258" s="1" t="s">
        <v>3053</v>
      </c>
      <c r="C1258" s="1" t="s">
        <v>946</v>
      </c>
      <c r="E1258" s="1">
        <v>30.8933446</v>
      </c>
      <c r="F1258" s="1">
        <v>75.8231699</v>
      </c>
      <c r="G1258" s="1" t="s">
        <v>54</v>
      </c>
      <c r="H1258" s="1" t="s">
        <v>55</v>
      </c>
      <c r="J1258" s="1" t="s">
        <v>56</v>
      </c>
      <c r="K1258" s="1" t="s">
        <v>2892</v>
      </c>
      <c r="L1258" s="1" t="s">
        <v>27</v>
      </c>
      <c r="N1258" s="1" t="s">
        <v>123</v>
      </c>
      <c r="O1258" s="1" t="s">
        <v>57</v>
      </c>
      <c r="P1258" s="1" t="s">
        <v>938</v>
      </c>
      <c r="Q1258" s="1" t="s">
        <v>939</v>
      </c>
      <c r="R1258" s="1">
        <v>0.0</v>
      </c>
      <c r="S1258" s="1"/>
    </row>
    <row r="1259" ht="15.75" customHeight="1">
      <c r="A1259" s="1" t="s">
        <v>3054</v>
      </c>
      <c r="B1259" s="1" t="s">
        <v>3055</v>
      </c>
      <c r="C1259" s="1" t="s">
        <v>980</v>
      </c>
      <c r="E1259" s="1">
        <v>30.3258676</v>
      </c>
      <c r="F1259" s="1">
        <v>76.397109</v>
      </c>
      <c r="G1259" s="1" t="s">
        <v>54</v>
      </c>
      <c r="H1259" s="1" t="s">
        <v>55</v>
      </c>
      <c r="J1259" s="1" t="s">
        <v>56</v>
      </c>
      <c r="K1259" s="1" t="s">
        <v>2892</v>
      </c>
      <c r="L1259" s="1" t="s">
        <v>27</v>
      </c>
      <c r="N1259" s="1" t="s">
        <v>123</v>
      </c>
      <c r="O1259" s="1" t="s">
        <v>57</v>
      </c>
      <c r="P1259" s="1" t="s">
        <v>938</v>
      </c>
      <c r="Q1259" s="1" t="s">
        <v>939</v>
      </c>
      <c r="R1259" s="1">
        <v>0.0</v>
      </c>
      <c r="S1259" s="1"/>
    </row>
    <row r="1260" ht="15.75" customHeight="1">
      <c r="A1260" s="1" t="s">
        <v>3056</v>
      </c>
      <c r="B1260" s="1" t="s">
        <v>3057</v>
      </c>
      <c r="C1260" s="1" t="s">
        <v>3058</v>
      </c>
      <c r="E1260" s="1">
        <v>30.88071679999999</v>
      </c>
      <c r="F1260" s="1">
        <v>75.7922332</v>
      </c>
      <c r="G1260" s="1" t="s">
        <v>54</v>
      </c>
      <c r="H1260" s="1" t="s">
        <v>55</v>
      </c>
      <c r="J1260" s="1" t="s">
        <v>118</v>
      </c>
      <c r="K1260" s="1" t="s">
        <v>2892</v>
      </c>
      <c r="L1260" s="1" t="s">
        <v>27</v>
      </c>
      <c r="N1260" s="1" t="s">
        <v>123</v>
      </c>
      <c r="O1260" s="1" t="s">
        <v>57</v>
      </c>
      <c r="P1260" s="1" t="s">
        <v>938</v>
      </c>
      <c r="Q1260" s="1" t="s">
        <v>939</v>
      </c>
      <c r="R1260" s="1">
        <v>0.0</v>
      </c>
      <c r="S1260" s="1"/>
    </row>
    <row r="1261" ht="15.75" customHeight="1">
      <c r="A1261" s="1" t="s">
        <v>3059</v>
      </c>
      <c r="B1261" s="1" t="s">
        <v>3060</v>
      </c>
      <c r="C1261" s="1" t="s">
        <v>3033</v>
      </c>
      <c r="E1261" s="1">
        <v>30.706458</v>
      </c>
      <c r="F1261" s="1">
        <v>76.72523799999999</v>
      </c>
      <c r="G1261" s="1" t="s">
        <v>54</v>
      </c>
      <c r="H1261" s="1" t="s">
        <v>55</v>
      </c>
      <c r="J1261" s="1" t="s">
        <v>118</v>
      </c>
      <c r="K1261" s="1" t="s">
        <v>2892</v>
      </c>
      <c r="L1261" s="1" t="s">
        <v>27</v>
      </c>
      <c r="N1261" s="1" t="s">
        <v>123</v>
      </c>
      <c r="O1261" s="1" t="s">
        <v>57</v>
      </c>
      <c r="P1261" s="1" t="s">
        <v>938</v>
      </c>
      <c r="Q1261" s="1" t="s">
        <v>939</v>
      </c>
      <c r="R1261" s="1">
        <v>0.0</v>
      </c>
      <c r="S1261" s="1"/>
    </row>
    <row r="1262" ht="15.75" customHeight="1">
      <c r="A1262" s="1" t="s">
        <v>3061</v>
      </c>
      <c r="B1262" s="1" t="s">
        <v>3062</v>
      </c>
      <c r="C1262" s="1" t="s">
        <v>3063</v>
      </c>
      <c r="E1262" s="1">
        <v>30.6610359</v>
      </c>
      <c r="F1262" s="1">
        <v>76.8606856</v>
      </c>
      <c r="G1262" s="1" t="s">
        <v>54</v>
      </c>
      <c r="H1262" s="1" t="s">
        <v>55</v>
      </c>
      <c r="J1262" s="1" t="s">
        <v>56</v>
      </c>
      <c r="K1262" s="1" t="s">
        <v>2892</v>
      </c>
      <c r="L1262" s="1" t="s">
        <v>27</v>
      </c>
      <c r="N1262" s="1" t="s">
        <v>123</v>
      </c>
      <c r="O1262" s="1" t="s">
        <v>57</v>
      </c>
      <c r="P1262" s="1" t="s">
        <v>938</v>
      </c>
      <c r="Q1262" s="1" t="s">
        <v>939</v>
      </c>
      <c r="R1262" s="1">
        <v>0.0</v>
      </c>
      <c r="S1262" s="1"/>
    </row>
    <row r="1263" ht="15.75" customHeight="1">
      <c r="A1263" s="1" t="s">
        <v>3064</v>
      </c>
      <c r="B1263" s="1" t="s">
        <v>3065</v>
      </c>
      <c r="C1263" s="1" t="s">
        <v>946</v>
      </c>
      <c r="E1263" s="1">
        <v>30.8933446</v>
      </c>
      <c r="F1263" s="1">
        <v>75.8231699</v>
      </c>
      <c r="G1263" s="1" t="s">
        <v>54</v>
      </c>
      <c r="H1263" s="1" t="s">
        <v>55</v>
      </c>
      <c r="J1263" s="1" t="s">
        <v>56</v>
      </c>
      <c r="K1263" s="1" t="s">
        <v>2892</v>
      </c>
      <c r="L1263" s="1" t="s">
        <v>27</v>
      </c>
      <c r="N1263" s="1" t="s">
        <v>123</v>
      </c>
      <c r="O1263" s="1" t="s">
        <v>57</v>
      </c>
      <c r="P1263" s="1" t="s">
        <v>938</v>
      </c>
      <c r="Q1263" s="1" t="s">
        <v>939</v>
      </c>
      <c r="R1263" s="1">
        <v>0.0</v>
      </c>
      <c r="S1263" s="1"/>
    </row>
    <row r="1264" ht="15.75" customHeight="1">
      <c r="A1264" s="1" t="s">
        <v>3066</v>
      </c>
      <c r="B1264" s="1" t="s">
        <v>3067</v>
      </c>
      <c r="C1264" s="1" t="s">
        <v>946</v>
      </c>
      <c r="E1264" s="1">
        <v>30.8933446</v>
      </c>
      <c r="F1264" s="1">
        <v>75.8231699</v>
      </c>
      <c r="G1264" s="1" t="s">
        <v>54</v>
      </c>
      <c r="H1264" s="1" t="s">
        <v>55</v>
      </c>
      <c r="J1264" s="1" t="s">
        <v>56</v>
      </c>
      <c r="K1264" s="1" t="s">
        <v>2892</v>
      </c>
      <c r="L1264" s="1" t="s">
        <v>27</v>
      </c>
      <c r="N1264" s="1" t="s">
        <v>123</v>
      </c>
      <c r="O1264" s="1" t="s">
        <v>57</v>
      </c>
      <c r="P1264" s="1" t="s">
        <v>938</v>
      </c>
      <c r="Q1264" s="1" t="s">
        <v>939</v>
      </c>
      <c r="R1264" s="1">
        <v>0.0</v>
      </c>
      <c r="S1264" s="1"/>
    </row>
    <row r="1265" ht="15.75" customHeight="1">
      <c r="A1265" s="1" t="s">
        <v>3068</v>
      </c>
      <c r="B1265" s="1" t="s">
        <v>3069</v>
      </c>
      <c r="C1265" s="1" t="s">
        <v>1002</v>
      </c>
      <c r="E1265" s="1">
        <v>28.5670716</v>
      </c>
      <c r="F1265" s="1">
        <v>77.321134</v>
      </c>
      <c r="G1265" s="1" t="s">
        <v>54</v>
      </c>
      <c r="H1265" s="1" t="s">
        <v>55</v>
      </c>
      <c r="J1265" s="1" t="s">
        <v>56</v>
      </c>
      <c r="K1265" s="1" t="s">
        <v>2892</v>
      </c>
      <c r="L1265" s="1" t="s">
        <v>27</v>
      </c>
      <c r="N1265" s="1" t="s">
        <v>123</v>
      </c>
      <c r="O1265" s="1" t="s">
        <v>57</v>
      </c>
      <c r="P1265" s="1" t="s">
        <v>938</v>
      </c>
      <c r="Q1265" s="1" t="s">
        <v>939</v>
      </c>
      <c r="R1265" s="1">
        <v>0.0</v>
      </c>
      <c r="S1265" s="1"/>
    </row>
    <row r="1266" ht="15.75" customHeight="1">
      <c r="A1266" s="1" t="s">
        <v>3070</v>
      </c>
      <c r="B1266" s="1" t="s">
        <v>3071</v>
      </c>
      <c r="C1266" s="1" t="s">
        <v>3072</v>
      </c>
      <c r="E1266" s="1">
        <v>29.5822731</v>
      </c>
      <c r="F1266" s="1">
        <v>74.3252718</v>
      </c>
      <c r="G1266" s="1" t="s">
        <v>54</v>
      </c>
      <c r="H1266" s="1" t="s">
        <v>55</v>
      </c>
      <c r="J1266" s="1" t="s">
        <v>56</v>
      </c>
      <c r="K1266" s="1" t="s">
        <v>2892</v>
      </c>
      <c r="L1266" s="1" t="s">
        <v>27</v>
      </c>
      <c r="N1266" s="1" t="s">
        <v>849</v>
      </c>
      <c r="O1266" s="1" t="s">
        <v>57</v>
      </c>
      <c r="P1266" s="1" t="s">
        <v>887</v>
      </c>
      <c r="Q1266" s="1" t="s">
        <v>888</v>
      </c>
      <c r="R1266" s="1">
        <v>0.0</v>
      </c>
      <c r="S1266" s="1"/>
    </row>
    <row r="1267" ht="15.75" customHeight="1">
      <c r="A1267" s="1" t="s">
        <v>3073</v>
      </c>
      <c r="B1267" s="1" t="s">
        <v>3074</v>
      </c>
      <c r="C1267" s="1" t="s">
        <v>848</v>
      </c>
      <c r="E1267" s="1">
        <v>26.8956554</v>
      </c>
      <c r="F1267" s="1">
        <v>75.8301089</v>
      </c>
      <c r="G1267" s="1" t="s">
        <v>54</v>
      </c>
      <c r="H1267" s="1" t="s">
        <v>55</v>
      </c>
      <c r="J1267" s="1" t="s">
        <v>56</v>
      </c>
      <c r="K1267" s="1" t="s">
        <v>2892</v>
      </c>
      <c r="L1267" s="1" t="s">
        <v>27</v>
      </c>
      <c r="N1267" s="1" t="s">
        <v>849</v>
      </c>
      <c r="O1267" s="1" t="s">
        <v>57</v>
      </c>
      <c r="P1267" s="1" t="s">
        <v>887</v>
      </c>
      <c r="Q1267" s="1" t="s">
        <v>888</v>
      </c>
      <c r="R1267" s="1">
        <v>0.0</v>
      </c>
      <c r="S1267" s="1"/>
    </row>
    <row r="1268" ht="15.75" customHeight="1">
      <c r="A1268" s="1" t="s">
        <v>3075</v>
      </c>
      <c r="B1268" s="1" t="s">
        <v>3076</v>
      </c>
      <c r="C1268" s="1" t="s">
        <v>3077</v>
      </c>
      <c r="E1268" s="1">
        <v>25.3436478</v>
      </c>
      <c r="F1268" s="1">
        <v>74.6266016</v>
      </c>
      <c r="G1268" s="1" t="s">
        <v>54</v>
      </c>
      <c r="H1268" s="1" t="s">
        <v>55</v>
      </c>
      <c r="J1268" s="1" t="s">
        <v>56</v>
      </c>
      <c r="K1268" s="1" t="s">
        <v>2892</v>
      </c>
      <c r="L1268" s="1" t="s">
        <v>27</v>
      </c>
      <c r="N1268" s="1" t="s">
        <v>849</v>
      </c>
      <c r="O1268" s="1" t="s">
        <v>57</v>
      </c>
      <c r="P1268" s="1" t="s">
        <v>887</v>
      </c>
      <c r="Q1268" s="1" t="s">
        <v>888</v>
      </c>
      <c r="R1268" s="1">
        <v>0.0</v>
      </c>
      <c r="S1268" s="1"/>
    </row>
    <row r="1269" ht="15.75" customHeight="1">
      <c r="A1269" s="1" t="s">
        <v>3078</v>
      </c>
      <c r="B1269" s="1" t="s">
        <v>3079</v>
      </c>
      <c r="C1269" s="1" t="s">
        <v>848</v>
      </c>
      <c r="E1269" s="1">
        <v>29.9219898</v>
      </c>
      <c r="F1269" s="1">
        <v>73.8726949</v>
      </c>
      <c r="G1269" s="1" t="s">
        <v>54</v>
      </c>
      <c r="H1269" s="1" t="s">
        <v>55</v>
      </c>
      <c r="J1269" s="1" t="s">
        <v>56</v>
      </c>
      <c r="K1269" s="1" t="s">
        <v>2892</v>
      </c>
      <c r="L1269" s="1" t="s">
        <v>27</v>
      </c>
      <c r="N1269" s="1" t="s">
        <v>849</v>
      </c>
      <c r="O1269" s="1" t="s">
        <v>57</v>
      </c>
      <c r="P1269" s="1" t="s">
        <v>887</v>
      </c>
      <c r="Q1269" s="1" t="s">
        <v>888</v>
      </c>
      <c r="R1269" s="1">
        <v>0.0</v>
      </c>
      <c r="S1269" s="1"/>
    </row>
    <row r="1270" ht="15.75" customHeight="1">
      <c r="A1270" s="1" t="s">
        <v>3080</v>
      </c>
      <c r="B1270" s="1" t="s">
        <v>3081</v>
      </c>
      <c r="C1270" s="1" t="s">
        <v>3082</v>
      </c>
      <c r="E1270" s="1">
        <v>29.9219898</v>
      </c>
      <c r="F1270" s="1">
        <v>73.8726949</v>
      </c>
      <c r="G1270" s="1" t="s">
        <v>54</v>
      </c>
      <c r="H1270" s="1" t="s">
        <v>55</v>
      </c>
      <c r="J1270" s="1" t="s">
        <v>56</v>
      </c>
      <c r="K1270" s="1" t="s">
        <v>2892</v>
      </c>
      <c r="L1270" s="1" t="s">
        <v>27</v>
      </c>
      <c r="N1270" s="1" t="s">
        <v>849</v>
      </c>
      <c r="O1270" s="1" t="s">
        <v>29</v>
      </c>
      <c r="P1270" s="1" t="s">
        <v>887</v>
      </c>
      <c r="Q1270" s="1" t="s">
        <v>888</v>
      </c>
      <c r="R1270" s="1">
        <v>0.0</v>
      </c>
      <c r="S1270" s="1"/>
    </row>
    <row r="1271" ht="15.75" customHeight="1">
      <c r="A1271" s="1" t="s">
        <v>3083</v>
      </c>
      <c r="B1271" s="1" t="s">
        <v>3084</v>
      </c>
      <c r="C1271" s="1" t="s">
        <v>848</v>
      </c>
      <c r="E1271" s="1">
        <v>26.8956554</v>
      </c>
      <c r="F1271" s="1">
        <v>75.8301089</v>
      </c>
      <c r="G1271" s="1" t="s">
        <v>54</v>
      </c>
      <c r="H1271" s="1" t="s">
        <v>55</v>
      </c>
      <c r="J1271" s="1" t="s">
        <v>56</v>
      </c>
      <c r="K1271" s="1" t="s">
        <v>2892</v>
      </c>
      <c r="L1271" s="1" t="s">
        <v>27</v>
      </c>
      <c r="N1271" s="1" t="s">
        <v>849</v>
      </c>
      <c r="O1271" s="1" t="s">
        <v>57</v>
      </c>
      <c r="P1271" s="1" t="s">
        <v>887</v>
      </c>
      <c r="Q1271" s="1" t="s">
        <v>888</v>
      </c>
      <c r="R1271" s="1">
        <v>0.0</v>
      </c>
      <c r="S1271" s="1"/>
    </row>
    <row r="1272" ht="15.75" customHeight="1">
      <c r="A1272" s="1" t="s">
        <v>3085</v>
      </c>
      <c r="B1272" s="1" t="s">
        <v>3086</v>
      </c>
      <c r="C1272" s="1" t="s">
        <v>3087</v>
      </c>
      <c r="E1272" s="1">
        <v>26.453272</v>
      </c>
      <c r="F1272" s="1">
        <v>74.637421</v>
      </c>
      <c r="G1272" s="1" t="s">
        <v>54</v>
      </c>
      <c r="H1272" s="1" t="s">
        <v>55</v>
      </c>
      <c r="J1272" s="1" t="s">
        <v>56</v>
      </c>
      <c r="K1272" s="1" t="s">
        <v>2892</v>
      </c>
      <c r="L1272" s="1" t="s">
        <v>27</v>
      </c>
      <c r="N1272" s="1" t="s">
        <v>849</v>
      </c>
      <c r="O1272" s="1" t="s">
        <v>57</v>
      </c>
      <c r="P1272" s="1" t="s">
        <v>887</v>
      </c>
      <c r="Q1272" s="1" t="s">
        <v>888</v>
      </c>
      <c r="R1272" s="1">
        <v>0.0</v>
      </c>
      <c r="S1272" s="1"/>
    </row>
    <row r="1273" ht="15.75" customHeight="1">
      <c r="A1273" s="1" t="s">
        <v>3088</v>
      </c>
      <c r="B1273" s="1" t="s">
        <v>3089</v>
      </c>
      <c r="C1273" s="1" t="s">
        <v>3087</v>
      </c>
      <c r="E1273" s="1">
        <v>26.453272</v>
      </c>
      <c r="F1273" s="1">
        <v>74.637421</v>
      </c>
      <c r="G1273" s="1" t="s">
        <v>54</v>
      </c>
      <c r="H1273" s="1" t="s">
        <v>55</v>
      </c>
      <c r="J1273" s="1" t="s">
        <v>56</v>
      </c>
      <c r="K1273" s="1" t="s">
        <v>2892</v>
      </c>
      <c r="L1273" s="1" t="s">
        <v>27</v>
      </c>
      <c r="N1273" s="1" t="s">
        <v>849</v>
      </c>
      <c r="O1273" s="1" t="s">
        <v>57</v>
      </c>
      <c r="P1273" s="1" t="s">
        <v>887</v>
      </c>
      <c r="Q1273" s="1" t="s">
        <v>888</v>
      </c>
      <c r="R1273" s="1">
        <v>0.0</v>
      </c>
      <c r="S1273" s="1"/>
    </row>
    <row r="1274" ht="15.75" customHeight="1">
      <c r="A1274" s="1" t="s">
        <v>3090</v>
      </c>
      <c r="B1274" s="1" t="s">
        <v>3091</v>
      </c>
      <c r="C1274" s="1" t="s">
        <v>3092</v>
      </c>
      <c r="E1274" s="1">
        <v>27.5642562</v>
      </c>
      <c r="F1274" s="1">
        <v>76.5984143</v>
      </c>
      <c r="G1274" s="1" t="s">
        <v>54</v>
      </c>
      <c r="H1274" s="1" t="s">
        <v>55</v>
      </c>
      <c r="J1274" s="1" t="s">
        <v>56</v>
      </c>
      <c r="K1274" s="1" t="s">
        <v>2892</v>
      </c>
      <c r="L1274" s="1" t="s">
        <v>27</v>
      </c>
      <c r="N1274" s="1" t="s">
        <v>849</v>
      </c>
      <c r="O1274" s="1" t="s">
        <v>57</v>
      </c>
      <c r="P1274" s="1" t="s">
        <v>887</v>
      </c>
      <c r="Q1274" s="1" t="s">
        <v>888</v>
      </c>
      <c r="R1274" s="1">
        <v>0.0</v>
      </c>
      <c r="S1274" s="1"/>
    </row>
    <row r="1275" ht="15.75" customHeight="1">
      <c r="A1275" s="1" t="s">
        <v>3093</v>
      </c>
      <c r="B1275" s="1" t="s">
        <v>3094</v>
      </c>
      <c r="C1275" s="1" t="s">
        <v>3095</v>
      </c>
      <c r="E1275" s="1">
        <v>28.0186279</v>
      </c>
      <c r="F1275" s="1">
        <v>73.31362920000001</v>
      </c>
      <c r="G1275" s="1" t="s">
        <v>54</v>
      </c>
      <c r="H1275" s="1" t="s">
        <v>55</v>
      </c>
      <c r="J1275" s="1" t="s">
        <v>56</v>
      </c>
      <c r="K1275" s="1" t="s">
        <v>2892</v>
      </c>
      <c r="L1275" s="1" t="s">
        <v>27</v>
      </c>
      <c r="N1275" s="1" t="s">
        <v>849</v>
      </c>
      <c r="O1275" s="1" t="s">
        <v>57</v>
      </c>
      <c r="P1275" s="1" t="s">
        <v>887</v>
      </c>
      <c r="Q1275" s="1" t="s">
        <v>888</v>
      </c>
      <c r="R1275" s="1">
        <v>0.0</v>
      </c>
      <c r="S1275" s="1"/>
    </row>
    <row r="1276" ht="15.75" customHeight="1">
      <c r="A1276" s="1" t="s">
        <v>3096</v>
      </c>
      <c r="B1276" s="1" t="s">
        <v>3097</v>
      </c>
      <c r="C1276" s="1" t="s">
        <v>848</v>
      </c>
      <c r="E1276" s="1">
        <v>26.9703972</v>
      </c>
      <c r="F1276" s="1">
        <v>75.7578711</v>
      </c>
      <c r="G1276" s="1" t="s">
        <v>54</v>
      </c>
      <c r="H1276" s="1" t="s">
        <v>55</v>
      </c>
      <c r="J1276" s="1" t="s">
        <v>56</v>
      </c>
      <c r="K1276" s="1" t="s">
        <v>2892</v>
      </c>
      <c r="L1276" s="1" t="s">
        <v>27</v>
      </c>
      <c r="N1276" s="1" t="s">
        <v>849</v>
      </c>
      <c r="O1276" s="1" t="s">
        <v>57</v>
      </c>
      <c r="P1276" s="1" t="s">
        <v>887</v>
      </c>
      <c r="Q1276" s="1" t="s">
        <v>888</v>
      </c>
      <c r="R1276" s="1">
        <v>0.0</v>
      </c>
      <c r="S1276" s="1"/>
    </row>
    <row r="1277" ht="15.75" customHeight="1">
      <c r="A1277" s="1" t="s">
        <v>3098</v>
      </c>
      <c r="B1277" s="1" t="s">
        <v>3099</v>
      </c>
      <c r="C1277" s="1" t="s">
        <v>848</v>
      </c>
      <c r="E1277" s="1">
        <v>28.5321846</v>
      </c>
      <c r="F1277" s="1">
        <v>77.21041009999999</v>
      </c>
      <c r="G1277" s="1" t="s">
        <v>54</v>
      </c>
      <c r="H1277" s="1" t="s">
        <v>55</v>
      </c>
      <c r="J1277" s="1" t="s">
        <v>56</v>
      </c>
      <c r="K1277" s="1" t="s">
        <v>2892</v>
      </c>
      <c r="L1277" s="1" t="s">
        <v>27</v>
      </c>
      <c r="N1277" s="1" t="s">
        <v>849</v>
      </c>
      <c r="O1277" s="1" t="s">
        <v>57</v>
      </c>
      <c r="P1277" s="1" t="s">
        <v>887</v>
      </c>
      <c r="Q1277" s="1" t="s">
        <v>888</v>
      </c>
      <c r="R1277" s="1">
        <v>0.0</v>
      </c>
      <c r="S1277" s="1"/>
    </row>
    <row r="1278" ht="15.75" customHeight="1">
      <c r="A1278" s="1" t="s">
        <v>3100</v>
      </c>
      <c r="B1278" s="1" t="s">
        <v>3101</v>
      </c>
      <c r="C1278" s="1" t="s">
        <v>3087</v>
      </c>
      <c r="E1278" s="1">
        <v>26.453272</v>
      </c>
      <c r="F1278" s="1">
        <v>74.637421</v>
      </c>
      <c r="G1278" s="1" t="s">
        <v>54</v>
      </c>
      <c r="H1278" s="1" t="s">
        <v>55</v>
      </c>
      <c r="J1278" s="1" t="s">
        <v>118</v>
      </c>
      <c r="K1278" s="1" t="s">
        <v>2892</v>
      </c>
      <c r="L1278" s="1" t="s">
        <v>27</v>
      </c>
      <c r="N1278" s="1" t="s">
        <v>849</v>
      </c>
      <c r="O1278" s="1" t="s">
        <v>57</v>
      </c>
      <c r="P1278" s="1" t="s">
        <v>887</v>
      </c>
      <c r="Q1278" s="1" t="s">
        <v>888</v>
      </c>
      <c r="R1278" s="1">
        <v>0.0</v>
      </c>
      <c r="S1278" s="1"/>
    </row>
    <row r="1279" ht="15.75" customHeight="1">
      <c r="A1279" s="1" t="s">
        <v>3102</v>
      </c>
      <c r="B1279" s="1" t="s">
        <v>3103</v>
      </c>
      <c r="C1279" s="1" t="s">
        <v>3104</v>
      </c>
      <c r="E1279" s="1">
        <v>26.286627</v>
      </c>
      <c r="F1279" s="1">
        <v>72.99209909999999</v>
      </c>
      <c r="G1279" s="1" t="s">
        <v>54</v>
      </c>
      <c r="H1279" s="1" t="s">
        <v>55</v>
      </c>
      <c r="J1279" s="1" t="s">
        <v>56</v>
      </c>
      <c r="K1279" s="1" t="s">
        <v>2892</v>
      </c>
      <c r="L1279" s="1" t="s">
        <v>27</v>
      </c>
      <c r="N1279" s="1" t="s">
        <v>849</v>
      </c>
      <c r="O1279" s="1" t="s">
        <v>57</v>
      </c>
      <c r="P1279" s="1" t="s">
        <v>887</v>
      </c>
      <c r="Q1279" s="1" t="s">
        <v>888</v>
      </c>
      <c r="R1279" s="1">
        <v>0.0</v>
      </c>
      <c r="S1279" s="1"/>
    </row>
    <row r="1280" ht="15.75" customHeight="1">
      <c r="A1280" s="1" t="s">
        <v>3105</v>
      </c>
      <c r="B1280" s="1" t="s">
        <v>3106</v>
      </c>
      <c r="C1280" s="1" t="s">
        <v>899</v>
      </c>
      <c r="E1280" s="1">
        <v>24.5768046</v>
      </c>
      <c r="F1280" s="1">
        <v>73.6980315</v>
      </c>
      <c r="G1280" s="1" t="s">
        <v>54</v>
      </c>
      <c r="H1280" s="1" t="s">
        <v>55</v>
      </c>
      <c r="J1280" s="1" t="s">
        <v>56</v>
      </c>
      <c r="K1280" s="1" t="s">
        <v>2892</v>
      </c>
      <c r="L1280" s="1" t="s">
        <v>27</v>
      </c>
      <c r="N1280" s="1" t="s">
        <v>900</v>
      </c>
      <c r="O1280" s="1" t="s">
        <v>57</v>
      </c>
      <c r="P1280" s="1" t="s">
        <v>887</v>
      </c>
      <c r="Q1280" s="1" t="s">
        <v>888</v>
      </c>
      <c r="R1280" s="1">
        <v>0.0</v>
      </c>
      <c r="S1280" s="1"/>
    </row>
    <row r="1281" ht="15.75" customHeight="1">
      <c r="A1281" s="1" t="s">
        <v>3107</v>
      </c>
      <c r="B1281" s="1" t="s">
        <v>3108</v>
      </c>
      <c r="C1281" s="1" t="s">
        <v>848</v>
      </c>
      <c r="E1281" s="1">
        <v>26.8956554</v>
      </c>
      <c r="F1281" s="1">
        <v>75.8301089</v>
      </c>
      <c r="G1281" s="1" t="s">
        <v>54</v>
      </c>
      <c r="H1281" s="1" t="s">
        <v>55</v>
      </c>
      <c r="J1281" s="1" t="s">
        <v>118</v>
      </c>
      <c r="K1281" s="1" t="s">
        <v>2892</v>
      </c>
      <c r="L1281" s="1" t="s">
        <v>27</v>
      </c>
      <c r="N1281" s="1" t="s">
        <v>849</v>
      </c>
      <c r="O1281" s="1" t="s">
        <v>57</v>
      </c>
      <c r="P1281" s="1" t="s">
        <v>887</v>
      </c>
      <c r="Q1281" s="1" t="s">
        <v>888</v>
      </c>
      <c r="R1281" s="1">
        <v>0.0</v>
      </c>
      <c r="S1281" s="1"/>
    </row>
    <row r="1282" ht="15.75" customHeight="1">
      <c r="A1282" s="1" t="s">
        <v>3109</v>
      </c>
      <c r="B1282" s="1" t="s">
        <v>3110</v>
      </c>
      <c r="C1282" s="1" t="s">
        <v>38</v>
      </c>
      <c r="E1282" s="1">
        <v>28.6749143</v>
      </c>
      <c r="F1282" s="1">
        <v>77.4429791</v>
      </c>
      <c r="G1282" s="1" t="s">
        <v>54</v>
      </c>
      <c r="H1282" s="1" t="s">
        <v>55</v>
      </c>
      <c r="J1282" s="1" t="s">
        <v>56</v>
      </c>
      <c r="K1282" s="1" t="s">
        <v>2892</v>
      </c>
      <c r="L1282" s="1" t="s">
        <v>27</v>
      </c>
      <c r="N1282" s="1" t="s">
        <v>28</v>
      </c>
      <c r="O1282" s="1" t="s">
        <v>29</v>
      </c>
      <c r="P1282" s="1" t="s">
        <v>2107</v>
      </c>
      <c r="Q1282" s="1" t="s">
        <v>2108</v>
      </c>
      <c r="R1282" s="1">
        <v>4.0</v>
      </c>
      <c r="S1282" s="1"/>
    </row>
    <row r="1283" ht="15.75" customHeight="1">
      <c r="A1283" s="1" t="s">
        <v>3111</v>
      </c>
      <c r="B1283" s="1" t="s">
        <v>3112</v>
      </c>
      <c r="C1283" s="1" t="s">
        <v>38</v>
      </c>
      <c r="E1283" s="1">
        <v>28.6463896</v>
      </c>
      <c r="F1283" s="1">
        <v>77.3199776</v>
      </c>
      <c r="G1283" s="1" t="s">
        <v>54</v>
      </c>
      <c r="H1283" s="1" t="s">
        <v>55</v>
      </c>
      <c r="J1283" s="1" t="s">
        <v>56</v>
      </c>
      <c r="K1283" s="1" t="s">
        <v>2892</v>
      </c>
      <c r="L1283" s="1" t="s">
        <v>27</v>
      </c>
      <c r="N1283" s="1" t="s">
        <v>28</v>
      </c>
      <c r="O1283" s="1" t="s">
        <v>57</v>
      </c>
      <c r="P1283" s="1" t="s">
        <v>2167</v>
      </c>
      <c r="Q1283" s="1" t="s">
        <v>2168</v>
      </c>
      <c r="R1283" s="1">
        <v>0.0</v>
      </c>
      <c r="S1283" s="1"/>
    </row>
    <row r="1284" ht="15.75" customHeight="1">
      <c r="A1284" s="1" t="s">
        <v>3113</v>
      </c>
      <c r="B1284" s="1" t="s">
        <v>3114</v>
      </c>
      <c r="C1284" s="1" t="s">
        <v>21</v>
      </c>
      <c r="E1284" s="1">
        <v>28.572176</v>
      </c>
      <c r="F1284" s="1">
        <v>77.3240682</v>
      </c>
      <c r="G1284" s="1" t="s">
        <v>54</v>
      </c>
      <c r="H1284" s="1" t="s">
        <v>55</v>
      </c>
      <c r="J1284" s="1" t="s">
        <v>56</v>
      </c>
      <c r="K1284" s="1" t="s">
        <v>2892</v>
      </c>
      <c r="L1284" s="1" t="s">
        <v>27</v>
      </c>
      <c r="N1284" s="1" t="s">
        <v>28</v>
      </c>
      <c r="O1284" s="1" t="s">
        <v>29</v>
      </c>
      <c r="P1284" s="1" t="s">
        <v>2167</v>
      </c>
      <c r="Q1284" s="1" t="s">
        <v>2168</v>
      </c>
      <c r="R1284" s="1">
        <v>1.0</v>
      </c>
      <c r="S1284" s="1"/>
    </row>
    <row r="1285" ht="15.75" customHeight="1">
      <c r="A1285" s="1" t="s">
        <v>3115</v>
      </c>
      <c r="B1285" s="1" t="s">
        <v>3116</v>
      </c>
      <c r="C1285" s="1" t="s">
        <v>38</v>
      </c>
      <c r="E1285" s="1">
        <v>28.6384625</v>
      </c>
      <c r="F1285" s="1">
        <v>77.3606626</v>
      </c>
      <c r="G1285" s="1" t="s">
        <v>54</v>
      </c>
      <c r="H1285" s="1" t="s">
        <v>55</v>
      </c>
      <c r="J1285" s="1" t="s">
        <v>56</v>
      </c>
      <c r="K1285" s="1" t="s">
        <v>2892</v>
      </c>
      <c r="L1285" s="1" t="s">
        <v>27</v>
      </c>
      <c r="N1285" s="1" t="s">
        <v>28</v>
      </c>
      <c r="O1285" s="1" t="s">
        <v>57</v>
      </c>
      <c r="P1285" s="1" t="s">
        <v>2167</v>
      </c>
      <c r="Q1285" s="1" t="s">
        <v>2168</v>
      </c>
      <c r="R1285" s="1">
        <v>0.0</v>
      </c>
      <c r="S1285" s="1"/>
    </row>
    <row r="1286" ht="15.75" customHeight="1">
      <c r="A1286" s="1" t="s">
        <v>3117</v>
      </c>
      <c r="B1286" s="1" t="s">
        <v>3118</v>
      </c>
      <c r="C1286" s="1" t="s">
        <v>38</v>
      </c>
      <c r="E1286" s="1">
        <v>28.6556908</v>
      </c>
      <c r="F1286" s="1">
        <v>77.4355479</v>
      </c>
      <c r="G1286" s="1" t="s">
        <v>54</v>
      </c>
      <c r="H1286" s="1" t="s">
        <v>55</v>
      </c>
      <c r="J1286" s="1" t="s">
        <v>56</v>
      </c>
      <c r="K1286" s="1" t="s">
        <v>2892</v>
      </c>
      <c r="L1286" s="1" t="s">
        <v>27</v>
      </c>
      <c r="N1286" s="1" t="s">
        <v>28</v>
      </c>
      <c r="O1286" s="1" t="s">
        <v>29</v>
      </c>
      <c r="P1286" s="1" t="s">
        <v>2167</v>
      </c>
      <c r="Q1286" s="1" t="s">
        <v>2168</v>
      </c>
      <c r="R1286" s="1">
        <v>0.0</v>
      </c>
      <c r="S1286" s="1"/>
    </row>
    <row r="1287" ht="15.75" customHeight="1">
      <c r="A1287" s="1" t="s">
        <v>3119</v>
      </c>
      <c r="B1287" s="1" t="s">
        <v>3120</v>
      </c>
      <c r="C1287" s="1" t="s">
        <v>21</v>
      </c>
      <c r="E1287" s="1">
        <v>28.5670716</v>
      </c>
      <c r="F1287" s="1">
        <v>77.321134</v>
      </c>
      <c r="G1287" s="1" t="s">
        <v>54</v>
      </c>
      <c r="H1287" s="1" t="s">
        <v>55</v>
      </c>
      <c r="J1287" s="1" t="s">
        <v>56</v>
      </c>
      <c r="K1287" s="1" t="s">
        <v>2892</v>
      </c>
      <c r="L1287" s="1" t="s">
        <v>27</v>
      </c>
      <c r="N1287" s="1" t="s">
        <v>28</v>
      </c>
      <c r="O1287" s="1" t="s">
        <v>29</v>
      </c>
      <c r="P1287" s="1" t="s">
        <v>2167</v>
      </c>
      <c r="Q1287" s="1" t="s">
        <v>2168</v>
      </c>
      <c r="R1287" s="1">
        <v>3.0</v>
      </c>
      <c r="S1287" s="1"/>
    </row>
    <row r="1288" ht="15.75" customHeight="1">
      <c r="A1288" s="1" t="s">
        <v>3121</v>
      </c>
      <c r="B1288" s="1" t="s">
        <v>3122</v>
      </c>
      <c r="C1288" s="1" t="s">
        <v>3123</v>
      </c>
      <c r="E1288" s="1">
        <v>29.1377057</v>
      </c>
      <c r="F1288" s="1">
        <v>78.2623239</v>
      </c>
      <c r="G1288" s="1" t="s">
        <v>54</v>
      </c>
      <c r="H1288" s="1" t="s">
        <v>55</v>
      </c>
      <c r="J1288" s="1" t="s">
        <v>56</v>
      </c>
      <c r="K1288" s="1" t="s">
        <v>2892</v>
      </c>
      <c r="L1288" s="1" t="s">
        <v>27</v>
      </c>
      <c r="N1288" s="1" t="s">
        <v>28</v>
      </c>
      <c r="O1288" s="1" t="s">
        <v>57</v>
      </c>
      <c r="P1288" s="1" t="s">
        <v>1990</v>
      </c>
      <c r="Q1288" s="1" t="s">
        <v>1991</v>
      </c>
      <c r="R1288" s="1">
        <v>0.0</v>
      </c>
      <c r="S1288" s="1"/>
    </row>
    <row r="1289" ht="15.75" customHeight="1">
      <c r="A1289" s="1" t="s">
        <v>3124</v>
      </c>
      <c r="B1289" s="1" t="s">
        <v>3125</v>
      </c>
      <c r="C1289" s="1" t="s">
        <v>3126</v>
      </c>
      <c r="E1289" s="1">
        <v>29.4708107</v>
      </c>
      <c r="F1289" s="1">
        <v>77.6966456</v>
      </c>
      <c r="G1289" s="1" t="s">
        <v>54</v>
      </c>
      <c r="H1289" s="1" t="s">
        <v>55</v>
      </c>
      <c r="J1289" s="1" t="s">
        <v>56</v>
      </c>
      <c r="K1289" s="1" t="s">
        <v>2892</v>
      </c>
      <c r="L1289" s="1" t="s">
        <v>27</v>
      </c>
      <c r="N1289" s="1" t="s">
        <v>28</v>
      </c>
      <c r="O1289" s="1" t="s">
        <v>57</v>
      </c>
      <c r="P1289" s="1" t="s">
        <v>1990</v>
      </c>
      <c r="Q1289" s="1" t="s">
        <v>1991</v>
      </c>
      <c r="R1289" s="1">
        <v>0.0</v>
      </c>
      <c r="S1289" s="1"/>
    </row>
    <row r="1290" ht="15.75" customHeight="1">
      <c r="A1290" s="1" t="s">
        <v>3127</v>
      </c>
      <c r="B1290" s="1" t="s">
        <v>3128</v>
      </c>
      <c r="C1290" s="1" t="s">
        <v>38</v>
      </c>
      <c r="E1290" s="1">
        <v>28.6435757</v>
      </c>
      <c r="F1290" s="1">
        <v>77.3398648</v>
      </c>
      <c r="G1290" s="1" t="s">
        <v>54</v>
      </c>
      <c r="H1290" s="1" t="s">
        <v>55</v>
      </c>
      <c r="J1290" s="1" t="s">
        <v>56</v>
      </c>
      <c r="K1290" s="1" t="s">
        <v>2892</v>
      </c>
      <c r="L1290" s="1" t="s">
        <v>27</v>
      </c>
      <c r="N1290" s="1" t="s">
        <v>28</v>
      </c>
      <c r="O1290" s="1" t="s">
        <v>29</v>
      </c>
      <c r="P1290" s="1" t="s">
        <v>2167</v>
      </c>
      <c r="Q1290" s="1" t="s">
        <v>2168</v>
      </c>
      <c r="R1290" s="1">
        <v>0.0</v>
      </c>
      <c r="S1290" s="1"/>
    </row>
    <row r="1291" ht="15.75" customHeight="1">
      <c r="A1291" s="1" t="s">
        <v>3129</v>
      </c>
      <c r="B1291" s="1" t="s">
        <v>3130</v>
      </c>
      <c r="C1291" s="1" t="s">
        <v>2116</v>
      </c>
      <c r="E1291" s="1">
        <v>22.889185</v>
      </c>
      <c r="F1291" s="1">
        <v>88.39715059999999</v>
      </c>
      <c r="G1291" s="1" t="s">
        <v>54</v>
      </c>
      <c r="H1291" s="1" t="s">
        <v>55</v>
      </c>
      <c r="J1291" s="1" t="s">
        <v>56</v>
      </c>
      <c r="K1291" s="1" t="s">
        <v>2892</v>
      </c>
      <c r="L1291" s="1" t="s">
        <v>27</v>
      </c>
      <c r="N1291" s="1" t="s">
        <v>532</v>
      </c>
      <c r="O1291" s="1" t="s">
        <v>57</v>
      </c>
      <c r="P1291" s="1" t="s">
        <v>3131</v>
      </c>
      <c r="Q1291" s="1" t="s">
        <v>3132</v>
      </c>
      <c r="R1291" s="1">
        <v>0.0</v>
      </c>
      <c r="S1291" s="1"/>
    </row>
    <row r="1292" ht="15.75" customHeight="1">
      <c r="A1292" s="1" t="s">
        <v>3133</v>
      </c>
      <c r="B1292" s="1" t="s">
        <v>3134</v>
      </c>
      <c r="C1292" s="1" t="s">
        <v>531</v>
      </c>
      <c r="E1292" s="1">
        <v>22.7241769</v>
      </c>
      <c r="F1292" s="1">
        <v>88.37816649999999</v>
      </c>
      <c r="G1292" s="1" t="s">
        <v>54</v>
      </c>
      <c r="H1292" s="1" t="s">
        <v>55</v>
      </c>
      <c r="J1292" s="1" t="s">
        <v>56</v>
      </c>
      <c r="K1292" s="1" t="s">
        <v>2892</v>
      </c>
      <c r="L1292" s="1" t="s">
        <v>27</v>
      </c>
      <c r="N1292" s="1" t="s">
        <v>532</v>
      </c>
      <c r="O1292" s="1" t="s">
        <v>57</v>
      </c>
      <c r="P1292" s="1" t="s">
        <v>3135</v>
      </c>
      <c r="Q1292" s="1" t="s">
        <v>3136</v>
      </c>
      <c r="R1292" s="1">
        <v>0.0</v>
      </c>
      <c r="S1292" s="1"/>
    </row>
    <row r="1293" ht="15.75" customHeight="1">
      <c r="A1293" s="1" t="s">
        <v>3137</v>
      </c>
      <c r="B1293" s="1" t="s">
        <v>3138</v>
      </c>
      <c r="C1293" s="1" t="s">
        <v>531</v>
      </c>
      <c r="E1293" s="1">
        <v>22.5060367</v>
      </c>
      <c r="F1293" s="1">
        <v>88.31977169999999</v>
      </c>
      <c r="G1293" s="1" t="s">
        <v>54</v>
      </c>
      <c r="H1293" s="1" t="s">
        <v>55</v>
      </c>
      <c r="J1293" s="1" t="s">
        <v>118</v>
      </c>
      <c r="K1293" s="1" t="s">
        <v>2892</v>
      </c>
      <c r="L1293" s="1" t="s">
        <v>27</v>
      </c>
      <c r="N1293" s="1" t="s">
        <v>532</v>
      </c>
      <c r="O1293" s="1" t="s">
        <v>57</v>
      </c>
      <c r="P1293" s="1" t="s">
        <v>3135</v>
      </c>
      <c r="Q1293" s="1" t="s">
        <v>3136</v>
      </c>
      <c r="R1293" s="1">
        <v>0.0</v>
      </c>
      <c r="S1293" s="1"/>
    </row>
    <row r="1294" ht="15.75" customHeight="1">
      <c r="A1294" s="1" t="s">
        <v>3139</v>
      </c>
      <c r="B1294" s="1" t="s">
        <v>3140</v>
      </c>
      <c r="C1294" s="1" t="s">
        <v>531</v>
      </c>
      <c r="E1294" s="1">
        <v>22.590886</v>
      </c>
      <c r="F1294" s="1">
        <v>88.34105079999999</v>
      </c>
      <c r="G1294" s="1" t="s">
        <v>54</v>
      </c>
      <c r="H1294" s="1" t="s">
        <v>55</v>
      </c>
      <c r="J1294" s="1" t="s">
        <v>44</v>
      </c>
      <c r="K1294" s="1" t="s">
        <v>2892</v>
      </c>
      <c r="L1294" s="1" t="s">
        <v>27</v>
      </c>
      <c r="N1294" s="1" t="s">
        <v>532</v>
      </c>
      <c r="O1294" s="1" t="s">
        <v>57</v>
      </c>
      <c r="P1294" s="1" t="s">
        <v>3135</v>
      </c>
      <c r="Q1294" s="1" t="s">
        <v>3136</v>
      </c>
      <c r="R1294" s="1">
        <v>0.0</v>
      </c>
      <c r="S1294" s="1"/>
    </row>
    <row r="1295" ht="15.75" customHeight="1">
      <c r="A1295" s="1" t="s">
        <v>3141</v>
      </c>
      <c r="B1295" s="1" t="s">
        <v>3142</v>
      </c>
      <c r="C1295" s="1" t="s">
        <v>2116</v>
      </c>
      <c r="E1295" s="1">
        <v>22.889185</v>
      </c>
      <c r="F1295" s="1">
        <v>88.39715059999999</v>
      </c>
      <c r="G1295" s="1" t="s">
        <v>54</v>
      </c>
      <c r="H1295" s="1" t="s">
        <v>55</v>
      </c>
      <c r="J1295" s="1" t="s">
        <v>56</v>
      </c>
      <c r="K1295" s="1" t="s">
        <v>2892</v>
      </c>
      <c r="L1295" s="1" t="s">
        <v>27</v>
      </c>
      <c r="N1295" s="1" t="s">
        <v>532</v>
      </c>
      <c r="O1295" s="1" t="s">
        <v>57</v>
      </c>
      <c r="P1295" s="1" t="s">
        <v>3131</v>
      </c>
      <c r="Q1295" s="1" t="s">
        <v>3132</v>
      </c>
      <c r="R1295" s="1">
        <v>0.0</v>
      </c>
      <c r="S1295" s="1"/>
    </row>
    <row r="1296" ht="15.75" customHeight="1">
      <c r="A1296" s="1" t="s">
        <v>3143</v>
      </c>
      <c r="B1296" s="1" t="s">
        <v>3144</v>
      </c>
      <c r="C1296" s="1" t="s">
        <v>531</v>
      </c>
      <c r="E1296" s="1">
        <v>22.7621415</v>
      </c>
      <c r="F1296" s="1">
        <v>88.3653205</v>
      </c>
      <c r="G1296" s="1" t="s">
        <v>54</v>
      </c>
      <c r="H1296" s="1" t="s">
        <v>55</v>
      </c>
      <c r="J1296" s="1" t="s">
        <v>56</v>
      </c>
      <c r="K1296" s="1" t="s">
        <v>2892</v>
      </c>
      <c r="L1296" s="1" t="s">
        <v>27</v>
      </c>
      <c r="N1296" s="1" t="s">
        <v>532</v>
      </c>
      <c r="O1296" s="1" t="s">
        <v>57</v>
      </c>
      <c r="P1296" s="1" t="s">
        <v>3135</v>
      </c>
      <c r="Q1296" s="1" t="s">
        <v>3136</v>
      </c>
      <c r="R1296" s="1">
        <v>2.0</v>
      </c>
      <c r="S1296" s="1"/>
    </row>
    <row r="1297" ht="15.75" customHeight="1">
      <c r="A1297" s="1" t="s">
        <v>3145</v>
      </c>
      <c r="B1297" s="1" t="s">
        <v>3146</v>
      </c>
      <c r="C1297" s="1" t="s">
        <v>531</v>
      </c>
      <c r="E1297" s="1">
        <v>22.5494758</v>
      </c>
      <c r="F1297" s="1">
        <v>88.37071689999999</v>
      </c>
      <c r="G1297" s="1" t="s">
        <v>54</v>
      </c>
      <c r="H1297" s="1" t="s">
        <v>55</v>
      </c>
      <c r="J1297" s="1" t="s">
        <v>56</v>
      </c>
      <c r="K1297" s="1" t="s">
        <v>2892</v>
      </c>
      <c r="L1297" s="1" t="s">
        <v>27</v>
      </c>
      <c r="N1297" s="1" t="s">
        <v>532</v>
      </c>
      <c r="O1297" s="1" t="s">
        <v>57</v>
      </c>
      <c r="P1297" s="1" t="s">
        <v>3135</v>
      </c>
      <c r="Q1297" s="1" t="s">
        <v>3136</v>
      </c>
      <c r="R1297" s="1">
        <v>1.0</v>
      </c>
      <c r="S1297" s="1"/>
    </row>
    <row r="1298" ht="15.75" customHeight="1">
      <c r="A1298" s="1" t="s">
        <v>3147</v>
      </c>
      <c r="B1298" s="1" t="s">
        <v>3148</v>
      </c>
      <c r="C1298" s="1" t="s">
        <v>531</v>
      </c>
      <c r="E1298" s="1">
        <v>22.8633656</v>
      </c>
      <c r="F1298" s="1">
        <v>88.367671</v>
      </c>
      <c r="G1298" s="1" t="s">
        <v>54</v>
      </c>
      <c r="H1298" s="1" t="s">
        <v>55</v>
      </c>
      <c r="J1298" s="1" t="s">
        <v>56</v>
      </c>
      <c r="K1298" s="1" t="s">
        <v>2892</v>
      </c>
      <c r="L1298" s="1" t="s">
        <v>27</v>
      </c>
      <c r="N1298" s="1" t="s">
        <v>532</v>
      </c>
      <c r="O1298" s="1" t="s">
        <v>57</v>
      </c>
      <c r="P1298" s="1" t="s">
        <v>3135</v>
      </c>
      <c r="Q1298" s="1" t="s">
        <v>3136</v>
      </c>
      <c r="R1298" s="1">
        <v>0.0</v>
      </c>
      <c r="S1298" s="1"/>
    </row>
    <row r="1299" ht="15.75" customHeight="1">
      <c r="A1299" s="1" t="s">
        <v>3149</v>
      </c>
      <c r="B1299" s="1" t="s">
        <v>3150</v>
      </c>
      <c r="C1299" s="1" t="s">
        <v>531</v>
      </c>
      <c r="E1299" s="1">
        <v>22.5494758</v>
      </c>
      <c r="F1299" s="1">
        <v>88.37071689999999</v>
      </c>
      <c r="G1299" s="1" t="s">
        <v>54</v>
      </c>
      <c r="H1299" s="1" t="s">
        <v>55</v>
      </c>
      <c r="J1299" s="1" t="s">
        <v>118</v>
      </c>
      <c r="K1299" s="1" t="s">
        <v>2892</v>
      </c>
      <c r="L1299" s="1" t="s">
        <v>27</v>
      </c>
      <c r="N1299" s="1" t="s">
        <v>532</v>
      </c>
      <c r="O1299" s="1" t="s">
        <v>57</v>
      </c>
      <c r="P1299" s="1" t="s">
        <v>3135</v>
      </c>
      <c r="Q1299" s="1" t="s">
        <v>3136</v>
      </c>
      <c r="R1299" s="1">
        <v>3.0</v>
      </c>
      <c r="S1299" s="1"/>
    </row>
    <row r="1300" ht="15.75" customHeight="1">
      <c r="A1300" s="1" t="s">
        <v>3151</v>
      </c>
      <c r="B1300" s="1" t="s">
        <v>3152</v>
      </c>
      <c r="C1300" s="1" t="s">
        <v>531</v>
      </c>
      <c r="E1300" s="1">
        <v>22.5622804</v>
      </c>
      <c r="F1300" s="1">
        <v>88.3523637</v>
      </c>
      <c r="G1300" s="1" t="s">
        <v>54</v>
      </c>
      <c r="H1300" s="1" t="s">
        <v>55</v>
      </c>
      <c r="J1300" s="1" t="s">
        <v>44</v>
      </c>
      <c r="K1300" s="1" t="s">
        <v>2892</v>
      </c>
      <c r="L1300" s="1" t="s">
        <v>27</v>
      </c>
      <c r="N1300" s="1" t="s">
        <v>532</v>
      </c>
      <c r="O1300" s="1" t="s">
        <v>57</v>
      </c>
      <c r="P1300" s="1" t="s">
        <v>3135</v>
      </c>
      <c r="Q1300" s="1" t="s">
        <v>3136</v>
      </c>
      <c r="R1300" s="1">
        <v>2.0</v>
      </c>
      <c r="S1300" s="1"/>
    </row>
    <row r="1301" ht="15.75" customHeight="1">
      <c r="A1301" s="1" t="s">
        <v>3153</v>
      </c>
      <c r="B1301" s="1" t="s">
        <v>3154</v>
      </c>
      <c r="C1301" s="1" t="s">
        <v>531</v>
      </c>
      <c r="E1301" s="1">
        <v>22.5506765</v>
      </c>
      <c r="F1301" s="1">
        <v>88.3620407</v>
      </c>
      <c r="G1301" s="1" t="s">
        <v>54</v>
      </c>
      <c r="H1301" s="1" t="s">
        <v>55</v>
      </c>
      <c r="J1301" s="1" t="s">
        <v>118</v>
      </c>
      <c r="K1301" s="1" t="s">
        <v>2892</v>
      </c>
      <c r="L1301" s="1" t="s">
        <v>27</v>
      </c>
      <c r="N1301" s="1" t="s">
        <v>532</v>
      </c>
      <c r="O1301" s="1" t="s">
        <v>57</v>
      </c>
      <c r="P1301" s="1" t="s">
        <v>3135</v>
      </c>
      <c r="Q1301" s="1" t="s">
        <v>3136</v>
      </c>
      <c r="R1301" s="1">
        <v>1.0</v>
      </c>
      <c r="S1301" s="1"/>
    </row>
    <row r="1302" ht="15.75" customHeight="1">
      <c r="A1302" s="1" t="s">
        <v>3155</v>
      </c>
      <c r="B1302" s="1" t="s">
        <v>3156</v>
      </c>
      <c r="C1302" s="1" t="s">
        <v>3157</v>
      </c>
      <c r="E1302" s="1">
        <v>23.7342856</v>
      </c>
      <c r="F1302" s="1">
        <v>86.8143564</v>
      </c>
      <c r="G1302" s="1" t="s">
        <v>54</v>
      </c>
      <c r="H1302" s="1" t="s">
        <v>55</v>
      </c>
      <c r="J1302" s="1" t="s">
        <v>56</v>
      </c>
      <c r="K1302" s="1" t="s">
        <v>2892</v>
      </c>
      <c r="L1302" s="1" t="s">
        <v>27</v>
      </c>
      <c r="N1302" s="1" t="s">
        <v>532</v>
      </c>
      <c r="O1302" s="1" t="s">
        <v>57</v>
      </c>
      <c r="P1302" s="1" t="s">
        <v>3131</v>
      </c>
      <c r="Q1302" s="1" t="s">
        <v>3132</v>
      </c>
      <c r="R1302" s="1">
        <v>0.0</v>
      </c>
      <c r="S1302" s="1"/>
    </row>
    <row r="1303" ht="15.75" customHeight="1">
      <c r="A1303" s="1" t="s">
        <v>3158</v>
      </c>
      <c r="B1303" s="1" t="s">
        <v>3159</v>
      </c>
      <c r="C1303" s="1" t="s">
        <v>174</v>
      </c>
      <c r="E1303" s="1">
        <v>28.6817204</v>
      </c>
      <c r="F1303" s="1">
        <v>77.28566579999999</v>
      </c>
      <c r="G1303" s="1" t="s">
        <v>54</v>
      </c>
      <c r="H1303" s="1" t="s">
        <v>55</v>
      </c>
      <c r="J1303" s="1" t="s">
        <v>56</v>
      </c>
      <c r="K1303" s="1" t="s">
        <v>2892</v>
      </c>
      <c r="L1303" s="1" t="s">
        <v>27</v>
      </c>
      <c r="N1303" s="1" t="s">
        <v>174</v>
      </c>
      <c r="O1303" s="1" t="s">
        <v>57</v>
      </c>
      <c r="P1303" s="1" t="s">
        <v>1749</v>
      </c>
      <c r="Q1303" s="1" t="s">
        <v>1750</v>
      </c>
      <c r="R1303" s="1">
        <v>0.0</v>
      </c>
      <c r="S1303" s="1"/>
    </row>
    <row r="1304" ht="15.75" customHeight="1">
      <c r="A1304" s="1" t="s">
        <v>3160</v>
      </c>
      <c r="B1304" s="1" t="s">
        <v>3161</v>
      </c>
      <c r="C1304" s="1" t="s">
        <v>174</v>
      </c>
      <c r="E1304" s="1">
        <v>28.5423564</v>
      </c>
      <c r="F1304" s="1">
        <v>77.2536271</v>
      </c>
      <c r="G1304" s="1" t="s">
        <v>54</v>
      </c>
      <c r="H1304" s="1" t="s">
        <v>55</v>
      </c>
      <c r="J1304" s="1" t="s">
        <v>56</v>
      </c>
      <c r="K1304" s="1" t="s">
        <v>2892</v>
      </c>
      <c r="L1304" s="1" t="s">
        <v>27</v>
      </c>
      <c r="N1304" s="1" t="s">
        <v>174</v>
      </c>
      <c r="O1304" s="1" t="s">
        <v>57</v>
      </c>
      <c r="P1304" s="1" t="s">
        <v>1749</v>
      </c>
      <c r="Q1304" s="1" t="s">
        <v>1750</v>
      </c>
      <c r="R1304" s="1">
        <v>3.0</v>
      </c>
      <c r="S1304" s="1"/>
    </row>
    <row r="1305" ht="15.75" customHeight="1">
      <c r="A1305" s="1" t="s">
        <v>3162</v>
      </c>
      <c r="B1305" s="1" t="s">
        <v>3163</v>
      </c>
      <c r="C1305" s="1" t="s">
        <v>38</v>
      </c>
      <c r="E1305" s="1">
        <v>28.6556908</v>
      </c>
      <c r="F1305" s="1">
        <v>77.4355479</v>
      </c>
      <c r="G1305" s="1" t="s">
        <v>54</v>
      </c>
      <c r="H1305" s="1" t="s">
        <v>55</v>
      </c>
      <c r="J1305" s="1" t="s">
        <v>118</v>
      </c>
      <c r="K1305" s="1" t="s">
        <v>2892</v>
      </c>
      <c r="L1305" s="1" t="s">
        <v>27</v>
      </c>
      <c r="N1305" s="1" t="s">
        <v>28</v>
      </c>
      <c r="O1305" s="1" t="s">
        <v>57</v>
      </c>
      <c r="P1305" s="1" t="s">
        <v>2167</v>
      </c>
      <c r="Q1305" s="1" t="s">
        <v>2168</v>
      </c>
      <c r="R1305" s="1">
        <v>0.0</v>
      </c>
      <c r="S1305" s="1"/>
    </row>
    <row r="1306" ht="15.75" customHeight="1">
      <c r="A1306" s="1" t="s">
        <v>3164</v>
      </c>
      <c r="B1306" s="1" t="s">
        <v>3165</v>
      </c>
      <c r="C1306" s="1" t="s">
        <v>3166</v>
      </c>
      <c r="E1306" s="1">
        <v>30.6711879</v>
      </c>
      <c r="F1306" s="1">
        <v>76.85551989999999</v>
      </c>
      <c r="G1306" s="1" t="s">
        <v>54</v>
      </c>
      <c r="H1306" s="1" t="s">
        <v>55</v>
      </c>
      <c r="J1306" s="1" t="s">
        <v>56</v>
      </c>
      <c r="K1306" s="1" t="s">
        <v>2892</v>
      </c>
      <c r="L1306" s="1" t="s">
        <v>27</v>
      </c>
      <c r="N1306" s="1" t="s">
        <v>123</v>
      </c>
      <c r="O1306" s="1" t="s">
        <v>57</v>
      </c>
      <c r="P1306" s="1" t="s">
        <v>938</v>
      </c>
      <c r="Q1306" s="1" t="s">
        <v>939</v>
      </c>
      <c r="R1306" s="1">
        <v>0.0</v>
      </c>
      <c r="S1306" s="1"/>
    </row>
    <row r="1307" ht="15.75" customHeight="1">
      <c r="A1307" s="1" t="s">
        <v>3167</v>
      </c>
      <c r="B1307" s="1" t="s">
        <v>3168</v>
      </c>
      <c r="C1307" s="1" t="s">
        <v>174</v>
      </c>
      <c r="E1307" s="1">
        <v>28.5047877</v>
      </c>
      <c r="F1307" s="1">
        <v>77.3206648</v>
      </c>
      <c r="G1307" s="1" t="s">
        <v>54</v>
      </c>
      <c r="H1307" s="1" t="s">
        <v>55</v>
      </c>
      <c r="J1307" s="1" t="s">
        <v>118</v>
      </c>
      <c r="K1307" s="1" t="s">
        <v>2892</v>
      </c>
      <c r="L1307" s="1" t="s">
        <v>27</v>
      </c>
      <c r="N1307" s="1" t="s">
        <v>174</v>
      </c>
      <c r="O1307" s="1" t="s">
        <v>57</v>
      </c>
      <c r="P1307" s="1" t="s">
        <v>1749</v>
      </c>
      <c r="Q1307" s="1" t="s">
        <v>1750</v>
      </c>
      <c r="R1307" s="1">
        <v>0.0</v>
      </c>
      <c r="S1307" s="1"/>
    </row>
    <row r="1308" ht="15.75" customHeight="1">
      <c r="A1308" s="1" t="s">
        <v>3169</v>
      </c>
      <c r="B1308" s="1" t="s">
        <v>3170</v>
      </c>
      <c r="C1308" s="1" t="s">
        <v>3171</v>
      </c>
      <c r="E1308" s="1">
        <v>30.9341445</v>
      </c>
      <c r="F1308" s="1">
        <v>76.8000316</v>
      </c>
      <c r="G1308" s="1" t="s">
        <v>54</v>
      </c>
      <c r="H1308" s="1" t="s">
        <v>55</v>
      </c>
      <c r="J1308" s="1" t="s">
        <v>56</v>
      </c>
      <c r="K1308" s="1" t="s">
        <v>2892</v>
      </c>
      <c r="L1308" s="1" t="s">
        <v>27</v>
      </c>
      <c r="N1308" s="1" t="s">
        <v>3172</v>
      </c>
      <c r="O1308" s="1" t="s">
        <v>29</v>
      </c>
      <c r="P1308" s="1" t="s">
        <v>938</v>
      </c>
      <c r="Q1308" s="1" t="s">
        <v>939</v>
      </c>
      <c r="R1308" s="1">
        <v>0.0</v>
      </c>
      <c r="S1308" s="1"/>
    </row>
    <row r="1309" ht="15.75" customHeight="1">
      <c r="A1309" s="1" t="s">
        <v>3173</v>
      </c>
      <c r="B1309" s="1" t="s">
        <v>3174</v>
      </c>
      <c r="C1309" s="1" t="s">
        <v>3175</v>
      </c>
      <c r="E1309" s="1">
        <v>28.572176</v>
      </c>
      <c r="F1309" s="1">
        <v>77.3240682</v>
      </c>
      <c r="G1309" s="1" t="s">
        <v>54</v>
      </c>
      <c r="H1309" s="1" t="s">
        <v>55</v>
      </c>
      <c r="J1309" s="1" t="s">
        <v>56</v>
      </c>
      <c r="K1309" s="1" t="s">
        <v>2892</v>
      </c>
      <c r="L1309" s="1" t="s">
        <v>27</v>
      </c>
      <c r="N1309" s="1" t="s">
        <v>28</v>
      </c>
      <c r="O1309" s="1" t="s">
        <v>57</v>
      </c>
      <c r="P1309" s="1" t="s">
        <v>1990</v>
      </c>
      <c r="Q1309" s="1" t="s">
        <v>1991</v>
      </c>
      <c r="R1309" s="1">
        <v>0.0</v>
      </c>
      <c r="S1309" s="1"/>
    </row>
    <row r="1310" ht="15.75" customHeight="1">
      <c r="A1310" s="1" t="s">
        <v>3176</v>
      </c>
      <c r="B1310" s="1" t="s">
        <v>3177</v>
      </c>
      <c r="C1310" s="1" t="s">
        <v>946</v>
      </c>
      <c r="E1310" s="1">
        <v>30.8998216</v>
      </c>
      <c r="F1310" s="1">
        <v>75.9190728</v>
      </c>
      <c r="G1310" s="1" t="s">
        <v>54</v>
      </c>
      <c r="H1310" s="1" t="s">
        <v>55</v>
      </c>
      <c r="J1310" s="1" t="s">
        <v>56</v>
      </c>
      <c r="K1310" s="1" t="s">
        <v>2892</v>
      </c>
      <c r="L1310" s="1" t="s">
        <v>27</v>
      </c>
      <c r="N1310" s="1" t="s">
        <v>123</v>
      </c>
      <c r="O1310" s="1" t="s">
        <v>57</v>
      </c>
      <c r="P1310" s="1" t="s">
        <v>938</v>
      </c>
      <c r="Q1310" s="1" t="s">
        <v>939</v>
      </c>
      <c r="R1310" s="1">
        <v>0.0</v>
      </c>
      <c r="S1310" s="1"/>
    </row>
    <row r="1311" ht="15.75" customHeight="1">
      <c r="A1311" s="1" t="s">
        <v>3178</v>
      </c>
      <c r="B1311" s="1" t="s">
        <v>3179</v>
      </c>
      <c r="C1311" s="1" t="s">
        <v>564</v>
      </c>
      <c r="E1311" s="1">
        <v>30.6711879</v>
      </c>
      <c r="F1311" s="1">
        <v>76.85551989999999</v>
      </c>
      <c r="G1311" s="1" t="s">
        <v>54</v>
      </c>
      <c r="H1311" s="1" t="s">
        <v>55</v>
      </c>
      <c r="J1311" s="1" t="s">
        <v>118</v>
      </c>
      <c r="K1311" s="1" t="s">
        <v>2892</v>
      </c>
      <c r="L1311" s="1" t="s">
        <v>27</v>
      </c>
      <c r="N1311" s="1" t="s">
        <v>163</v>
      </c>
      <c r="O1311" s="1" t="s">
        <v>57</v>
      </c>
      <c r="P1311" s="1" t="s">
        <v>938</v>
      </c>
      <c r="Q1311" s="1" t="s">
        <v>939</v>
      </c>
      <c r="R1311" s="1">
        <v>0.0</v>
      </c>
      <c r="S1311" s="1"/>
    </row>
    <row r="1312" ht="15.75" customHeight="1">
      <c r="A1312" s="1" t="s">
        <v>3180</v>
      </c>
      <c r="B1312" s="1" t="s">
        <v>3181</v>
      </c>
      <c r="C1312" s="1" t="s">
        <v>3182</v>
      </c>
      <c r="E1312" s="1">
        <v>29.9219898</v>
      </c>
      <c r="F1312" s="1">
        <v>73.8726949</v>
      </c>
      <c r="G1312" s="1" t="s">
        <v>54</v>
      </c>
      <c r="H1312" s="1" t="s">
        <v>55</v>
      </c>
      <c r="J1312" s="1" t="s">
        <v>56</v>
      </c>
      <c r="K1312" s="1" t="s">
        <v>2892</v>
      </c>
      <c r="L1312" s="1" t="s">
        <v>27</v>
      </c>
      <c r="N1312" s="1" t="s">
        <v>123</v>
      </c>
      <c r="O1312" s="1" t="s">
        <v>57</v>
      </c>
      <c r="P1312" s="1" t="s">
        <v>938</v>
      </c>
      <c r="Q1312" s="1" t="s">
        <v>939</v>
      </c>
      <c r="R1312" s="1">
        <v>0.0</v>
      </c>
      <c r="S1312" s="1"/>
    </row>
    <row r="1313" ht="15.75" customHeight="1">
      <c r="A1313" s="1" t="s">
        <v>3183</v>
      </c>
      <c r="B1313" s="1" t="s">
        <v>3184</v>
      </c>
      <c r="C1313" s="1" t="s">
        <v>3185</v>
      </c>
      <c r="E1313" s="1">
        <v>28.6823448</v>
      </c>
      <c r="F1313" s="1">
        <v>77.2027502</v>
      </c>
      <c r="G1313" s="1" t="s">
        <v>54</v>
      </c>
      <c r="H1313" s="1" t="s">
        <v>55</v>
      </c>
      <c r="J1313" s="1" t="s">
        <v>56</v>
      </c>
      <c r="K1313" s="1" t="s">
        <v>2892</v>
      </c>
      <c r="L1313" s="1" t="s">
        <v>27</v>
      </c>
      <c r="N1313" s="1" t="s">
        <v>163</v>
      </c>
      <c r="O1313" s="1" t="s">
        <v>57</v>
      </c>
      <c r="P1313" s="1" t="s">
        <v>938</v>
      </c>
      <c r="Q1313" s="1" t="s">
        <v>939</v>
      </c>
      <c r="R1313" s="1">
        <v>0.0</v>
      </c>
      <c r="S1313" s="1"/>
    </row>
    <row r="1314" ht="15.75" customHeight="1">
      <c r="A1314" s="1" t="s">
        <v>3186</v>
      </c>
      <c r="B1314" s="1" t="s">
        <v>3187</v>
      </c>
      <c r="C1314" s="1" t="s">
        <v>3188</v>
      </c>
      <c r="E1314" s="1">
        <v>29.9734556</v>
      </c>
      <c r="F1314" s="1">
        <v>76.8537284</v>
      </c>
      <c r="G1314" s="1" t="s">
        <v>54</v>
      </c>
      <c r="H1314" s="1" t="s">
        <v>55</v>
      </c>
      <c r="J1314" s="1" t="s">
        <v>56</v>
      </c>
      <c r="K1314" s="1" t="s">
        <v>2892</v>
      </c>
      <c r="L1314" s="1" t="s">
        <v>27</v>
      </c>
      <c r="N1314" s="1" t="s">
        <v>163</v>
      </c>
      <c r="O1314" s="1" t="s">
        <v>57</v>
      </c>
      <c r="P1314" s="1" t="s">
        <v>938</v>
      </c>
      <c r="Q1314" s="1" t="s">
        <v>939</v>
      </c>
      <c r="R1314" s="1">
        <v>0.0</v>
      </c>
      <c r="S1314" s="1"/>
    </row>
    <row r="1315" ht="15.75" customHeight="1">
      <c r="A1315" s="1" t="s">
        <v>3189</v>
      </c>
      <c r="B1315" s="1" t="s">
        <v>3190</v>
      </c>
      <c r="C1315" s="1" t="s">
        <v>848</v>
      </c>
      <c r="E1315" s="1">
        <v>26.8956554</v>
      </c>
      <c r="F1315" s="1">
        <v>75.8301089</v>
      </c>
      <c r="G1315" s="1" t="s">
        <v>54</v>
      </c>
      <c r="H1315" s="1" t="s">
        <v>55</v>
      </c>
      <c r="J1315" s="1" t="s">
        <v>56</v>
      </c>
      <c r="K1315" s="1" t="s">
        <v>2892</v>
      </c>
      <c r="L1315" s="1" t="s">
        <v>27</v>
      </c>
      <c r="N1315" s="1" t="s">
        <v>849</v>
      </c>
      <c r="O1315" s="1" t="s">
        <v>57</v>
      </c>
      <c r="P1315" s="1" t="s">
        <v>887</v>
      </c>
      <c r="Q1315" s="1" t="s">
        <v>888</v>
      </c>
      <c r="R1315" s="1">
        <v>0.0</v>
      </c>
      <c r="S1315" s="1"/>
    </row>
    <row r="1316" ht="15.75" customHeight="1">
      <c r="A1316" s="1" t="s">
        <v>3191</v>
      </c>
      <c r="B1316" s="1" t="s">
        <v>3192</v>
      </c>
      <c r="C1316" s="1" t="s">
        <v>617</v>
      </c>
      <c r="E1316" s="1">
        <v>26.9023786</v>
      </c>
      <c r="F1316" s="1">
        <v>81.0014455</v>
      </c>
      <c r="G1316" s="1" t="s">
        <v>97</v>
      </c>
      <c r="H1316" s="1" t="s">
        <v>98</v>
      </c>
      <c r="J1316" s="1" t="s">
        <v>56</v>
      </c>
      <c r="K1316" s="1" t="s">
        <v>99</v>
      </c>
      <c r="L1316" s="1" t="s">
        <v>27</v>
      </c>
      <c r="N1316" s="1" t="s">
        <v>28</v>
      </c>
      <c r="O1316" s="1" t="s">
        <v>29</v>
      </c>
      <c r="P1316" s="1" t="s">
        <v>733</v>
      </c>
      <c r="Q1316" s="1" t="s">
        <v>734</v>
      </c>
      <c r="R1316" s="1">
        <v>1.0</v>
      </c>
      <c r="S1316" s="1"/>
    </row>
    <row r="1317" ht="15.75" customHeight="1">
      <c r="A1317" s="1" t="s">
        <v>3193</v>
      </c>
      <c r="B1317" s="1" t="s">
        <v>3194</v>
      </c>
      <c r="C1317" s="1" t="s">
        <v>531</v>
      </c>
      <c r="E1317" s="1">
        <v>22.5788408</v>
      </c>
      <c r="F1317" s="1">
        <v>88.4588307</v>
      </c>
      <c r="G1317" s="1" t="s">
        <v>54</v>
      </c>
      <c r="H1317" s="1" t="s">
        <v>55</v>
      </c>
      <c r="J1317" s="1" t="s">
        <v>25</v>
      </c>
      <c r="K1317" s="1" t="s">
        <v>26</v>
      </c>
      <c r="L1317" s="1" t="s">
        <v>27</v>
      </c>
      <c r="N1317" s="1" t="s">
        <v>532</v>
      </c>
      <c r="O1317" s="1" t="s">
        <v>29</v>
      </c>
      <c r="P1317" s="1" t="s">
        <v>3135</v>
      </c>
      <c r="Q1317" s="1" t="s">
        <v>3136</v>
      </c>
      <c r="R1317" s="1">
        <v>3.0</v>
      </c>
      <c r="S1317" s="1"/>
    </row>
    <row r="1318" ht="15.75" customHeight="1">
      <c r="A1318" s="1" t="s">
        <v>3195</v>
      </c>
      <c r="B1318" s="1" t="s">
        <v>3196</v>
      </c>
      <c r="C1318" s="1" t="s">
        <v>3197</v>
      </c>
      <c r="E1318" s="1">
        <v>25.452099</v>
      </c>
      <c r="F1318" s="1">
        <v>81.834081</v>
      </c>
      <c r="G1318" s="1" t="s">
        <v>54</v>
      </c>
      <c r="H1318" s="1" t="s">
        <v>55</v>
      </c>
      <c r="J1318" s="1" t="s">
        <v>25</v>
      </c>
      <c r="K1318" s="1" t="s">
        <v>26</v>
      </c>
      <c r="L1318" s="1" t="s">
        <v>27</v>
      </c>
      <c r="N1318" s="1" t="s">
        <v>28</v>
      </c>
      <c r="O1318" s="1" t="s">
        <v>29</v>
      </c>
      <c r="P1318" s="1" t="s">
        <v>733</v>
      </c>
      <c r="Q1318" s="1" t="s">
        <v>734</v>
      </c>
      <c r="R1318" s="1">
        <v>0.0</v>
      </c>
      <c r="S1318" s="1"/>
    </row>
    <row r="1319" ht="15.75" customHeight="1">
      <c r="A1319" s="1" t="s">
        <v>3198</v>
      </c>
      <c r="B1319" s="1" t="s">
        <v>3199</v>
      </c>
      <c r="C1319" s="1" t="s">
        <v>1786</v>
      </c>
      <c r="E1319" s="1">
        <v>20.2681649</v>
      </c>
      <c r="F1319" s="1">
        <v>85.8436476</v>
      </c>
      <c r="G1319" s="1" t="s">
        <v>54</v>
      </c>
      <c r="H1319" s="1" t="s">
        <v>55</v>
      </c>
      <c r="J1319" s="1" t="s">
        <v>25</v>
      </c>
      <c r="K1319" s="1" t="s">
        <v>26</v>
      </c>
      <c r="L1319" s="1" t="s">
        <v>27</v>
      </c>
      <c r="N1319" s="1" t="s">
        <v>1874</v>
      </c>
      <c r="O1319" s="1" t="s">
        <v>29</v>
      </c>
      <c r="P1319" s="1" t="s">
        <v>3131</v>
      </c>
      <c r="Q1319" s="1" t="s">
        <v>3132</v>
      </c>
      <c r="R1319" s="1">
        <v>0.0</v>
      </c>
      <c r="S1319" s="1"/>
    </row>
    <row r="1320" ht="15.75" customHeight="1">
      <c r="A1320" s="1" t="s">
        <v>3200</v>
      </c>
      <c r="B1320" s="1" t="s">
        <v>3201</v>
      </c>
      <c r="C1320" s="1" t="s">
        <v>531</v>
      </c>
      <c r="E1320" s="1">
        <v>22.5629598</v>
      </c>
      <c r="F1320" s="1">
        <v>88.3229226</v>
      </c>
      <c r="G1320" s="1" t="s">
        <v>54</v>
      </c>
      <c r="H1320" s="1" t="s">
        <v>55</v>
      </c>
      <c r="J1320" s="1" t="s">
        <v>25</v>
      </c>
      <c r="K1320" s="1" t="s">
        <v>26</v>
      </c>
      <c r="L1320" s="1" t="s">
        <v>27</v>
      </c>
      <c r="N1320" s="1" t="s">
        <v>532</v>
      </c>
      <c r="O1320" s="1" t="s">
        <v>29</v>
      </c>
      <c r="P1320" s="1" t="s">
        <v>3135</v>
      </c>
      <c r="Q1320" s="1" t="s">
        <v>3136</v>
      </c>
      <c r="R1320" s="1">
        <v>2.0</v>
      </c>
      <c r="S1320" s="1"/>
    </row>
    <row r="1321" ht="15.75" customHeight="1">
      <c r="A1321" s="1" t="s">
        <v>3202</v>
      </c>
      <c r="B1321" s="1" t="s">
        <v>3203</v>
      </c>
      <c r="C1321" s="1" t="s">
        <v>1285</v>
      </c>
      <c r="E1321" s="1">
        <v>12.8709568</v>
      </c>
      <c r="F1321" s="1">
        <v>74.84236899999999</v>
      </c>
      <c r="G1321" s="1" t="s">
        <v>54</v>
      </c>
      <c r="H1321" s="1" t="s">
        <v>55</v>
      </c>
      <c r="J1321" s="1" t="s">
        <v>25</v>
      </c>
      <c r="K1321" s="1" t="s">
        <v>26</v>
      </c>
      <c r="L1321" s="1" t="s">
        <v>27</v>
      </c>
      <c r="N1321" s="1" t="s">
        <v>743</v>
      </c>
      <c r="O1321" s="1" t="s">
        <v>29</v>
      </c>
      <c r="P1321" s="1" t="s">
        <v>1079</v>
      </c>
      <c r="Q1321" s="1" t="s">
        <v>1080</v>
      </c>
      <c r="R1321" s="1">
        <v>0.0</v>
      </c>
      <c r="S1321" s="1"/>
    </row>
    <row r="1322" ht="15.75" customHeight="1">
      <c r="A1322" s="1" t="s">
        <v>3204</v>
      </c>
      <c r="B1322" s="1" t="s">
        <v>3205</v>
      </c>
      <c r="C1322" s="1" t="s">
        <v>1035</v>
      </c>
      <c r="E1322" s="1">
        <v>26.1571612</v>
      </c>
      <c r="F1322" s="1">
        <v>91.777863</v>
      </c>
      <c r="G1322" s="1" t="s">
        <v>54</v>
      </c>
      <c r="H1322" s="1" t="s">
        <v>55</v>
      </c>
      <c r="J1322" s="1" t="s">
        <v>44</v>
      </c>
      <c r="K1322" s="1" t="s">
        <v>26</v>
      </c>
      <c r="L1322" s="1" t="s">
        <v>27</v>
      </c>
      <c r="N1322" s="1" t="s">
        <v>1036</v>
      </c>
      <c r="O1322" s="1" t="s">
        <v>29</v>
      </c>
      <c r="P1322" s="1" t="s">
        <v>3131</v>
      </c>
      <c r="Q1322" s="1" t="s">
        <v>3132</v>
      </c>
      <c r="R1322" s="1">
        <v>0.0</v>
      </c>
      <c r="S1322" s="1"/>
    </row>
    <row r="1323" ht="15.75" customHeight="1">
      <c r="A1323" s="1" t="s">
        <v>3206</v>
      </c>
      <c r="B1323" s="1" t="s">
        <v>3207</v>
      </c>
      <c r="C1323" s="1" t="s">
        <v>1786</v>
      </c>
      <c r="E1323" s="1">
        <v>20.2915292</v>
      </c>
      <c r="F1323" s="1">
        <v>85.85612189999999</v>
      </c>
      <c r="G1323" s="1" t="s">
        <v>54</v>
      </c>
      <c r="H1323" s="1" t="s">
        <v>55</v>
      </c>
      <c r="J1323" s="1" t="s">
        <v>44</v>
      </c>
      <c r="K1323" s="1" t="s">
        <v>26</v>
      </c>
      <c r="L1323" s="1" t="s">
        <v>27</v>
      </c>
      <c r="N1323" s="1" t="s">
        <v>1874</v>
      </c>
      <c r="O1323" s="1" t="s">
        <v>29</v>
      </c>
      <c r="P1323" s="1" t="s">
        <v>3131</v>
      </c>
      <c r="Q1323" s="1" t="s">
        <v>3132</v>
      </c>
      <c r="R1323" s="1">
        <v>0.0</v>
      </c>
      <c r="S1323" s="1"/>
    </row>
    <row r="1324" ht="15.75" customHeight="1">
      <c r="A1324" s="1" t="s">
        <v>3208</v>
      </c>
      <c r="B1324" s="1" t="s">
        <v>3209</v>
      </c>
      <c r="C1324" s="1" t="s">
        <v>531</v>
      </c>
      <c r="E1324" s="1">
        <v>22.6155005</v>
      </c>
      <c r="F1324" s="1">
        <v>88.4122871</v>
      </c>
      <c r="G1324" s="1" t="s">
        <v>54</v>
      </c>
      <c r="H1324" s="1" t="s">
        <v>55</v>
      </c>
      <c r="J1324" s="1" t="s">
        <v>44</v>
      </c>
      <c r="K1324" s="1" t="s">
        <v>26</v>
      </c>
      <c r="L1324" s="1" t="s">
        <v>27</v>
      </c>
      <c r="N1324" s="1" t="s">
        <v>532</v>
      </c>
      <c r="O1324" s="1" t="s">
        <v>29</v>
      </c>
      <c r="P1324" s="1" t="s">
        <v>3135</v>
      </c>
      <c r="Q1324" s="1" t="s">
        <v>3136</v>
      </c>
      <c r="R1324" s="1">
        <v>0.0</v>
      </c>
      <c r="S1324" s="1"/>
    </row>
    <row r="1325" ht="15.75" customHeight="1">
      <c r="A1325" s="1" t="s">
        <v>3210</v>
      </c>
      <c r="B1325" s="1" t="s">
        <v>3211</v>
      </c>
      <c r="C1325" s="1" t="s">
        <v>1062</v>
      </c>
      <c r="E1325" s="1">
        <v>26.7372032</v>
      </c>
      <c r="F1325" s="1">
        <v>88.43444830000001</v>
      </c>
      <c r="G1325" s="1" t="s">
        <v>54</v>
      </c>
      <c r="H1325" s="1" t="s">
        <v>55</v>
      </c>
      <c r="J1325" s="1" t="s">
        <v>44</v>
      </c>
      <c r="K1325" s="1" t="s">
        <v>26</v>
      </c>
      <c r="L1325" s="1" t="s">
        <v>27</v>
      </c>
      <c r="N1325" s="1" t="s">
        <v>532</v>
      </c>
      <c r="O1325" s="1" t="s">
        <v>29</v>
      </c>
      <c r="P1325" s="1" t="s">
        <v>3131</v>
      </c>
      <c r="Q1325" s="1" t="s">
        <v>3132</v>
      </c>
      <c r="R1325" s="1">
        <v>0.0</v>
      </c>
      <c r="S1325" s="1"/>
    </row>
    <row r="1326" ht="15.75" customHeight="1">
      <c r="A1326" s="1" t="s">
        <v>3212</v>
      </c>
      <c r="B1326" s="1" t="s">
        <v>3213</v>
      </c>
      <c r="C1326" s="1" t="s">
        <v>3214</v>
      </c>
      <c r="E1326" s="1">
        <v>17.4436226</v>
      </c>
      <c r="F1326" s="1">
        <v>78.5066776</v>
      </c>
      <c r="G1326" s="1" t="s">
        <v>54</v>
      </c>
      <c r="H1326" s="1" t="s">
        <v>55</v>
      </c>
      <c r="J1326" s="1" t="s">
        <v>44</v>
      </c>
      <c r="P1326" s="1" t="s">
        <v>2074</v>
      </c>
      <c r="Q1326" s="1" t="s">
        <v>2075</v>
      </c>
      <c r="R1326" s="1">
        <v>2.0</v>
      </c>
      <c r="S1326" s="1"/>
    </row>
    <row r="1327" ht="15.75" customHeight="1">
      <c r="A1327" s="1" t="s">
        <v>3215</v>
      </c>
      <c r="B1327" s="1" t="s">
        <v>3216</v>
      </c>
      <c r="C1327" s="1" t="s">
        <v>148</v>
      </c>
      <c r="E1327" s="1">
        <v>19.1848382</v>
      </c>
      <c r="F1327" s="1">
        <v>72.8340163</v>
      </c>
      <c r="G1327" s="1" t="s">
        <v>54</v>
      </c>
      <c r="H1327" s="1" t="s">
        <v>55</v>
      </c>
      <c r="J1327" s="1" t="s">
        <v>44</v>
      </c>
      <c r="K1327" s="1" t="s">
        <v>26</v>
      </c>
      <c r="L1327" s="1" t="s">
        <v>27</v>
      </c>
      <c r="N1327" s="1" t="s">
        <v>143</v>
      </c>
      <c r="O1327" s="1" t="s">
        <v>29</v>
      </c>
      <c r="P1327" s="1" t="s">
        <v>2300</v>
      </c>
      <c r="Q1327" s="1" t="s">
        <v>2301</v>
      </c>
      <c r="R1327" s="1">
        <v>3.0</v>
      </c>
      <c r="S1327" s="1"/>
    </row>
    <row r="1328" ht="15.75" customHeight="1">
      <c r="A1328" s="1" t="s">
        <v>3217</v>
      </c>
      <c r="B1328" s="1" t="s">
        <v>3218</v>
      </c>
      <c r="C1328" s="1" t="s">
        <v>1112</v>
      </c>
      <c r="E1328" s="1">
        <v>12.9747241</v>
      </c>
      <c r="F1328" s="1">
        <v>80.2583121</v>
      </c>
      <c r="G1328" s="1" t="s">
        <v>54</v>
      </c>
      <c r="H1328" s="1" t="s">
        <v>55</v>
      </c>
      <c r="J1328" s="1" t="s">
        <v>44</v>
      </c>
      <c r="K1328" s="1" t="s">
        <v>26</v>
      </c>
      <c r="L1328" s="1" t="s">
        <v>27</v>
      </c>
      <c r="N1328" s="1" t="s">
        <v>1097</v>
      </c>
      <c r="O1328" s="1" t="s">
        <v>29</v>
      </c>
      <c r="P1328" s="1" t="s">
        <v>3219</v>
      </c>
      <c r="Q1328" s="1" t="s">
        <v>3220</v>
      </c>
      <c r="R1328" s="1">
        <v>3.0</v>
      </c>
      <c r="S1328" s="1"/>
    </row>
    <row r="1329" ht="15.75" customHeight="1">
      <c r="A1329" s="1" t="s">
        <v>3221</v>
      </c>
      <c r="B1329" s="1" t="s">
        <v>3222</v>
      </c>
      <c r="C1329" s="1" t="s">
        <v>1716</v>
      </c>
      <c r="E1329" s="1">
        <v>28.4027007</v>
      </c>
      <c r="F1329" s="1">
        <v>76.9467878</v>
      </c>
      <c r="G1329" s="1" t="s">
        <v>54</v>
      </c>
      <c r="H1329" s="1" t="s">
        <v>55</v>
      </c>
      <c r="J1329" s="1" t="s">
        <v>44</v>
      </c>
      <c r="K1329" s="1" t="s">
        <v>26</v>
      </c>
      <c r="L1329" s="1" t="s">
        <v>27</v>
      </c>
      <c r="N1329" s="1" t="s">
        <v>163</v>
      </c>
      <c r="O1329" s="1" t="s">
        <v>29</v>
      </c>
      <c r="P1329" s="1" t="s">
        <v>2163</v>
      </c>
      <c r="Q1329" s="1" t="s">
        <v>2164</v>
      </c>
      <c r="R1329" s="1">
        <v>2.0</v>
      </c>
      <c r="S1329" s="1"/>
    </row>
    <row r="1330" ht="15.75" customHeight="1">
      <c r="A1330" s="1" t="s">
        <v>3223</v>
      </c>
      <c r="B1330" s="1" t="s">
        <v>3224</v>
      </c>
      <c r="C1330" s="1" t="s">
        <v>185</v>
      </c>
      <c r="E1330" s="1">
        <v>17.4766403</v>
      </c>
      <c r="F1330" s="1">
        <v>78.56388319999999</v>
      </c>
      <c r="G1330" s="1" t="s">
        <v>54</v>
      </c>
      <c r="H1330" s="1" t="s">
        <v>55</v>
      </c>
      <c r="J1330" s="1" t="s">
        <v>44</v>
      </c>
      <c r="K1330" s="1" t="s">
        <v>26</v>
      </c>
      <c r="L1330" s="1" t="s">
        <v>27</v>
      </c>
      <c r="N1330" s="1" t="s">
        <v>186</v>
      </c>
      <c r="O1330" s="1" t="s">
        <v>29</v>
      </c>
      <c r="P1330" s="1" t="s">
        <v>2074</v>
      </c>
      <c r="Q1330" s="1" t="s">
        <v>2075</v>
      </c>
      <c r="R1330" s="1">
        <v>3.0</v>
      </c>
      <c r="S1330" s="1"/>
    </row>
    <row r="1331" ht="15.75" customHeight="1">
      <c r="A1331" s="1" t="s">
        <v>3225</v>
      </c>
      <c r="B1331" s="1" t="s">
        <v>3226</v>
      </c>
      <c r="C1331" s="1" t="s">
        <v>148</v>
      </c>
      <c r="E1331" s="1">
        <v>19.0653145</v>
      </c>
      <c r="F1331" s="1">
        <v>72.99943189999999</v>
      </c>
      <c r="G1331" s="1" t="s">
        <v>54</v>
      </c>
      <c r="H1331" s="1" t="s">
        <v>55</v>
      </c>
      <c r="J1331" s="1" t="s">
        <v>44</v>
      </c>
      <c r="K1331" s="1" t="s">
        <v>26</v>
      </c>
      <c r="L1331" s="1" t="s">
        <v>27</v>
      </c>
      <c r="N1331" s="1" t="s">
        <v>143</v>
      </c>
      <c r="O1331" s="1" t="s">
        <v>29</v>
      </c>
      <c r="P1331" s="1" t="s">
        <v>2300</v>
      </c>
      <c r="Q1331" s="1" t="s">
        <v>2301</v>
      </c>
      <c r="R1331" s="1">
        <v>1.0</v>
      </c>
      <c r="S1331" s="1"/>
    </row>
    <row r="1332" ht="15.75" customHeight="1">
      <c r="A1332" s="1" t="s">
        <v>3227</v>
      </c>
      <c r="B1332" s="1" t="s">
        <v>3228</v>
      </c>
      <c r="C1332" s="1" t="s">
        <v>531</v>
      </c>
      <c r="E1332" s="1">
        <v>22.4739691</v>
      </c>
      <c r="F1332" s="1">
        <v>88.3614784</v>
      </c>
      <c r="G1332" s="1" t="s">
        <v>54</v>
      </c>
      <c r="H1332" s="1" t="s">
        <v>55</v>
      </c>
      <c r="J1332" s="1" t="s">
        <v>44</v>
      </c>
      <c r="K1332" s="1" t="s">
        <v>26</v>
      </c>
      <c r="L1332" s="1" t="s">
        <v>27</v>
      </c>
      <c r="N1332" s="1" t="s">
        <v>532</v>
      </c>
      <c r="O1332" s="1" t="s">
        <v>57</v>
      </c>
      <c r="P1332" s="1" t="s">
        <v>3135</v>
      </c>
      <c r="Q1332" s="1" t="s">
        <v>3136</v>
      </c>
      <c r="R1332" s="1">
        <v>0.0</v>
      </c>
      <c r="S1332" s="1"/>
    </row>
    <row r="1333" ht="15.75" customHeight="1">
      <c r="A1333" s="1" t="s">
        <v>3229</v>
      </c>
      <c r="B1333" s="1" t="s">
        <v>3230</v>
      </c>
      <c r="C1333" s="1" t="s">
        <v>1078</v>
      </c>
      <c r="E1333" s="1">
        <v>13.0107591</v>
      </c>
      <c r="F1333" s="1">
        <v>77.5550421</v>
      </c>
      <c r="G1333" s="1" t="s">
        <v>54</v>
      </c>
      <c r="H1333" s="1" t="s">
        <v>55</v>
      </c>
      <c r="J1333" s="1" t="s">
        <v>44</v>
      </c>
      <c r="K1333" s="1" t="s">
        <v>26</v>
      </c>
      <c r="L1333" s="1" t="s">
        <v>27</v>
      </c>
      <c r="N1333" s="1" t="s">
        <v>743</v>
      </c>
      <c r="O1333" s="1" t="s">
        <v>29</v>
      </c>
      <c r="P1333" s="1" t="s">
        <v>1079</v>
      </c>
      <c r="Q1333" s="1" t="s">
        <v>1080</v>
      </c>
      <c r="R1333" s="1">
        <v>1.0</v>
      </c>
      <c r="S1333" s="1"/>
    </row>
    <row r="1334" ht="15.75" customHeight="1">
      <c r="A1334" s="1" t="s">
        <v>3231</v>
      </c>
      <c r="B1334" s="1" t="s">
        <v>3232</v>
      </c>
      <c r="C1334" s="1" t="s">
        <v>151</v>
      </c>
      <c r="E1334" s="1">
        <v>18.4490799</v>
      </c>
      <c r="F1334" s="1">
        <v>73.85792839999999</v>
      </c>
      <c r="G1334" s="1" t="s">
        <v>54</v>
      </c>
      <c r="H1334" s="1" t="s">
        <v>55</v>
      </c>
      <c r="J1334" s="1" t="s">
        <v>44</v>
      </c>
      <c r="K1334" s="1" t="s">
        <v>26</v>
      </c>
      <c r="L1334" s="1" t="s">
        <v>27</v>
      </c>
      <c r="N1334" s="1" t="s">
        <v>143</v>
      </c>
      <c r="O1334" s="1" t="s">
        <v>29</v>
      </c>
      <c r="P1334" s="1" t="s">
        <v>3233</v>
      </c>
      <c r="Q1334" s="1" t="s">
        <v>3234</v>
      </c>
      <c r="R1334" s="1">
        <v>4.0</v>
      </c>
      <c r="S1334" s="1"/>
    </row>
    <row r="1335" ht="15.75" customHeight="1">
      <c r="A1335" s="1" t="s">
        <v>3235</v>
      </c>
      <c r="B1335" s="1" t="s">
        <v>3236</v>
      </c>
      <c r="C1335" s="1" t="s">
        <v>43</v>
      </c>
      <c r="E1335" s="1">
        <v>28.6062814</v>
      </c>
      <c r="F1335" s="1">
        <v>77.4295994</v>
      </c>
      <c r="G1335" s="1" t="s">
        <v>54</v>
      </c>
      <c r="H1335" s="1" t="s">
        <v>55</v>
      </c>
      <c r="J1335" s="1" t="s">
        <v>44</v>
      </c>
      <c r="K1335" s="1" t="s">
        <v>26</v>
      </c>
      <c r="L1335" s="1" t="s">
        <v>27</v>
      </c>
      <c r="N1335" s="1" t="s">
        <v>28</v>
      </c>
      <c r="O1335" s="1" t="s">
        <v>29</v>
      </c>
      <c r="P1335" s="1" t="s">
        <v>2167</v>
      </c>
      <c r="Q1335" s="1" t="s">
        <v>2168</v>
      </c>
      <c r="R1335" s="1">
        <v>1.0</v>
      </c>
      <c r="S1335" s="1"/>
    </row>
    <row r="1336" ht="15.75" customHeight="1">
      <c r="A1336" s="1" t="s">
        <v>3237</v>
      </c>
      <c r="B1336" s="1" t="s">
        <v>3238</v>
      </c>
      <c r="C1336" s="1" t="s">
        <v>1078</v>
      </c>
      <c r="E1336" s="1">
        <v>12.9384772</v>
      </c>
      <c r="F1336" s="1">
        <v>77.5849519</v>
      </c>
      <c r="G1336" s="1" t="s">
        <v>54</v>
      </c>
      <c r="H1336" s="1" t="s">
        <v>55</v>
      </c>
      <c r="J1336" s="1" t="s">
        <v>44</v>
      </c>
      <c r="K1336" s="1" t="s">
        <v>26</v>
      </c>
      <c r="L1336" s="1" t="s">
        <v>27</v>
      </c>
      <c r="N1336" s="1" t="s">
        <v>743</v>
      </c>
      <c r="O1336" s="1" t="s">
        <v>29</v>
      </c>
      <c r="P1336" s="1" t="s">
        <v>1079</v>
      </c>
      <c r="Q1336" s="1" t="s">
        <v>1080</v>
      </c>
      <c r="R1336" s="1">
        <v>4.0</v>
      </c>
      <c r="S1336" s="1"/>
    </row>
    <row r="1337" ht="15.75" customHeight="1">
      <c r="A1337" s="1" t="s">
        <v>3239</v>
      </c>
      <c r="B1337" s="1" t="s">
        <v>3240</v>
      </c>
      <c r="C1337" s="1" t="s">
        <v>765</v>
      </c>
      <c r="E1337" s="1">
        <v>26.7496576</v>
      </c>
      <c r="F1337" s="1">
        <v>83.40407929999999</v>
      </c>
      <c r="G1337" s="1" t="s">
        <v>54</v>
      </c>
      <c r="H1337" s="1" t="s">
        <v>55</v>
      </c>
      <c r="J1337" s="1" t="s">
        <v>44</v>
      </c>
      <c r="K1337" s="1" t="s">
        <v>26</v>
      </c>
      <c r="L1337" s="1" t="s">
        <v>27</v>
      </c>
      <c r="N1337" s="1" t="s">
        <v>28</v>
      </c>
      <c r="O1337" s="1" t="s">
        <v>29</v>
      </c>
      <c r="P1337" s="1" t="s">
        <v>733</v>
      </c>
      <c r="Q1337" s="1" t="s">
        <v>734</v>
      </c>
      <c r="R1337" s="1">
        <v>0.0</v>
      </c>
      <c r="S1337" s="1"/>
    </row>
    <row r="1338" ht="15.75" customHeight="1">
      <c r="A1338" s="1" t="s">
        <v>3241</v>
      </c>
      <c r="B1338" s="1" t="s">
        <v>3242</v>
      </c>
      <c r="C1338" s="1" t="s">
        <v>758</v>
      </c>
      <c r="E1338" s="1">
        <v>23.2334457</v>
      </c>
      <c r="F1338" s="1">
        <v>77.4296633</v>
      </c>
      <c r="G1338" s="1" t="s">
        <v>54</v>
      </c>
      <c r="H1338" s="1" t="s">
        <v>55</v>
      </c>
      <c r="J1338" s="1" t="s">
        <v>44</v>
      </c>
      <c r="K1338" s="1" t="s">
        <v>26</v>
      </c>
      <c r="L1338" s="1" t="s">
        <v>27</v>
      </c>
      <c r="N1338" s="1" t="s">
        <v>732</v>
      </c>
      <c r="O1338" s="1" t="s">
        <v>29</v>
      </c>
      <c r="P1338" s="1" t="s">
        <v>3243</v>
      </c>
      <c r="Q1338" s="1" t="s">
        <v>3244</v>
      </c>
      <c r="R1338" s="1">
        <v>0.0</v>
      </c>
      <c r="S1338" s="1"/>
    </row>
    <row r="1339" ht="15.75" customHeight="1">
      <c r="A1339" s="1" t="s">
        <v>3245</v>
      </c>
      <c r="B1339" s="1" t="s">
        <v>3246</v>
      </c>
      <c r="C1339" s="1" t="s">
        <v>531</v>
      </c>
      <c r="E1339" s="1">
        <v>22.5167103</v>
      </c>
      <c r="F1339" s="1">
        <v>88.34910239999999</v>
      </c>
      <c r="G1339" s="1" t="s">
        <v>54</v>
      </c>
      <c r="H1339" s="1" t="s">
        <v>55</v>
      </c>
      <c r="J1339" s="1" t="s">
        <v>44</v>
      </c>
      <c r="K1339" s="1" t="s">
        <v>26</v>
      </c>
      <c r="L1339" s="1" t="s">
        <v>27</v>
      </c>
      <c r="N1339" s="1" t="s">
        <v>532</v>
      </c>
      <c r="O1339" s="1" t="s">
        <v>29</v>
      </c>
      <c r="P1339" s="1" t="s">
        <v>3135</v>
      </c>
      <c r="Q1339" s="1" t="s">
        <v>3136</v>
      </c>
      <c r="R1339" s="1">
        <v>0.0</v>
      </c>
      <c r="S1339" s="1"/>
    </row>
    <row r="1340" ht="15.75" customHeight="1">
      <c r="A1340" s="1" t="s">
        <v>3247</v>
      </c>
      <c r="B1340" s="1" t="s">
        <v>3248</v>
      </c>
      <c r="C1340" s="1" t="s">
        <v>531</v>
      </c>
      <c r="E1340" s="1">
        <v>22.5670201</v>
      </c>
      <c r="F1340" s="1">
        <v>88.3549233</v>
      </c>
      <c r="G1340" s="1" t="s">
        <v>54</v>
      </c>
      <c r="H1340" s="1" t="s">
        <v>55</v>
      </c>
      <c r="J1340" s="1" t="s">
        <v>44</v>
      </c>
      <c r="K1340" s="1" t="s">
        <v>26</v>
      </c>
      <c r="L1340" s="1" t="s">
        <v>27</v>
      </c>
      <c r="N1340" s="1" t="s">
        <v>532</v>
      </c>
      <c r="O1340" s="1" t="s">
        <v>29</v>
      </c>
      <c r="P1340" s="1" t="s">
        <v>3135</v>
      </c>
      <c r="Q1340" s="1" t="s">
        <v>3136</v>
      </c>
      <c r="R1340" s="1">
        <v>1.0</v>
      </c>
      <c r="S1340" s="1"/>
    </row>
    <row r="1341" ht="15.75" customHeight="1">
      <c r="A1341" s="1" t="s">
        <v>3249</v>
      </c>
      <c r="B1341" s="1" t="s">
        <v>3250</v>
      </c>
      <c r="C1341" s="1" t="s">
        <v>531</v>
      </c>
      <c r="E1341" s="1">
        <v>22.5911499</v>
      </c>
      <c r="F1341" s="1">
        <v>88.39288839999999</v>
      </c>
      <c r="G1341" s="1" t="s">
        <v>54</v>
      </c>
      <c r="H1341" s="1" t="s">
        <v>55</v>
      </c>
      <c r="J1341" s="1" t="s">
        <v>44</v>
      </c>
      <c r="K1341" s="1" t="s">
        <v>26</v>
      </c>
      <c r="L1341" s="1" t="s">
        <v>27</v>
      </c>
      <c r="N1341" s="1" t="s">
        <v>532</v>
      </c>
      <c r="O1341" s="1" t="s">
        <v>29</v>
      </c>
      <c r="P1341" s="1" t="s">
        <v>3135</v>
      </c>
      <c r="Q1341" s="1" t="s">
        <v>3136</v>
      </c>
      <c r="R1341" s="1">
        <v>0.0</v>
      </c>
      <c r="S1341" s="1"/>
    </row>
    <row r="1342" ht="15.75" customHeight="1">
      <c r="A1342" s="1" t="s">
        <v>3251</v>
      </c>
      <c r="B1342" s="1" t="s">
        <v>3252</v>
      </c>
      <c r="C1342" s="1" t="s">
        <v>2089</v>
      </c>
      <c r="E1342" s="1">
        <v>23.4022758</v>
      </c>
      <c r="F1342" s="1">
        <v>85.3150596</v>
      </c>
      <c r="G1342" s="1" t="s">
        <v>54</v>
      </c>
      <c r="H1342" s="1" t="s">
        <v>55</v>
      </c>
      <c r="J1342" s="1" t="s">
        <v>44</v>
      </c>
      <c r="K1342" s="1" t="s">
        <v>26</v>
      </c>
      <c r="L1342" s="1" t="s">
        <v>27</v>
      </c>
      <c r="N1342" s="1" t="s">
        <v>506</v>
      </c>
      <c r="O1342" s="1" t="s">
        <v>29</v>
      </c>
      <c r="P1342" s="1" t="s">
        <v>3253</v>
      </c>
      <c r="Q1342" s="1" t="s">
        <v>3254</v>
      </c>
      <c r="R1342" s="1">
        <v>0.0</v>
      </c>
      <c r="S1342" s="1"/>
    </row>
    <row r="1343" ht="15.75" customHeight="1">
      <c r="A1343" s="1" t="s">
        <v>3255</v>
      </c>
      <c r="B1343" s="1" t="s">
        <v>3256</v>
      </c>
      <c r="C1343" s="1" t="s">
        <v>1078</v>
      </c>
      <c r="E1343" s="1">
        <v>12.970385</v>
      </c>
      <c r="F1343" s="1">
        <v>77.64099809999999</v>
      </c>
      <c r="G1343" s="1" t="s">
        <v>54</v>
      </c>
      <c r="H1343" s="1" t="s">
        <v>55</v>
      </c>
      <c r="J1343" s="1" t="s">
        <v>44</v>
      </c>
      <c r="K1343" s="1" t="s">
        <v>26</v>
      </c>
      <c r="L1343" s="1" t="s">
        <v>27</v>
      </c>
      <c r="N1343" s="1" t="s">
        <v>743</v>
      </c>
      <c r="O1343" s="1" t="s">
        <v>29</v>
      </c>
      <c r="P1343" s="1" t="s">
        <v>1079</v>
      </c>
      <c r="Q1343" s="1" t="s">
        <v>1080</v>
      </c>
      <c r="R1343" s="1">
        <v>5.0</v>
      </c>
      <c r="S1343" s="1"/>
    </row>
    <row r="1344" ht="15.75" customHeight="1">
      <c r="A1344" s="1" t="s">
        <v>3257</v>
      </c>
      <c r="B1344" s="1" t="s">
        <v>3258</v>
      </c>
      <c r="C1344" s="1" t="s">
        <v>1078</v>
      </c>
      <c r="E1344" s="1">
        <v>13.0637075</v>
      </c>
      <c r="F1344" s="1">
        <v>77.59147229999999</v>
      </c>
      <c r="G1344" s="1" t="s">
        <v>54</v>
      </c>
      <c r="H1344" s="1" t="s">
        <v>55</v>
      </c>
      <c r="J1344" s="1" t="s">
        <v>44</v>
      </c>
      <c r="K1344" s="1" t="s">
        <v>26</v>
      </c>
      <c r="L1344" s="1" t="s">
        <v>27</v>
      </c>
      <c r="N1344" s="1" t="s">
        <v>743</v>
      </c>
      <c r="O1344" s="1" t="s">
        <v>29</v>
      </c>
      <c r="P1344" s="1" t="s">
        <v>1079</v>
      </c>
      <c r="Q1344" s="1" t="s">
        <v>1080</v>
      </c>
      <c r="R1344" s="1">
        <v>2.0</v>
      </c>
      <c r="S1344" s="1"/>
    </row>
    <row r="1345" ht="15.75" customHeight="1">
      <c r="A1345" s="1" t="s">
        <v>3259</v>
      </c>
      <c r="B1345" s="1" t="s">
        <v>3260</v>
      </c>
      <c r="C1345" s="1" t="s">
        <v>1151</v>
      </c>
      <c r="E1345" s="1">
        <v>9.938226499999999</v>
      </c>
      <c r="F1345" s="1">
        <v>78.1363449</v>
      </c>
      <c r="G1345" s="1" t="s">
        <v>54</v>
      </c>
      <c r="H1345" s="1" t="s">
        <v>55</v>
      </c>
      <c r="J1345" s="1" t="s">
        <v>44</v>
      </c>
      <c r="K1345" s="1" t="s">
        <v>26</v>
      </c>
      <c r="L1345" s="1" t="s">
        <v>27</v>
      </c>
      <c r="N1345" s="1" t="s">
        <v>1097</v>
      </c>
      <c r="O1345" s="1" t="s">
        <v>29</v>
      </c>
      <c r="P1345" s="1" t="s">
        <v>3219</v>
      </c>
      <c r="Q1345" s="1" t="s">
        <v>3220</v>
      </c>
      <c r="R1345" s="1">
        <v>0.0</v>
      </c>
      <c r="S1345" s="1"/>
    </row>
    <row r="1346" ht="15.75" customHeight="1">
      <c r="A1346" s="1" t="s">
        <v>3261</v>
      </c>
      <c r="B1346" s="1" t="s">
        <v>3262</v>
      </c>
      <c r="C1346" s="1" t="s">
        <v>2089</v>
      </c>
      <c r="E1346" s="1">
        <v>23.3681614</v>
      </c>
      <c r="F1346" s="1">
        <v>85.3389887</v>
      </c>
      <c r="G1346" s="1" t="s">
        <v>54</v>
      </c>
      <c r="H1346" s="1" t="s">
        <v>55</v>
      </c>
      <c r="J1346" s="1" t="s">
        <v>44</v>
      </c>
      <c r="K1346" s="1" t="s">
        <v>26</v>
      </c>
      <c r="L1346" s="1" t="s">
        <v>27</v>
      </c>
      <c r="N1346" s="1" t="s">
        <v>506</v>
      </c>
      <c r="O1346" s="1" t="s">
        <v>29</v>
      </c>
      <c r="P1346" s="1" t="s">
        <v>3253</v>
      </c>
      <c r="Q1346" s="1" t="s">
        <v>3254</v>
      </c>
      <c r="R1346" s="1">
        <v>0.0</v>
      </c>
      <c r="S1346" s="1"/>
    </row>
    <row r="1347" ht="15.75" customHeight="1">
      <c r="A1347" s="1" t="s">
        <v>3263</v>
      </c>
      <c r="B1347" s="1" t="s">
        <v>3264</v>
      </c>
      <c r="C1347" s="1" t="s">
        <v>1968</v>
      </c>
      <c r="E1347" s="1">
        <v>20.4682421</v>
      </c>
      <c r="F1347" s="1">
        <v>85.89577930000002</v>
      </c>
      <c r="G1347" s="1" t="s">
        <v>54</v>
      </c>
      <c r="H1347" s="1" t="s">
        <v>55</v>
      </c>
      <c r="J1347" s="1" t="s">
        <v>44</v>
      </c>
      <c r="K1347" s="1" t="s">
        <v>26</v>
      </c>
      <c r="L1347" s="1" t="s">
        <v>27</v>
      </c>
      <c r="N1347" s="1" t="s">
        <v>1874</v>
      </c>
      <c r="O1347" s="1" t="s">
        <v>29</v>
      </c>
      <c r="P1347" s="1" t="s">
        <v>3265</v>
      </c>
      <c r="Q1347" s="1" t="s">
        <v>3266</v>
      </c>
      <c r="R1347" s="1">
        <v>0.0</v>
      </c>
      <c r="S1347" s="1"/>
    </row>
    <row r="1348" ht="15.75" customHeight="1">
      <c r="A1348" s="1" t="s">
        <v>3267</v>
      </c>
      <c r="B1348" s="1" t="s">
        <v>3268</v>
      </c>
      <c r="C1348" s="1" t="s">
        <v>1716</v>
      </c>
      <c r="E1348" s="1">
        <v>28.4639208</v>
      </c>
      <c r="F1348" s="1">
        <v>77.06494529999999</v>
      </c>
      <c r="G1348" s="1" t="s">
        <v>54</v>
      </c>
      <c r="H1348" s="1" t="s">
        <v>55</v>
      </c>
      <c r="J1348" s="1" t="s">
        <v>44</v>
      </c>
      <c r="K1348" s="1" t="s">
        <v>26</v>
      </c>
      <c r="L1348" s="1" t="s">
        <v>27</v>
      </c>
      <c r="N1348" s="1" t="s">
        <v>163</v>
      </c>
      <c r="O1348" s="1" t="s">
        <v>29</v>
      </c>
      <c r="P1348" s="1" t="s">
        <v>2163</v>
      </c>
      <c r="Q1348" s="1" t="s">
        <v>2164</v>
      </c>
      <c r="R1348" s="1">
        <v>5.0</v>
      </c>
      <c r="S1348" s="1"/>
    </row>
    <row r="1349" ht="15.75" customHeight="1">
      <c r="A1349" s="1" t="s">
        <v>3269</v>
      </c>
      <c r="B1349" s="1" t="s">
        <v>3270</v>
      </c>
      <c r="C1349" s="1" t="s">
        <v>162</v>
      </c>
      <c r="E1349" s="1">
        <v>28.4693295</v>
      </c>
      <c r="F1349" s="1">
        <v>77.3072452</v>
      </c>
      <c r="G1349" s="1" t="s">
        <v>54</v>
      </c>
      <c r="H1349" s="1" t="s">
        <v>55</v>
      </c>
      <c r="J1349" s="1" t="s">
        <v>44</v>
      </c>
      <c r="K1349" s="1" t="s">
        <v>26</v>
      </c>
      <c r="L1349" s="1" t="s">
        <v>27</v>
      </c>
      <c r="N1349" s="1" t="s">
        <v>163</v>
      </c>
      <c r="O1349" s="1" t="s">
        <v>29</v>
      </c>
      <c r="P1349" s="1" t="s">
        <v>2318</v>
      </c>
      <c r="Q1349" s="1" t="s">
        <v>2319</v>
      </c>
      <c r="R1349" s="1">
        <v>2.0</v>
      </c>
      <c r="S1349" s="1"/>
    </row>
    <row r="1350" ht="15.75" customHeight="1">
      <c r="A1350" s="1" t="s">
        <v>3271</v>
      </c>
      <c r="B1350" s="1" t="s">
        <v>3272</v>
      </c>
      <c r="C1350" s="1" t="s">
        <v>2078</v>
      </c>
      <c r="E1350" s="1">
        <v>11.33384</v>
      </c>
      <c r="F1350" s="1">
        <v>77.70533999999999</v>
      </c>
      <c r="G1350" s="1" t="s">
        <v>54</v>
      </c>
      <c r="H1350" s="1" t="s">
        <v>55</v>
      </c>
      <c r="J1350" s="1" t="s">
        <v>44</v>
      </c>
      <c r="K1350" s="1" t="s">
        <v>26</v>
      </c>
      <c r="L1350" s="1" t="s">
        <v>27</v>
      </c>
      <c r="N1350" s="1" t="s">
        <v>1097</v>
      </c>
      <c r="O1350" s="1" t="s">
        <v>29</v>
      </c>
      <c r="P1350" s="1" t="s">
        <v>3219</v>
      </c>
      <c r="Q1350" s="1" t="s">
        <v>3220</v>
      </c>
      <c r="R1350" s="1">
        <v>0.0</v>
      </c>
      <c r="S1350" s="1"/>
    </row>
    <row r="1351" ht="15.75" customHeight="1">
      <c r="A1351" s="1" t="s">
        <v>3273</v>
      </c>
      <c r="B1351" s="1" t="s">
        <v>3274</v>
      </c>
      <c r="C1351" s="1" t="s">
        <v>549</v>
      </c>
      <c r="E1351" s="1">
        <v>30.7057236</v>
      </c>
      <c r="F1351" s="1">
        <v>76.8012025</v>
      </c>
      <c r="G1351" s="1" t="s">
        <v>54</v>
      </c>
      <c r="H1351" s="1" t="s">
        <v>55</v>
      </c>
      <c r="J1351" s="1" t="s">
        <v>44</v>
      </c>
      <c r="K1351" s="1" t="s">
        <v>26</v>
      </c>
      <c r="L1351" s="1" t="s">
        <v>27</v>
      </c>
      <c r="N1351" s="1" t="s">
        <v>549</v>
      </c>
      <c r="O1351" s="1" t="s">
        <v>29</v>
      </c>
      <c r="P1351" s="1" t="s">
        <v>938</v>
      </c>
      <c r="Q1351" s="1" t="s">
        <v>939</v>
      </c>
      <c r="R1351" s="1">
        <v>0.0</v>
      </c>
      <c r="S1351" s="1"/>
    </row>
    <row r="1352" ht="15.75" customHeight="1">
      <c r="A1352" s="1" t="s">
        <v>3275</v>
      </c>
      <c r="B1352" s="1" t="s">
        <v>3276</v>
      </c>
      <c r="C1352" s="1" t="s">
        <v>185</v>
      </c>
      <c r="E1352" s="1">
        <v>17.5044356</v>
      </c>
      <c r="F1352" s="1">
        <v>78.4781857</v>
      </c>
      <c r="G1352" s="1" t="s">
        <v>54</v>
      </c>
      <c r="H1352" s="1" t="s">
        <v>55</v>
      </c>
      <c r="J1352" s="1" t="s">
        <v>44</v>
      </c>
      <c r="K1352" s="1" t="s">
        <v>26</v>
      </c>
      <c r="L1352" s="1" t="s">
        <v>27</v>
      </c>
      <c r="N1352" s="1" t="s">
        <v>186</v>
      </c>
      <c r="O1352" s="1" t="s">
        <v>29</v>
      </c>
      <c r="P1352" s="1" t="s">
        <v>2074</v>
      </c>
      <c r="Q1352" s="1" t="s">
        <v>2075</v>
      </c>
      <c r="R1352" s="1">
        <v>2.0</v>
      </c>
      <c r="S1352" s="1"/>
    </row>
    <row r="1353" ht="15.75" customHeight="1">
      <c r="A1353" s="1" t="s">
        <v>3277</v>
      </c>
      <c r="B1353" s="1" t="s">
        <v>3278</v>
      </c>
      <c r="C1353" s="1" t="s">
        <v>1225</v>
      </c>
      <c r="E1353" s="1">
        <v>17.7339878</v>
      </c>
      <c r="F1353" s="1">
        <v>83.3178204</v>
      </c>
      <c r="G1353" s="1" t="s">
        <v>54</v>
      </c>
      <c r="H1353" s="1" t="s">
        <v>55</v>
      </c>
      <c r="J1353" s="1" t="s">
        <v>44</v>
      </c>
      <c r="K1353" s="1" t="s">
        <v>26</v>
      </c>
      <c r="L1353" s="1" t="s">
        <v>27</v>
      </c>
      <c r="N1353" s="1" t="s">
        <v>464</v>
      </c>
      <c r="O1353" s="1" t="s">
        <v>29</v>
      </c>
      <c r="P1353" s="1" t="s">
        <v>2074</v>
      </c>
      <c r="Q1353" s="1" t="s">
        <v>2075</v>
      </c>
      <c r="R1353" s="1">
        <v>0.0</v>
      </c>
      <c r="S1353" s="1"/>
    </row>
    <row r="1354" ht="15.75" customHeight="1">
      <c r="A1354" s="1" t="s">
        <v>3279</v>
      </c>
      <c r="B1354" s="1" t="s">
        <v>3280</v>
      </c>
      <c r="C1354" s="1" t="s">
        <v>1078</v>
      </c>
      <c r="E1354" s="1">
        <v>12.9918981</v>
      </c>
      <c r="F1354" s="1">
        <v>77.5711085</v>
      </c>
      <c r="G1354" s="1" t="s">
        <v>54</v>
      </c>
      <c r="H1354" s="1" t="s">
        <v>55</v>
      </c>
      <c r="J1354" s="1" t="s">
        <v>44</v>
      </c>
      <c r="K1354" s="1" t="s">
        <v>26</v>
      </c>
      <c r="L1354" s="1" t="s">
        <v>27</v>
      </c>
      <c r="N1354" s="1" t="s">
        <v>743</v>
      </c>
      <c r="O1354" s="1" t="s">
        <v>29</v>
      </c>
      <c r="P1354" s="1" t="s">
        <v>1079</v>
      </c>
      <c r="Q1354" s="1" t="s">
        <v>1080</v>
      </c>
      <c r="R1354" s="1">
        <v>1.0</v>
      </c>
      <c r="S1354" s="1"/>
    </row>
    <row r="1355" ht="15.75" customHeight="1">
      <c r="A1355" s="1" t="s">
        <v>3281</v>
      </c>
      <c r="B1355" s="1" t="s">
        <v>3282</v>
      </c>
      <c r="C1355" s="1" t="s">
        <v>1035</v>
      </c>
      <c r="E1355" s="1">
        <v>26.1583585</v>
      </c>
      <c r="F1355" s="1">
        <v>91.68039879999999</v>
      </c>
      <c r="G1355" s="1" t="s">
        <v>54</v>
      </c>
      <c r="H1355" s="1" t="s">
        <v>55</v>
      </c>
      <c r="J1355" s="1" t="s">
        <v>44</v>
      </c>
      <c r="K1355" s="1" t="s">
        <v>26</v>
      </c>
      <c r="L1355" s="1" t="s">
        <v>27</v>
      </c>
      <c r="N1355" s="1" t="s">
        <v>1036</v>
      </c>
      <c r="O1355" s="1" t="s">
        <v>29</v>
      </c>
      <c r="P1355" s="1" t="s">
        <v>3131</v>
      </c>
      <c r="Q1355" s="1" t="s">
        <v>3132</v>
      </c>
      <c r="R1355" s="1">
        <v>0.0</v>
      </c>
      <c r="S1355" s="1"/>
    </row>
    <row r="1356" ht="15.75" customHeight="1">
      <c r="A1356" s="1" t="s">
        <v>3283</v>
      </c>
      <c r="B1356" s="1" t="s">
        <v>3284</v>
      </c>
      <c r="C1356" s="1" t="s">
        <v>174</v>
      </c>
      <c r="E1356" s="1">
        <v>28.6372171</v>
      </c>
      <c r="F1356" s="1">
        <v>77.2866372</v>
      </c>
      <c r="G1356" s="1" t="s">
        <v>54</v>
      </c>
      <c r="H1356" s="1" t="s">
        <v>55</v>
      </c>
      <c r="J1356" s="1" t="s">
        <v>44</v>
      </c>
      <c r="K1356" s="1" t="s">
        <v>26</v>
      </c>
      <c r="L1356" s="1" t="s">
        <v>27</v>
      </c>
      <c r="N1356" s="1" t="s">
        <v>174</v>
      </c>
      <c r="O1356" s="1" t="s">
        <v>29</v>
      </c>
      <c r="P1356" s="1" t="s">
        <v>1749</v>
      </c>
      <c r="Q1356" s="1" t="s">
        <v>1750</v>
      </c>
      <c r="R1356" s="1">
        <v>1.0</v>
      </c>
      <c r="S1356" s="1"/>
    </row>
    <row r="1357" ht="15.75" customHeight="1">
      <c r="A1357" s="1" t="s">
        <v>3285</v>
      </c>
      <c r="B1357" s="1" t="s">
        <v>3286</v>
      </c>
      <c r="C1357" s="1" t="s">
        <v>3287</v>
      </c>
      <c r="E1357" s="1">
        <v>27.3435036</v>
      </c>
      <c r="F1357" s="1">
        <v>88.61367179999999</v>
      </c>
      <c r="G1357" s="1" t="s">
        <v>54</v>
      </c>
      <c r="H1357" s="1" t="s">
        <v>55</v>
      </c>
      <c r="J1357" s="1" t="s">
        <v>44</v>
      </c>
      <c r="K1357" s="1" t="s">
        <v>26</v>
      </c>
      <c r="L1357" s="1" t="s">
        <v>27</v>
      </c>
      <c r="N1357" s="1" t="s">
        <v>3288</v>
      </c>
      <c r="O1357" s="1" t="s">
        <v>29</v>
      </c>
      <c r="P1357" s="1" t="s">
        <v>3131</v>
      </c>
      <c r="Q1357" s="1" t="s">
        <v>3132</v>
      </c>
      <c r="R1357" s="1">
        <v>0.0</v>
      </c>
      <c r="S1357" s="1"/>
    </row>
    <row r="1358" ht="15.75" customHeight="1">
      <c r="A1358" s="1" t="s">
        <v>3289</v>
      </c>
      <c r="B1358" s="1" t="s">
        <v>3290</v>
      </c>
      <c r="C1358" s="1" t="s">
        <v>174</v>
      </c>
      <c r="E1358" s="1">
        <v>28.5412681</v>
      </c>
      <c r="F1358" s="1">
        <v>77.1548251</v>
      </c>
      <c r="G1358" s="1" t="s">
        <v>54</v>
      </c>
      <c r="H1358" s="1" t="s">
        <v>55</v>
      </c>
      <c r="J1358" s="1" t="s">
        <v>44</v>
      </c>
      <c r="K1358" s="1" t="s">
        <v>26</v>
      </c>
      <c r="L1358" s="1" t="s">
        <v>27</v>
      </c>
      <c r="N1358" s="1" t="s">
        <v>174</v>
      </c>
      <c r="O1358" s="1" t="s">
        <v>29</v>
      </c>
      <c r="P1358" s="1" t="s">
        <v>2265</v>
      </c>
      <c r="Q1358" s="1" t="s">
        <v>2266</v>
      </c>
      <c r="R1358" s="1">
        <v>0.0</v>
      </c>
      <c r="S1358" s="1"/>
    </row>
    <row r="1359" ht="15.75" customHeight="1">
      <c r="A1359" s="1" t="s">
        <v>3291</v>
      </c>
      <c r="B1359" s="1" t="s">
        <v>3292</v>
      </c>
      <c r="C1359" s="1" t="s">
        <v>185</v>
      </c>
      <c r="E1359" s="1">
        <v>17.4254395</v>
      </c>
      <c r="F1359" s="1">
        <v>78.45336259999999</v>
      </c>
      <c r="G1359" s="1" t="s">
        <v>54</v>
      </c>
      <c r="H1359" s="1" t="s">
        <v>55</v>
      </c>
      <c r="J1359" s="1" t="s">
        <v>44</v>
      </c>
      <c r="K1359" s="1" t="s">
        <v>26</v>
      </c>
      <c r="L1359" s="1" t="s">
        <v>27</v>
      </c>
      <c r="N1359" s="1" t="s">
        <v>186</v>
      </c>
      <c r="O1359" s="1" t="s">
        <v>57</v>
      </c>
      <c r="P1359" s="1" t="s">
        <v>2074</v>
      </c>
      <c r="Q1359" s="1" t="s">
        <v>2075</v>
      </c>
      <c r="R1359" s="1">
        <v>4.0</v>
      </c>
      <c r="S1359" s="1"/>
    </row>
    <row r="1360" ht="15.75" customHeight="1">
      <c r="A1360" s="1" t="s">
        <v>3293</v>
      </c>
      <c r="B1360" s="1" t="s">
        <v>3294</v>
      </c>
      <c r="C1360" s="1" t="s">
        <v>1112</v>
      </c>
      <c r="E1360" s="1">
        <v>13.0874715</v>
      </c>
      <c r="F1360" s="1">
        <v>80.21769499999999</v>
      </c>
      <c r="G1360" s="1" t="s">
        <v>54</v>
      </c>
      <c r="H1360" s="1" t="s">
        <v>55</v>
      </c>
      <c r="J1360" s="1" t="s">
        <v>44</v>
      </c>
      <c r="K1360" s="1" t="s">
        <v>26</v>
      </c>
      <c r="L1360" s="1" t="s">
        <v>27</v>
      </c>
      <c r="N1360" s="1" t="s">
        <v>1097</v>
      </c>
      <c r="O1360" s="1" t="s">
        <v>29</v>
      </c>
      <c r="P1360" s="1" t="s">
        <v>3219</v>
      </c>
      <c r="Q1360" s="1" t="s">
        <v>3220</v>
      </c>
      <c r="R1360" s="1">
        <v>6.0</v>
      </c>
      <c r="S1360" s="1"/>
    </row>
    <row r="1361" ht="15.75" customHeight="1">
      <c r="A1361" s="1" t="s">
        <v>3295</v>
      </c>
      <c r="B1361" s="1" t="s">
        <v>3296</v>
      </c>
      <c r="C1361" s="1" t="s">
        <v>21</v>
      </c>
      <c r="E1361" s="1">
        <v>28.5671958</v>
      </c>
      <c r="F1361" s="1">
        <v>77.32089359999999</v>
      </c>
      <c r="G1361" s="1" t="s">
        <v>54</v>
      </c>
      <c r="H1361" s="1" t="s">
        <v>55</v>
      </c>
      <c r="J1361" s="1" t="s">
        <v>44</v>
      </c>
      <c r="K1361" s="1" t="s">
        <v>26</v>
      </c>
      <c r="L1361" s="1" t="s">
        <v>27</v>
      </c>
      <c r="N1361" s="1" t="s">
        <v>28</v>
      </c>
      <c r="O1361" s="1" t="s">
        <v>57</v>
      </c>
      <c r="P1361" s="1" t="s">
        <v>3297</v>
      </c>
      <c r="Q1361" s="1" t="s">
        <v>3298</v>
      </c>
      <c r="R1361" s="1">
        <v>4.0</v>
      </c>
      <c r="S1361" s="1"/>
    </row>
    <row r="1362" ht="15.75" customHeight="1">
      <c r="A1362" s="1" t="s">
        <v>3299</v>
      </c>
      <c r="B1362" s="1" t="s">
        <v>3300</v>
      </c>
      <c r="C1362" s="1" t="s">
        <v>1078</v>
      </c>
      <c r="E1362" s="1">
        <v>13.0455071</v>
      </c>
      <c r="F1362" s="1">
        <v>77.6266181</v>
      </c>
      <c r="G1362" s="1" t="s">
        <v>54</v>
      </c>
      <c r="H1362" s="1" t="s">
        <v>55</v>
      </c>
      <c r="J1362" s="1" t="s">
        <v>44</v>
      </c>
      <c r="K1362" s="1" t="s">
        <v>26</v>
      </c>
      <c r="L1362" s="1" t="s">
        <v>27</v>
      </c>
      <c r="N1362" s="1" t="s">
        <v>743</v>
      </c>
      <c r="O1362" s="1" t="s">
        <v>29</v>
      </c>
      <c r="P1362" s="1" t="s">
        <v>1079</v>
      </c>
      <c r="Q1362" s="1" t="s">
        <v>1080</v>
      </c>
      <c r="R1362" s="1">
        <v>1.0</v>
      </c>
      <c r="S1362" s="1"/>
    </row>
    <row r="1363" ht="15.75" customHeight="1">
      <c r="A1363" s="1" t="s">
        <v>3301</v>
      </c>
      <c r="B1363" s="1" t="s">
        <v>3302</v>
      </c>
      <c r="C1363" s="1" t="s">
        <v>148</v>
      </c>
      <c r="E1363" s="1">
        <v>19.0998634</v>
      </c>
      <c r="F1363" s="1">
        <v>72.9172616</v>
      </c>
      <c r="G1363" s="1" t="s">
        <v>54</v>
      </c>
      <c r="H1363" s="1" t="s">
        <v>55</v>
      </c>
      <c r="J1363" s="1" t="s">
        <v>44</v>
      </c>
      <c r="K1363" s="1" t="s">
        <v>26</v>
      </c>
      <c r="L1363" s="1" t="s">
        <v>27</v>
      </c>
      <c r="N1363" s="1" t="s">
        <v>143</v>
      </c>
      <c r="O1363" s="1" t="s">
        <v>29</v>
      </c>
      <c r="P1363" s="1" t="s">
        <v>2300</v>
      </c>
      <c r="Q1363" s="1" t="s">
        <v>2301</v>
      </c>
      <c r="R1363" s="1">
        <v>2.0</v>
      </c>
      <c r="S1363" s="1"/>
    </row>
    <row r="1364" ht="15.75" customHeight="1">
      <c r="A1364" s="1" t="s">
        <v>3303</v>
      </c>
      <c r="B1364" s="1" t="s">
        <v>3304</v>
      </c>
      <c r="C1364" s="1" t="s">
        <v>148</v>
      </c>
      <c r="E1364" s="1">
        <v>19.0131069</v>
      </c>
      <c r="F1364" s="1">
        <v>72.8284942</v>
      </c>
      <c r="G1364" s="1" t="s">
        <v>54</v>
      </c>
      <c r="H1364" s="1" t="s">
        <v>55</v>
      </c>
      <c r="J1364" s="1" t="s">
        <v>44</v>
      </c>
      <c r="K1364" s="1" t="s">
        <v>26</v>
      </c>
      <c r="L1364" s="1" t="s">
        <v>27</v>
      </c>
      <c r="N1364" s="1" t="s">
        <v>143</v>
      </c>
      <c r="O1364" s="1" t="s">
        <v>29</v>
      </c>
      <c r="P1364" s="1" t="s">
        <v>2300</v>
      </c>
      <c r="Q1364" s="1" t="s">
        <v>2301</v>
      </c>
      <c r="R1364" s="1">
        <v>2.0</v>
      </c>
      <c r="S1364" s="1"/>
    </row>
    <row r="1365" ht="15.75" customHeight="1">
      <c r="A1365" s="1" t="s">
        <v>3305</v>
      </c>
      <c r="B1365" s="1" t="s">
        <v>3306</v>
      </c>
      <c r="C1365" s="1" t="s">
        <v>151</v>
      </c>
      <c r="E1365" s="1">
        <v>18.5617582</v>
      </c>
      <c r="F1365" s="1">
        <v>73.9164606</v>
      </c>
      <c r="G1365" s="1" t="s">
        <v>54</v>
      </c>
      <c r="H1365" s="1" t="s">
        <v>55</v>
      </c>
      <c r="J1365" s="1" t="s">
        <v>44</v>
      </c>
      <c r="K1365" s="1" t="s">
        <v>26</v>
      </c>
      <c r="L1365" s="1" t="s">
        <v>27</v>
      </c>
      <c r="N1365" s="1" t="s">
        <v>143</v>
      </c>
      <c r="O1365" s="1" t="s">
        <v>29</v>
      </c>
      <c r="P1365" s="1" t="s">
        <v>3233</v>
      </c>
      <c r="Q1365" s="1" t="s">
        <v>3234</v>
      </c>
      <c r="R1365" s="1">
        <v>1.0</v>
      </c>
      <c r="S1365" s="1"/>
    </row>
    <row r="1366" ht="15.75" customHeight="1">
      <c r="A1366" s="1" t="s">
        <v>3307</v>
      </c>
      <c r="B1366" s="1" t="s">
        <v>3308</v>
      </c>
      <c r="C1366" s="1" t="s">
        <v>1044</v>
      </c>
      <c r="E1366" s="1">
        <v>25.576467</v>
      </c>
      <c r="F1366" s="1">
        <v>91.88184070000001</v>
      </c>
      <c r="G1366" s="1" t="s">
        <v>54</v>
      </c>
      <c r="H1366" s="1" t="s">
        <v>55</v>
      </c>
      <c r="J1366" s="1" t="s">
        <v>44</v>
      </c>
      <c r="K1366" s="1" t="s">
        <v>26</v>
      </c>
      <c r="L1366" s="1" t="s">
        <v>27</v>
      </c>
      <c r="N1366" s="1" t="s">
        <v>1045</v>
      </c>
      <c r="O1366" s="1" t="s">
        <v>29</v>
      </c>
      <c r="P1366" s="1" t="s">
        <v>3131</v>
      </c>
      <c r="Q1366" s="1" t="s">
        <v>3132</v>
      </c>
      <c r="R1366" s="1">
        <v>0.0</v>
      </c>
      <c r="S1366" s="1"/>
    </row>
    <row r="1367" ht="15.75" customHeight="1">
      <c r="A1367" s="1" t="s">
        <v>3309</v>
      </c>
      <c r="B1367" s="1" t="s">
        <v>3310</v>
      </c>
      <c r="C1367" s="1" t="s">
        <v>1078</v>
      </c>
      <c r="E1367" s="1">
        <v>13.0231175</v>
      </c>
      <c r="F1367" s="1">
        <v>77.63637179999999</v>
      </c>
      <c r="G1367" s="1" t="s">
        <v>54</v>
      </c>
      <c r="H1367" s="1" t="s">
        <v>55</v>
      </c>
      <c r="J1367" s="1" t="s">
        <v>44</v>
      </c>
      <c r="K1367" s="1" t="s">
        <v>26</v>
      </c>
      <c r="L1367" s="1" t="s">
        <v>27</v>
      </c>
      <c r="N1367" s="1" t="s">
        <v>743</v>
      </c>
      <c r="O1367" s="1" t="s">
        <v>29</v>
      </c>
      <c r="P1367" s="1" t="s">
        <v>1079</v>
      </c>
      <c r="Q1367" s="1" t="s">
        <v>1080</v>
      </c>
      <c r="R1367" s="1">
        <v>1.0</v>
      </c>
      <c r="S1367" s="1"/>
    </row>
    <row r="1368" ht="15.75" customHeight="1">
      <c r="A1368" s="1" t="s">
        <v>3311</v>
      </c>
      <c r="B1368" s="1" t="s">
        <v>3312</v>
      </c>
      <c r="C1368" s="1" t="s">
        <v>523</v>
      </c>
      <c r="E1368" s="1">
        <v>24.7914959</v>
      </c>
      <c r="F1368" s="1">
        <v>84.9997008</v>
      </c>
      <c r="G1368" s="1" t="s">
        <v>54</v>
      </c>
      <c r="H1368" s="1" t="s">
        <v>55</v>
      </c>
      <c r="J1368" s="1" t="s">
        <v>44</v>
      </c>
      <c r="K1368" s="1" t="s">
        <v>26</v>
      </c>
      <c r="L1368" s="1" t="s">
        <v>27</v>
      </c>
      <c r="N1368" s="1" t="s">
        <v>498</v>
      </c>
      <c r="O1368" s="1" t="s">
        <v>29</v>
      </c>
      <c r="P1368" s="1" t="s">
        <v>3253</v>
      </c>
      <c r="Q1368" s="1" t="s">
        <v>3254</v>
      </c>
      <c r="R1368" s="1">
        <v>0.0</v>
      </c>
      <c r="S1368" s="1"/>
    </row>
    <row r="1369" ht="15.75" customHeight="1">
      <c r="A1369" s="1" t="s">
        <v>3313</v>
      </c>
      <c r="B1369" s="1" t="s">
        <v>3314</v>
      </c>
      <c r="C1369" s="1" t="s">
        <v>1112</v>
      </c>
      <c r="E1369" s="1">
        <v>12.9513722</v>
      </c>
      <c r="F1369" s="1">
        <v>80.1395606</v>
      </c>
      <c r="G1369" s="1" t="s">
        <v>54</v>
      </c>
      <c r="H1369" s="1" t="s">
        <v>55</v>
      </c>
      <c r="J1369" s="1" t="s">
        <v>44</v>
      </c>
      <c r="K1369" s="1" t="s">
        <v>26</v>
      </c>
      <c r="L1369" s="1" t="s">
        <v>27</v>
      </c>
      <c r="N1369" s="1" t="s">
        <v>1097</v>
      </c>
      <c r="O1369" s="1" t="s">
        <v>29</v>
      </c>
      <c r="P1369" s="1" t="s">
        <v>3219</v>
      </c>
      <c r="Q1369" s="1" t="s">
        <v>3220</v>
      </c>
      <c r="R1369" s="1">
        <v>3.0</v>
      </c>
      <c r="S1369" s="1"/>
    </row>
    <row r="1370" ht="15.75" customHeight="1">
      <c r="A1370" s="1" t="s">
        <v>3315</v>
      </c>
      <c r="B1370" s="1" t="s">
        <v>3316</v>
      </c>
      <c r="C1370" s="1" t="s">
        <v>3317</v>
      </c>
      <c r="E1370" s="1">
        <v>14.4695493</v>
      </c>
      <c r="F1370" s="1">
        <v>75.905442</v>
      </c>
      <c r="G1370" s="1" t="s">
        <v>54</v>
      </c>
      <c r="H1370" s="1" t="s">
        <v>55</v>
      </c>
      <c r="J1370" s="1" t="s">
        <v>44</v>
      </c>
      <c r="K1370" s="1" t="s">
        <v>26</v>
      </c>
      <c r="L1370" s="1" t="s">
        <v>27</v>
      </c>
      <c r="N1370" s="1" t="s">
        <v>743</v>
      </c>
      <c r="O1370" s="1" t="s">
        <v>29</v>
      </c>
      <c r="P1370" s="1" t="s">
        <v>1079</v>
      </c>
      <c r="Q1370" s="1" t="s">
        <v>1080</v>
      </c>
      <c r="R1370" s="1">
        <v>0.0</v>
      </c>
      <c r="S1370" s="1"/>
    </row>
    <row r="1371" ht="15.75" customHeight="1">
      <c r="A1371" s="1" t="s">
        <v>3318</v>
      </c>
      <c r="B1371" s="1" t="s">
        <v>3319</v>
      </c>
      <c r="C1371" s="1" t="s">
        <v>848</v>
      </c>
      <c r="E1371" s="1">
        <v>26.854669</v>
      </c>
      <c r="F1371" s="1">
        <v>75.7665997</v>
      </c>
      <c r="G1371" s="1" t="s">
        <v>54</v>
      </c>
      <c r="H1371" s="1" t="s">
        <v>55</v>
      </c>
      <c r="J1371" s="1" t="s">
        <v>44</v>
      </c>
      <c r="K1371" s="1" t="s">
        <v>26</v>
      </c>
      <c r="L1371" s="1" t="s">
        <v>27</v>
      </c>
      <c r="N1371" s="1" t="s">
        <v>849</v>
      </c>
      <c r="O1371" s="1" t="s">
        <v>29</v>
      </c>
      <c r="P1371" s="1" t="s">
        <v>887</v>
      </c>
      <c r="Q1371" s="1" t="s">
        <v>888</v>
      </c>
      <c r="R1371" s="1">
        <v>0.0</v>
      </c>
      <c r="S1371" s="1"/>
    </row>
    <row r="1372" ht="15.75" customHeight="1">
      <c r="A1372" s="1" t="s">
        <v>3320</v>
      </c>
      <c r="B1372" s="1" t="s">
        <v>3321</v>
      </c>
      <c r="C1372" s="1" t="s">
        <v>174</v>
      </c>
      <c r="E1372" s="1">
        <v>28.5683341</v>
      </c>
      <c r="F1372" s="1">
        <v>77.218273</v>
      </c>
      <c r="G1372" s="1" t="s">
        <v>54</v>
      </c>
      <c r="H1372" s="1" t="s">
        <v>55</v>
      </c>
      <c r="J1372" s="1" t="s">
        <v>44</v>
      </c>
      <c r="K1372" s="1" t="s">
        <v>26</v>
      </c>
      <c r="L1372" s="1" t="s">
        <v>27</v>
      </c>
      <c r="N1372" s="1" t="s">
        <v>174</v>
      </c>
      <c r="O1372" s="1" t="s">
        <v>57</v>
      </c>
      <c r="P1372" s="1" t="s">
        <v>1749</v>
      </c>
      <c r="Q1372" s="1" t="s">
        <v>1750</v>
      </c>
      <c r="R1372" s="1">
        <v>1.0</v>
      </c>
      <c r="S1372" s="1"/>
    </row>
    <row r="1373" ht="15.75" customHeight="1">
      <c r="A1373" s="1" t="s">
        <v>3322</v>
      </c>
      <c r="B1373" s="1" t="s">
        <v>3323</v>
      </c>
      <c r="C1373" s="1" t="s">
        <v>185</v>
      </c>
      <c r="E1373" s="1">
        <v>17.4579374</v>
      </c>
      <c r="F1373" s="1">
        <v>78.3634624</v>
      </c>
      <c r="G1373" s="1" t="s">
        <v>54</v>
      </c>
      <c r="H1373" s="1" t="s">
        <v>55</v>
      </c>
      <c r="J1373" s="1" t="s">
        <v>44</v>
      </c>
      <c r="K1373" s="1" t="s">
        <v>26</v>
      </c>
      <c r="L1373" s="1" t="s">
        <v>27</v>
      </c>
      <c r="N1373" s="1" t="s">
        <v>186</v>
      </c>
      <c r="O1373" s="1" t="s">
        <v>29</v>
      </c>
      <c r="P1373" s="1" t="s">
        <v>2074</v>
      </c>
      <c r="Q1373" s="1" t="s">
        <v>2075</v>
      </c>
      <c r="R1373" s="1">
        <v>3.0</v>
      </c>
      <c r="S1373" s="1"/>
    </row>
    <row r="1374" ht="15.75" customHeight="1">
      <c r="A1374" s="1" t="s">
        <v>3324</v>
      </c>
      <c r="B1374" s="1" t="s">
        <v>3325</v>
      </c>
      <c r="C1374" s="1" t="s">
        <v>148</v>
      </c>
      <c r="E1374" s="1">
        <v>18.9930502</v>
      </c>
      <c r="F1374" s="1">
        <v>73.11588259999999</v>
      </c>
      <c r="G1374" s="1" t="s">
        <v>54</v>
      </c>
      <c r="H1374" s="1" t="s">
        <v>55</v>
      </c>
      <c r="J1374" s="1" t="s">
        <v>118</v>
      </c>
      <c r="K1374" s="1" t="s">
        <v>26</v>
      </c>
      <c r="L1374" s="1" t="s">
        <v>27</v>
      </c>
      <c r="N1374" s="1" t="s">
        <v>143</v>
      </c>
      <c r="O1374" s="1" t="s">
        <v>29</v>
      </c>
      <c r="P1374" s="1" t="s">
        <v>2300</v>
      </c>
      <c r="Q1374" s="1" t="s">
        <v>2301</v>
      </c>
      <c r="R1374" s="1">
        <v>2.0</v>
      </c>
      <c r="S1374" s="1"/>
    </row>
    <row r="1375" ht="15.75" customHeight="1">
      <c r="A1375" s="1" t="s">
        <v>3326</v>
      </c>
      <c r="B1375" s="1" t="s">
        <v>3327</v>
      </c>
      <c r="C1375" s="1" t="s">
        <v>1786</v>
      </c>
      <c r="E1375" s="1">
        <v>20.3510209</v>
      </c>
      <c r="F1375" s="1">
        <v>85.825289</v>
      </c>
      <c r="G1375" s="1" t="s">
        <v>54</v>
      </c>
      <c r="H1375" s="1" t="s">
        <v>55</v>
      </c>
      <c r="J1375" s="1" t="s">
        <v>118</v>
      </c>
      <c r="K1375" s="1" t="s">
        <v>26</v>
      </c>
      <c r="L1375" s="1" t="s">
        <v>27</v>
      </c>
      <c r="N1375" s="1" t="s">
        <v>1874</v>
      </c>
      <c r="O1375" s="1" t="s">
        <v>29</v>
      </c>
      <c r="P1375" s="1" t="s">
        <v>3131</v>
      </c>
      <c r="Q1375" s="1" t="s">
        <v>3132</v>
      </c>
      <c r="R1375" s="1">
        <v>0.0</v>
      </c>
      <c r="S1375" s="1"/>
    </row>
    <row r="1376" ht="15.75" customHeight="1">
      <c r="A1376" s="1" t="s">
        <v>3328</v>
      </c>
      <c r="B1376" s="1" t="s">
        <v>3329</v>
      </c>
      <c r="C1376" s="1" t="s">
        <v>497</v>
      </c>
      <c r="E1376" s="1">
        <v>25.6225799</v>
      </c>
      <c r="F1376" s="1">
        <v>85.0416631</v>
      </c>
      <c r="G1376" s="1" t="s">
        <v>54</v>
      </c>
      <c r="H1376" s="1" t="s">
        <v>55</v>
      </c>
      <c r="J1376" s="1" t="s">
        <v>118</v>
      </c>
      <c r="K1376" s="1" t="s">
        <v>26</v>
      </c>
      <c r="L1376" s="1" t="s">
        <v>27</v>
      </c>
      <c r="N1376" s="1" t="s">
        <v>498</v>
      </c>
      <c r="O1376" s="1" t="s">
        <v>29</v>
      </c>
      <c r="P1376" s="1" t="s">
        <v>3253</v>
      </c>
      <c r="Q1376" s="1" t="s">
        <v>3254</v>
      </c>
      <c r="R1376" s="1">
        <v>0.0</v>
      </c>
      <c r="S1376" s="1"/>
    </row>
    <row r="1377" ht="15.75" customHeight="1">
      <c r="A1377" s="1" t="s">
        <v>3330</v>
      </c>
      <c r="B1377" s="1" t="s">
        <v>3331</v>
      </c>
      <c r="C1377" s="1" t="s">
        <v>1716</v>
      </c>
      <c r="E1377" s="1">
        <v>28.5115529</v>
      </c>
      <c r="F1377" s="1">
        <v>77.0416066</v>
      </c>
      <c r="G1377" s="1" t="s">
        <v>54</v>
      </c>
      <c r="H1377" s="1" t="s">
        <v>55</v>
      </c>
      <c r="J1377" s="1" t="s">
        <v>118</v>
      </c>
      <c r="K1377" s="1" t="s">
        <v>26</v>
      </c>
      <c r="L1377" s="1" t="s">
        <v>27</v>
      </c>
      <c r="N1377" s="1" t="s">
        <v>163</v>
      </c>
      <c r="O1377" s="1" t="s">
        <v>29</v>
      </c>
      <c r="P1377" s="1" t="s">
        <v>2163</v>
      </c>
      <c r="Q1377" s="1" t="s">
        <v>2164</v>
      </c>
      <c r="R1377" s="1">
        <v>3.0</v>
      </c>
      <c r="S1377" s="1"/>
    </row>
    <row r="1378" ht="15.75" customHeight="1">
      <c r="A1378" s="1" t="s">
        <v>3332</v>
      </c>
      <c r="B1378" s="1" t="s">
        <v>3333</v>
      </c>
      <c r="C1378" s="1" t="s">
        <v>1112</v>
      </c>
      <c r="E1378" s="1">
        <v>13.1255614</v>
      </c>
      <c r="F1378" s="1">
        <v>80.2051458</v>
      </c>
      <c r="G1378" s="1" t="s">
        <v>54</v>
      </c>
      <c r="H1378" s="1" t="s">
        <v>55</v>
      </c>
      <c r="J1378" s="1" t="s">
        <v>118</v>
      </c>
      <c r="K1378" s="1" t="s">
        <v>26</v>
      </c>
      <c r="L1378" s="1" t="s">
        <v>27</v>
      </c>
      <c r="N1378" s="1" t="s">
        <v>1097</v>
      </c>
      <c r="O1378" s="1" t="s">
        <v>57</v>
      </c>
      <c r="P1378" s="1" t="s">
        <v>3219</v>
      </c>
      <c r="Q1378" s="1" t="s">
        <v>3220</v>
      </c>
      <c r="R1378" s="1">
        <v>2.0</v>
      </c>
      <c r="S1378" s="1"/>
    </row>
    <row r="1379" ht="15.75" customHeight="1">
      <c r="A1379" s="1" t="s">
        <v>3334</v>
      </c>
      <c r="B1379" s="1" t="s">
        <v>3335</v>
      </c>
      <c r="C1379" s="1" t="s">
        <v>21</v>
      </c>
      <c r="E1379" s="1">
        <v>28.5743889</v>
      </c>
      <c r="F1379" s="1">
        <v>77.3538058</v>
      </c>
      <c r="G1379" s="1" t="s">
        <v>54</v>
      </c>
      <c r="H1379" s="1" t="s">
        <v>55</v>
      </c>
      <c r="J1379" s="1" t="s">
        <v>118</v>
      </c>
      <c r="K1379" s="1" t="s">
        <v>26</v>
      </c>
      <c r="L1379" s="1" t="s">
        <v>27</v>
      </c>
      <c r="N1379" s="1" t="s">
        <v>28</v>
      </c>
      <c r="O1379" s="1" t="s">
        <v>57</v>
      </c>
      <c r="P1379" s="1" t="s">
        <v>3297</v>
      </c>
      <c r="Q1379" s="1" t="s">
        <v>3298</v>
      </c>
      <c r="R1379" s="1">
        <v>1.0</v>
      </c>
      <c r="S1379" s="1"/>
    </row>
    <row r="1380" ht="15.75" customHeight="1">
      <c r="A1380" s="1" t="s">
        <v>3336</v>
      </c>
      <c r="B1380" s="1" t="s">
        <v>3337</v>
      </c>
      <c r="C1380" s="1" t="s">
        <v>185</v>
      </c>
      <c r="E1380" s="1">
        <v>17.496128</v>
      </c>
      <c r="F1380" s="1">
        <v>78.338351</v>
      </c>
      <c r="G1380" s="1" t="s">
        <v>54</v>
      </c>
      <c r="H1380" s="1" t="s">
        <v>55</v>
      </c>
      <c r="J1380" s="1" t="s">
        <v>118</v>
      </c>
      <c r="K1380" s="1" t="s">
        <v>26</v>
      </c>
      <c r="L1380" s="1" t="s">
        <v>27</v>
      </c>
      <c r="N1380" s="1" t="s">
        <v>186</v>
      </c>
      <c r="O1380" s="1" t="s">
        <v>29</v>
      </c>
      <c r="P1380" s="1" t="s">
        <v>2074</v>
      </c>
      <c r="Q1380" s="1" t="s">
        <v>2075</v>
      </c>
      <c r="R1380" s="1">
        <v>3.0</v>
      </c>
      <c r="S1380" s="1"/>
    </row>
    <row r="1381" ht="15.75" customHeight="1">
      <c r="A1381" s="1" t="s">
        <v>3338</v>
      </c>
      <c r="B1381" s="1" t="s">
        <v>3339</v>
      </c>
      <c r="C1381" s="1" t="s">
        <v>1078</v>
      </c>
      <c r="E1381" s="1">
        <v>12.8882424</v>
      </c>
      <c r="F1381" s="1">
        <v>77.5629493</v>
      </c>
      <c r="G1381" s="1" t="s">
        <v>54</v>
      </c>
      <c r="H1381" s="1" t="s">
        <v>55</v>
      </c>
      <c r="J1381" s="1" t="s">
        <v>118</v>
      </c>
      <c r="K1381" s="1" t="s">
        <v>26</v>
      </c>
      <c r="L1381" s="1" t="s">
        <v>27</v>
      </c>
      <c r="N1381" s="1" t="s">
        <v>743</v>
      </c>
      <c r="O1381" s="1" t="s">
        <v>29</v>
      </c>
      <c r="P1381" s="1" t="s">
        <v>1079</v>
      </c>
      <c r="Q1381" s="1" t="s">
        <v>1080</v>
      </c>
      <c r="R1381" s="1">
        <v>3.0</v>
      </c>
      <c r="S1381" s="1"/>
    </row>
    <row r="1382" ht="15.75" customHeight="1">
      <c r="A1382" s="1" t="s">
        <v>3340</v>
      </c>
      <c r="B1382" s="1" t="s">
        <v>3341</v>
      </c>
      <c r="C1382" s="1" t="s">
        <v>242</v>
      </c>
      <c r="E1382" s="1">
        <v>21.1419035</v>
      </c>
      <c r="F1382" s="1">
        <v>72.7831803</v>
      </c>
      <c r="G1382" s="1" t="s">
        <v>54</v>
      </c>
      <c r="H1382" s="1" t="s">
        <v>55</v>
      </c>
      <c r="J1382" s="1" t="s">
        <v>118</v>
      </c>
      <c r="K1382" s="1" t="s">
        <v>26</v>
      </c>
      <c r="L1382" s="1" t="s">
        <v>27</v>
      </c>
      <c r="N1382" s="1" t="s">
        <v>216</v>
      </c>
      <c r="O1382" s="1" t="s">
        <v>29</v>
      </c>
      <c r="P1382" s="1" t="s">
        <v>3342</v>
      </c>
      <c r="Q1382" s="1" t="s">
        <v>3343</v>
      </c>
      <c r="R1382" s="1">
        <v>14.0</v>
      </c>
      <c r="S1382" s="1"/>
    </row>
    <row r="1383" ht="15.75" customHeight="1">
      <c r="A1383" s="1" t="s">
        <v>3344</v>
      </c>
      <c r="B1383" s="1" t="s">
        <v>3345</v>
      </c>
      <c r="C1383" s="1" t="s">
        <v>1326</v>
      </c>
      <c r="E1383" s="1">
        <v>12.9346505</v>
      </c>
      <c r="F1383" s="1">
        <v>79.1467186</v>
      </c>
      <c r="G1383" s="1" t="s">
        <v>54</v>
      </c>
      <c r="H1383" s="1" t="s">
        <v>55</v>
      </c>
      <c r="J1383" s="1" t="s">
        <v>118</v>
      </c>
      <c r="K1383" s="1" t="s">
        <v>26</v>
      </c>
      <c r="L1383" s="1" t="s">
        <v>27</v>
      </c>
      <c r="N1383" s="1" t="s">
        <v>1097</v>
      </c>
      <c r="O1383" s="1" t="s">
        <v>57</v>
      </c>
      <c r="P1383" s="1" t="s">
        <v>3219</v>
      </c>
      <c r="Q1383" s="1" t="s">
        <v>3220</v>
      </c>
      <c r="R1383" s="1">
        <v>0.0</v>
      </c>
      <c r="S1383" s="1"/>
    </row>
    <row r="1384" ht="15.75" customHeight="1">
      <c r="A1384" s="1" t="s">
        <v>3346</v>
      </c>
      <c r="B1384" s="1" t="s">
        <v>3347</v>
      </c>
      <c r="C1384" s="1" t="s">
        <v>505</v>
      </c>
      <c r="E1384" s="1">
        <v>23.8200191</v>
      </c>
      <c r="F1384" s="1">
        <v>86.46998599999999</v>
      </c>
      <c r="G1384" s="1" t="s">
        <v>54</v>
      </c>
      <c r="H1384" s="1" t="s">
        <v>55</v>
      </c>
      <c r="J1384" s="1" t="s">
        <v>118</v>
      </c>
      <c r="K1384" s="1" t="s">
        <v>26</v>
      </c>
      <c r="L1384" s="1" t="s">
        <v>27</v>
      </c>
      <c r="N1384" s="1" t="s">
        <v>506</v>
      </c>
      <c r="O1384" s="1" t="s">
        <v>29</v>
      </c>
      <c r="P1384" s="1" t="s">
        <v>3253</v>
      </c>
      <c r="Q1384" s="1" t="s">
        <v>3254</v>
      </c>
      <c r="R1384" s="1">
        <v>0.0</v>
      </c>
      <c r="S1384" s="1"/>
    </row>
    <row r="1385" ht="15.75" customHeight="1">
      <c r="A1385" s="1" t="s">
        <v>3348</v>
      </c>
      <c r="B1385" s="1" t="s">
        <v>3349</v>
      </c>
      <c r="C1385" s="1" t="s">
        <v>2431</v>
      </c>
      <c r="E1385" s="1">
        <v>8.7279834</v>
      </c>
      <c r="F1385" s="1">
        <v>77.7179393</v>
      </c>
      <c r="G1385" s="1" t="s">
        <v>54</v>
      </c>
      <c r="H1385" s="1" t="s">
        <v>55</v>
      </c>
      <c r="J1385" s="1" t="s">
        <v>118</v>
      </c>
      <c r="K1385" s="1" t="s">
        <v>26</v>
      </c>
      <c r="L1385" s="1" t="s">
        <v>27</v>
      </c>
      <c r="N1385" s="1" t="s">
        <v>1097</v>
      </c>
      <c r="O1385" s="1" t="s">
        <v>57</v>
      </c>
      <c r="P1385" s="1" t="s">
        <v>3219</v>
      </c>
      <c r="Q1385" s="1" t="s">
        <v>3220</v>
      </c>
      <c r="R1385" s="1">
        <v>0.0</v>
      </c>
      <c r="S1385" s="1"/>
    </row>
    <row r="1386" ht="15.75" customHeight="1">
      <c r="A1386" s="1" t="s">
        <v>3350</v>
      </c>
      <c r="B1386" s="1" t="s">
        <v>3351</v>
      </c>
      <c r="C1386" s="1" t="s">
        <v>174</v>
      </c>
      <c r="E1386" s="1">
        <v>28.6608665</v>
      </c>
      <c r="F1386" s="1">
        <v>77.297375</v>
      </c>
      <c r="G1386" s="1" t="s">
        <v>54</v>
      </c>
      <c r="H1386" s="1" t="s">
        <v>55</v>
      </c>
      <c r="J1386" s="1" t="s">
        <v>118</v>
      </c>
      <c r="K1386" s="1" t="s">
        <v>26</v>
      </c>
      <c r="L1386" s="1" t="s">
        <v>27</v>
      </c>
      <c r="N1386" s="1" t="s">
        <v>174</v>
      </c>
      <c r="O1386" s="1" t="s">
        <v>29</v>
      </c>
      <c r="P1386" s="1" t="s">
        <v>1749</v>
      </c>
      <c r="Q1386" s="1" t="s">
        <v>1750</v>
      </c>
      <c r="R1386" s="1">
        <v>1.0</v>
      </c>
      <c r="S1386" s="1"/>
    </row>
    <row r="1387" ht="15.75" customHeight="1">
      <c r="A1387" s="1" t="s">
        <v>3352</v>
      </c>
      <c r="B1387" s="1" t="s">
        <v>3353</v>
      </c>
      <c r="C1387" s="1" t="s">
        <v>1968</v>
      </c>
      <c r="E1387" s="1">
        <v>20.4682421</v>
      </c>
      <c r="F1387" s="1">
        <v>85.89577930000002</v>
      </c>
      <c r="G1387" s="1" t="s">
        <v>54</v>
      </c>
      <c r="H1387" s="1" t="s">
        <v>55</v>
      </c>
      <c r="J1387" s="1" t="s">
        <v>118</v>
      </c>
      <c r="K1387" s="1" t="s">
        <v>26</v>
      </c>
      <c r="L1387" s="1" t="s">
        <v>27</v>
      </c>
      <c r="N1387" s="1" t="s">
        <v>1874</v>
      </c>
      <c r="O1387" s="1" t="s">
        <v>29</v>
      </c>
      <c r="P1387" s="1" t="s">
        <v>3265</v>
      </c>
      <c r="Q1387" s="1" t="s">
        <v>3266</v>
      </c>
      <c r="R1387" s="1">
        <v>0.0</v>
      </c>
      <c r="S1387" s="1"/>
    </row>
    <row r="1388" ht="15.75" customHeight="1">
      <c r="A1388" s="1" t="s">
        <v>3354</v>
      </c>
      <c r="B1388" s="1" t="s">
        <v>3355</v>
      </c>
      <c r="C1388" s="1" t="s">
        <v>446</v>
      </c>
      <c r="E1388" s="1">
        <v>22.3183879</v>
      </c>
      <c r="F1388" s="1">
        <v>73.1693422</v>
      </c>
      <c r="G1388" s="1" t="s">
        <v>54</v>
      </c>
      <c r="H1388" s="1" t="s">
        <v>55</v>
      </c>
      <c r="J1388" s="1" t="s">
        <v>118</v>
      </c>
      <c r="K1388" s="1" t="s">
        <v>26</v>
      </c>
      <c r="L1388" s="1" t="s">
        <v>27</v>
      </c>
      <c r="N1388" s="1" t="s">
        <v>216</v>
      </c>
      <c r="O1388" s="1" t="s">
        <v>29</v>
      </c>
      <c r="P1388" s="1" t="s">
        <v>3342</v>
      </c>
      <c r="Q1388" s="1" t="s">
        <v>3343</v>
      </c>
      <c r="R1388" s="1">
        <v>0.0</v>
      </c>
      <c r="S1388" s="1"/>
    </row>
    <row r="1389" ht="15.75" customHeight="1">
      <c r="A1389" s="1" t="s">
        <v>3356</v>
      </c>
      <c r="B1389" s="1" t="s">
        <v>3357</v>
      </c>
      <c r="C1389" s="1" t="s">
        <v>549</v>
      </c>
      <c r="E1389" s="1">
        <v>30.734371</v>
      </c>
      <c r="F1389" s="1">
        <v>76.778387</v>
      </c>
      <c r="G1389" s="1" t="s">
        <v>54</v>
      </c>
      <c r="H1389" s="1" t="s">
        <v>55</v>
      </c>
      <c r="J1389" s="1" t="s">
        <v>118</v>
      </c>
      <c r="K1389" s="1" t="s">
        <v>26</v>
      </c>
      <c r="L1389" s="1" t="s">
        <v>27</v>
      </c>
      <c r="N1389" s="1" t="s">
        <v>549</v>
      </c>
      <c r="O1389" s="1" t="s">
        <v>57</v>
      </c>
      <c r="P1389" s="1" t="s">
        <v>938</v>
      </c>
      <c r="Q1389" s="1" t="s">
        <v>939</v>
      </c>
      <c r="R1389" s="1">
        <v>0.0</v>
      </c>
      <c r="S1389" s="1"/>
    </row>
    <row r="1390" ht="15.75" customHeight="1">
      <c r="A1390" s="1" t="s">
        <v>3358</v>
      </c>
      <c r="B1390" s="1" t="s">
        <v>3359</v>
      </c>
      <c r="C1390" s="1" t="s">
        <v>1112</v>
      </c>
      <c r="E1390" s="1">
        <v>12.9562698</v>
      </c>
      <c r="F1390" s="1">
        <v>80.1872886</v>
      </c>
      <c r="G1390" s="1" t="s">
        <v>54</v>
      </c>
      <c r="H1390" s="1" t="s">
        <v>55</v>
      </c>
      <c r="J1390" s="1" t="s">
        <v>118</v>
      </c>
      <c r="K1390" s="1" t="s">
        <v>26</v>
      </c>
      <c r="L1390" s="1" t="s">
        <v>27</v>
      </c>
      <c r="N1390" s="1" t="s">
        <v>1097</v>
      </c>
      <c r="O1390" s="1" t="s">
        <v>57</v>
      </c>
      <c r="P1390" s="1" t="s">
        <v>3219</v>
      </c>
      <c r="Q1390" s="1" t="s">
        <v>3220</v>
      </c>
      <c r="R1390" s="1">
        <v>4.0</v>
      </c>
      <c r="S1390" s="1"/>
    </row>
    <row r="1391" ht="15.75" customHeight="1">
      <c r="A1391" s="1" t="s">
        <v>3360</v>
      </c>
      <c r="B1391" s="1" t="s">
        <v>3361</v>
      </c>
      <c r="C1391" s="1" t="s">
        <v>497</v>
      </c>
      <c r="E1391" s="1">
        <v>25.6106465</v>
      </c>
      <c r="F1391" s="1">
        <v>85.139977</v>
      </c>
      <c r="G1391" s="1" t="s">
        <v>54</v>
      </c>
      <c r="H1391" s="1" t="s">
        <v>55</v>
      </c>
      <c r="J1391" s="1" t="s">
        <v>118</v>
      </c>
      <c r="K1391" s="1" t="s">
        <v>26</v>
      </c>
      <c r="L1391" s="1" t="s">
        <v>27</v>
      </c>
      <c r="N1391" s="1" t="s">
        <v>498</v>
      </c>
      <c r="O1391" s="1" t="s">
        <v>57</v>
      </c>
      <c r="P1391" s="1" t="s">
        <v>3253</v>
      </c>
      <c r="Q1391" s="1" t="s">
        <v>3254</v>
      </c>
      <c r="R1391" s="1">
        <v>0.0</v>
      </c>
      <c r="S1391" s="1"/>
    </row>
    <row r="1392" ht="15.75" customHeight="1">
      <c r="A1392" s="1" t="s">
        <v>3362</v>
      </c>
      <c r="B1392" s="1" t="s">
        <v>3363</v>
      </c>
      <c r="C1392" s="1" t="s">
        <v>185</v>
      </c>
      <c r="E1392" s="1">
        <v>17.3609942</v>
      </c>
      <c r="F1392" s="1">
        <v>78.427123</v>
      </c>
      <c r="G1392" s="1" t="s">
        <v>54</v>
      </c>
      <c r="H1392" s="1" t="s">
        <v>55</v>
      </c>
      <c r="J1392" s="1" t="s">
        <v>118</v>
      </c>
      <c r="K1392" s="1" t="s">
        <v>26</v>
      </c>
      <c r="L1392" s="1" t="s">
        <v>27</v>
      </c>
      <c r="N1392" s="1" t="s">
        <v>186</v>
      </c>
      <c r="O1392" s="1" t="s">
        <v>29</v>
      </c>
      <c r="P1392" s="1" t="s">
        <v>2074</v>
      </c>
      <c r="Q1392" s="1" t="s">
        <v>2075</v>
      </c>
      <c r="R1392" s="1">
        <v>1.0</v>
      </c>
      <c r="S1392" s="1"/>
    </row>
    <row r="1393" ht="15.75" customHeight="1">
      <c r="A1393" s="1" t="s">
        <v>3364</v>
      </c>
      <c r="B1393" s="1" t="s">
        <v>3365</v>
      </c>
      <c r="C1393" s="1" t="s">
        <v>617</v>
      </c>
      <c r="E1393" s="1">
        <v>26.8699775</v>
      </c>
      <c r="F1393" s="1">
        <v>81.0100221</v>
      </c>
      <c r="G1393" s="1" t="s">
        <v>54</v>
      </c>
      <c r="H1393" s="1" t="s">
        <v>55</v>
      </c>
      <c r="J1393" s="1" t="s">
        <v>118</v>
      </c>
      <c r="K1393" s="1" t="s">
        <v>26</v>
      </c>
      <c r="L1393" s="1" t="s">
        <v>27</v>
      </c>
      <c r="N1393" s="1" t="s">
        <v>28</v>
      </c>
      <c r="O1393" s="1" t="s">
        <v>57</v>
      </c>
      <c r="P1393" s="1" t="s">
        <v>733</v>
      </c>
      <c r="Q1393" s="1" t="s">
        <v>734</v>
      </c>
      <c r="R1393" s="1">
        <v>5.0</v>
      </c>
      <c r="S1393" s="1"/>
    </row>
    <row r="1394" ht="15.75" customHeight="1">
      <c r="A1394" s="1" t="s">
        <v>3366</v>
      </c>
      <c r="B1394" s="1" t="s">
        <v>3367</v>
      </c>
      <c r="C1394" s="1" t="s">
        <v>1121</v>
      </c>
      <c r="E1394" s="1">
        <v>12.3212784</v>
      </c>
      <c r="F1394" s="1">
        <v>76.6208341</v>
      </c>
      <c r="G1394" s="1" t="s">
        <v>54</v>
      </c>
      <c r="H1394" s="1" t="s">
        <v>55</v>
      </c>
      <c r="J1394" s="1" t="s">
        <v>118</v>
      </c>
      <c r="K1394" s="1" t="s">
        <v>26</v>
      </c>
      <c r="L1394" s="1" t="s">
        <v>27</v>
      </c>
      <c r="N1394" s="1" t="s">
        <v>743</v>
      </c>
      <c r="O1394" s="1" t="s">
        <v>29</v>
      </c>
      <c r="P1394" s="1" t="s">
        <v>1079</v>
      </c>
      <c r="Q1394" s="1" t="s">
        <v>1080</v>
      </c>
      <c r="R1394" s="1">
        <v>0.0</v>
      </c>
      <c r="S1394" s="1"/>
    </row>
    <row r="1395" ht="15.75" customHeight="1">
      <c r="A1395" s="1" t="s">
        <v>3368</v>
      </c>
      <c r="B1395" s="1" t="s">
        <v>3369</v>
      </c>
      <c r="C1395" s="1" t="s">
        <v>617</v>
      </c>
      <c r="E1395" s="1">
        <v>26.7983219</v>
      </c>
      <c r="F1395" s="1">
        <v>80.8968319</v>
      </c>
      <c r="G1395" s="1" t="s">
        <v>54</v>
      </c>
      <c r="H1395" s="1" t="s">
        <v>55</v>
      </c>
      <c r="J1395" s="1" t="s">
        <v>118</v>
      </c>
      <c r="K1395" s="1" t="s">
        <v>26</v>
      </c>
      <c r="L1395" s="1" t="s">
        <v>27</v>
      </c>
      <c r="N1395" s="1" t="s">
        <v>28</v>
      </c>
      <c r="O1395" s="1" t="s">
        <v>57</v>
      </c>
      <c r="P1395" s="1" t="s">
        <v>733</v>
      </c>
      <c r="Q1395" s="1" t="s">
        <v>734</v>
      </c>
      <c r="R1395" s="1">
        <v>5.0</v>
      </c>
      <c r="S1395" s="1"/>
    </row>
    <row r="1396" ht="15.75" customHeight="1">
      <c r="A1396" s="1" t="s">
        <v>3370</v>
      </c>
      <c r="B1396" s="1" t="s">
        <v>3371</v>
      </c>
      <c r="C1396" s="1" t="s">
        <v>1065</v>
      </c>
      <c r="E1396" s="1">
        <v>26.5261294</v>
      </c>
      <c r="F1396" s="1">
        <v>88.7197832</v>
      </c>
      <c r="G1396" s="1" t="s">
        <v>54</v>
      </c>
      <c r="H1396" s="1" t="s">
        <v>55</v>
      </c>
      <c r="J1396" s="1" t="s">
        <v>118</v>
      </c>
      <c r="K1396" s="1" t="s">
        <v>26</v>
      </c>
      <c r="L1396" s="1" t="s">
        <v>27</v>
      </c>
      <c r="N1396" s="1" t="s">
        <v>532</v>
      </c>
      <c r="O1396" s="1" t="s">
        <v>57</v>
      </c>
      <c r="P1396" s="1" t="s">
        <v>3131</v>
      </c>
      <c r="Q1396" s="1" t="s">
        <v>3132</v>
      </c>
      <c r="R1396" s="1">
        <v>0.0</v>
      </c>
      <c r="S1396" s="1"/>
    </row>
    <row r="1397" ht="15.75" customHeight="1">
      <c r="A1397" s="1" t="s">
        <v>3372</v>
      </c>
      <c r="B1397" s="1" t="s">
        <v>3373</v>
      </c>
      <c r="C1397" s="1" t="s">
        <v>3374</v>
      </c>
      <c r="E1397" s="1">
        <v>21.2062452</v>
      </c>
      <c r="F1397" s="1">
        <v>81.3513914</v>
      </c>
      <c r="G1397" s="1" t="s">
        <v>54</v>
      </c>
      <c r="H1397" s="1" t="s">
        <v>55</v>
      </c>
      <c r="J1397" s="1" t="s">
        <v>118</v>
      </c>
      <c r="K1397" s="1" t="s">
        <v>26</v>
      </c>
      <c r="L1397" s="1" t="s">
        <v>27</v>
      </c>
      <c r="N1397" s="1" t="s">
        <v>1989</v>
      </c>
      <c r="O1397" s="1" t="s">
        <v>29</v>
      </c>
      <c r="P1397" s="1" t="s">
        <v>3243</v>
      </c>
      <c r="Q1397" s="1" t="s">
        <v>3244</v>
      </c>
      <c r="R1397" s="1">
        <v>0.0</v>
      </c>
      <c r="S1397" s="1"/>
    </row>
    <row r="1398" ht="15.75" customHeight="1">
      <c r="A1398" s="1" t="s">
        <v>3375</v>
      </c>
      <c r="B1398" s="1" t="s">
        <v>3376</v>
      </c>
      <c r="C1398" s="1" t="s">
        <v>526</v>
      </c>
      <c r="E1398" s="1">
        <v>19.8776129</v>
      </c>
      <c r="F1398" s="1">
        <v>75.37190799999999</v>
      </c>
      <c r="G1398" s="1" t="s">
        <v>54</v>
      </c>
      <c r="H1398" s="1" t="s">
        <v>55</v>
      </c>
      <c r="J1398" s="1" t="s">
        <v>118</v>
      </c>
      <c r="K1398" s="1" t="s">
        <v>26</v>
      </c>
      <c r="L1398" s="1" t="s">
        <v>27</v>
      </c>
      <c r="N1398" s="1" t="s">
        <v>498</v>
      </c>
      <c r="O1398" s="1" t="s">
        <v>29</v>
      </c>
      <c r="P1398" s="1" t="s">
        <v>2239</v>
      </c>
      <c r="Q1398" s="1" t="s">
        <v>2240</v>
      </c>
      <c r="R1398" s="1">
        <v>0.0</v>
      </c>
      <c r="S1398" s="1"/>
    </row>
    <row r="1399" ht="15.75" customHeight="1">
      <c r="A1399" s="1" t="s">
        <v>3377</v>
      </c>
      <c r="B1399" s="1" t="s">
        <v>3378</v>
      </c>
      <c r="C1399" s="1" t="s">
        <v>1978</v>
      </c>
      <c r="E1399" s="1">
        <v>19.9907862</v>
      </c>
      <c r="F1399" s="1">
        <v>73.7622162</v>
      </c>
      <c r="G1399" s="1" t="s">
        <v>54</v>
      </c>
      <c r="H1399" s="1" t="s">
        <v>55</v>
      </c>
      <c r="J1399" s="1" t="s">
        <v>118</v>
      </c>
      <c r="K1399" s="1" t="s">
        <v>26</v>
      </c>
      <c r="L1399" s="1" t="s">
        <v>27</v>
      </c>
      <c r="N1399" s="1" t="s">
        <v>143</v>
      </c>
      <c r="O1399" s="1" t="s">
        <v>29</v>
      </c>
      <c r="P1399" s="1" t="s">
        <v>2239</v>
      </c>
      <c r="Q1399" s="1" t="s">
        <v>2240</v>
      </c>
      <c r="R1399" s="1">
        <v>0.0</v>
      </c>
      <c r="S1399" s="1"/>
    </row>
    <row r="1400" ht="15.75" customHeight="1">
      <c r="A1400" s="1" t="s">
        <v>3379</v>
      </c>
      <c r="B1400" s="1" t="s">
        <v>3380</v>
      </c>
      <c r="C1400" s="1" t="s">
        <v>3381</v>
      </c>
      <c r="E1400" s="1">
        <v>20.3970483</v>
      </c>
      <c r="F1400" s="1">
        <v>78.1295573</v>
      </c>
      <c r="G1400" s="1" t="s">
        <v>54</v>
      </c>
      <c r="H1400" s="1" t="s">
        <v>55</v>
      </c>
      <c r="J1400" s="1" t="s">
        <v>118</v>
      </c>
      <c r="K1400" s="1" t="s">
        <v>26</v>
      </c>
      <c r="L1400" s="1" t="s">
        <v>27</v>
      </c>
      <c r="N1400" s="1" t="s">
        <v>143</v>
      </c>
      <c r="O1400" s="1" t="s">
        <v>29</v>
      </c>
      <c r="P1400" s="1" t="s">
        <v>2239</v>
      </c>
      <c r="Q1400" s="1" t="s">
        <v>2240</v>
      </c>
      <c r="R1400" s="1">
        <v>0.0</v>
      </c>
      <c r="S1400" s="1"/>
    </row>
    <row r="1401" ht="15.75" customHeight="1">
      <c r="A1401" s="1" t="s">
        <v>3382</v>
      </c>
      <c r="B1401" s="1" t="s">
        <v>3383</v>
      </c>
      <c r="C1401" s="1" t="s">
        <v>1138</v>
      </c>
      <c r="E1401" s="1">
        <v>11.0081314</v>
      </c>
      <c r="F1401" s="1">
        <v>76.959953</v>
      </c>
      <c r="G1401" s="1" t="s">
        <v>54</v>
      </c>
      <c r="H1401" s="1" t="s">
        <v>55</v>
      </c>
      <c r="J1401" s="1" t="s">
        <v>118</v>
      </c>
      <c r="K1401" s="1" t="s">
        <v>26</v>
      </c>
      <c r="L1401" s="1" t="s">
        <v>27</v>
      </c>
      <c r="N1401" s="1" t="s">
        <v>1097</v>
      </c>
      <c r="O1401" s="1" t="s">
        <v>57</v>
      </c>
      <c r="P1401" s="1" t="s">
        <v>3219</v>
      </c>
      <c r="Q1401" s="1" t="s">
        <v>3220</v>
      </c>
      <c r="R1401" s="1">
        <v>0.0</v>
      </c>
      <c r="S1401" s="1"/>
    </row>
    <row r="1402" ht="15.75" customHeight="1">
      <c r="A1402" s="1" t="s">
        <v>3384</v>
      </c>
      <c r="B1402" s="1" t="s">
        <v>3385</v>
      </c>
      <c r="C1402" s="1" t="s">
        <v>3386</v>
      </c>
      <c r="E1402" s="1">
        <v>27.0947684</v>
      </c>
      <c r="F1402" s="1">
        <v>93.6210158</v>
      </c>
      <c r="G1402" s="1" t="s">
        <v>54</v>
      </c>
      <c r="H1402" s="1" t="s">
        <v>55</v>
      </c>
      <c r="J1402" s="1" t="s">
        <v>118</v>
      </c>
      <c r="K1402" s="1" t="s">
        <v>26</v>
      </c>
      <c r="L1402" s="1" t="s">
        <v>27</v>
      </c>
      <c r="N1402" s="1" t="s">
        <v>3387</v>
      </c>
      <c r="O1402" s="1" t="s">
        <v>29</v>
      </c>
      <c r="P1402" s="1" t="s">
        <v>3131</v>
      </c>
      <c r="Q1402" s="1" t="s">
        <v>3132</v>
      </c>
      <c r="R1402" s="1">
        <v>0.0</v>
      </c>
      <c r="S1402" s="1"/>
    </row>
    <row r="1403" ht="15.75" customHeight="1">
      <c r="A1403" s="1" t="s">
        <v>3388</v>
      </c>
      <c r="B1403" s="1" t="s">
        <v>3389</v>
      </c>
      <c r="C1403" s="1" t="s">
        <v>148</v>
      </c>
      <c r="E1403" s="1">
        <v>19.2081993</v>
      </c>
      <c r="F1403" s="1">
        <v>72.97181909999999</v>
      </c>
      <c r="G1403" s="1" t="s">
        <v>54</v>
      </c>
      <c r="H1403" s="1" t="s">
        <v>55</v>
      </c>
      <c r="J1403" s="1" t="s">
        <v>118</v>
      </c>
      <c r="K1403" s="1" t="s">
        <v>26</v>
      </c>
      <c r="L1403" s="1" t="s">
        <v>27</v>
      </c>
      <c r="N1403" s="1" t="s">
        <v>143</v>
      </c>
      <c r="O1403" s="1" t="s">
        <v>29</v>
      </c>
      <c r="P1403" s="1" t="s">
        <v>2300</v>
      </c>
      <c r="Q1403" s="1" t="s">
        <v>2301</v>
      </c>
      <c r="R1403" s="1">
        <v>0.0</v>
      </c>
      <c r="S1403" s="1"/>
    </row>
    <row r="1404" ht="15.75" customHeight="1">
      <c r="A1404" s="1" t="s">
        <v>3390</v>
      </c>
      <c r="B1404" s="1" t="s">
        <v>3391</v>
      </c>
      <c r="C1404" s="1" t="s">
        <v>148</v>
      </c>
      <c r="E1404" s="1">
        <v>18.9566944</v>
      </c>
      <c r="F1404" s="1">
        <v>72.814881</v>
      </c>
      <c r="G1404" s="1" t="s">
        <v>54</v>
      </c>
      <c r="H1404" s="1" t="s">
        <v>55</v>
      </c>
      <c r="J1404" s="1" t="s">
        <v>118</v>
      </c>
      <c r="K1404" s="1" t="s">
        <v>26</v>
      </c>
      <c r="L1404" s="1" t="s">
        <v>27</v>
      </c>
      <c r="N1404" s="1" t="s">
        <v>143</v>
      </c>
      <c r="O1404" s="1" t="s">
        <v>57</v>
      </c>
      <c r="P1404" s="1" t="s">
        <v>2300</v>
      </c>
      <c r="Q1404" s="1" t="s">
        <v>2301</v>
      </c>
      <c r="R1404" s="1">
        <v>1.0</v>
      </c>
      <c r="S1404" s="1"/>
    </row>
    <row r="1405" ht="15.75" customHeight="1">
      <c r="A1405" s="1" t="s">
        <v>3392</v>
      </c>
      <c r="B1405" s="1" t="s">
        <v>3393</v>
      </c>
      <c r="C1405" s="1" t="s">
        <v>531</v>
      </c>
      <c r="E1405" s="1">
        <v>22.5525615</v>
      </c>
      <c r="F1405" s="1">
        <v>88.3530013</v>
      </c>
      <c r="G1405" s="1" t="s">
        <v>54</v>
      </c>
      <c r="H1405" s="1" t="s">
        <v>55</v>
      </c>
      <c r="J1405" s="1" t="s">
        <v>118</v>
      </c>
      <c r="K1405" s="1" t="s">
        <v>26</v>
      </c>
      <c r="L1405" s="1" t="s">
        <v>27</v>
      </c>
      <c r="N1405" s="1" t="s">
        <v>532</v>
      </c>
      <c r="O1405" s="1" t="s">
        <v>57</v>
      </c>
      <c r="P1405" s="1" t="s">
        <v>3135</v>
      </c>
      <c r="Q1405" s="1" t="s">
        <v>3136</v>
      </c>
      <c r="R1405" s="1">
        <v>2.0</v>
      </c>
      <c r="S1405" s="1"/>
    </row>
    <row r="1406" ht="15.75" customHeight="1">
      <c r="A1406" s="1" t="s">
        <v>3394</v>
      </c>
      <c r="B1406" s="1" t="s">
        <v>3395</v>
      </c>
      <c r="C1406" s="1" t="s">
        <v>3197</v>
      </c>
      <c r="E1406" s="1">
        <v>25.4399308</v>
      </c>
      <c r="F1406" s="1">
        <v>81.8430265</v>
      </c>
      <c r="G1406" s="1" t="s">
        <v>54</v>
      </c>
      <c r="H1406" s="1" t="s">
        <v>55</v>
      </c>
      <c r="J1406" s="1" t="s">
        <v>118</v>
      </c>
      <c r="K1406" s="1" t="s">
        <v>26</v>
      </c>
      <c r="L1406" s="1" t="s">
        <v>27</v>
      </c>
      <c r="N1406" s="1" t="s">
        <v>28</v>
      </c>
      <c r="O1406" s="1" t="s">
        <v>57</v>
      </c>
      <c r="P1406" s="1" t="s">
        <v>733</v>
      </c>
      <c r="Q1406" s="1" t="s">
        <v>734</v>
      </c>
      <c r="R1406" s="1">
        <v>0.0</v>
      </c>
      <c r="S1406" s="1"/>
    </row>
    <row r="1407" ht="15.75" customHeight="1">
      <c r="A1407" s="1" t="s">
        <v>3396</v>
      </c>
      <c r="B1407" s="1" t="s">
        <v>3397</v>
      </c>
      <c r="C1407" s="1" t="s">
        <v>848</v>
      </c>
      <c r="E1407" s="1">
        <v>26.8550065</v>
      </c>
      <c r="F1407" s="1">
        <v>75.80599149999999</v>
      </c>
      <c r="G1407" s="1" t="s">
        <v>54</v>
      </c>
      <c r="H1407" s="1" t="s">
        <v>55</v>
      </c>
      <c r="J1407" s="1" t="s">
        <v>118</v>
      </c>
      <c r="K1407" s="1" t="s">
        <v>26</v>
      </c>
      <c r="L1407" s="1" t="s">
        <v>27</v>
      </c>
      <c r="N1407" s="1" t="s">
        <v>849</v>
      </c>
      <c r="O1407" s="1" t="s">
        <v>29</v>
      </c>
      <c r="P1407" s="1" t="s">
        <v>887</v>
      </c>
      <c r="Q1407" s="1" t="s">
        <v>888</v>
      </c>
      <c r="R1407" s="1">
        <v>0.0</v>
      </c>
      <c r="S1407" s="1"/>
    </row>
    <row r="1408" ht="15.75" customHeight="1">
      <c r="A1408" s="1" t="s">
        <v>3398</v>
      </c>
      <c r="B1408" s="1" t="s">
        <v>3399</v>
      </c>
      <c r="C1408" s="1" t="s">
        <v>617</v>
      </c>
      <c r="E1408" s="1">
        <v>26.7852187</v>
      </c>
      <c r="F1408" s="1">
        <v>80.99200210000001</v>
      </c>
      <c r="G1408" s="1" t="s">
        <v>54</v>
      </c>
      <c r="H1408" s="1" t="s">
        <v>55</v>
      </c>
      <c r="J1408" s="1" t="s">
        <v>118</v>
      </c>
      <c r="K1408" s="1" t="s">
        <v>26</v>
      </c>
      <c r="L1408" s="1" t="s">
        <v>27</v>
      </c>
      <c r="N1408" s="1" t="s">
        <v>28</v>
      </c>
      <c r="O1408" s="1" t="s">
        <v>57</v>
      </c>
      <c r="P1408" s="1" t="s">
        <v>733</v>
      </c>
      <c r="Q1408" s="1" t="s">
        <v>734</v>
      </c>
      <c r="R1408" s="1">
        <v>4.0</v>
      </c>
      <c r="S1408" s="1"/>
    </row>
    <row r="1409" ht="15.75" customHeight="1">
      <c r="A1409" s="1" t="s">
        <v>3400</v>
      </c>
      <c r="B1409" s="1" t="s">
        <v>3401</v>
      </c>
      <c r="C1409" s="1" t="s">
        <v>185</v>
      </c>
      <c r="E1409" s="1">
        <v>17.4344034</v>
      </c>
      <c r="F1409" s="1">
        <v>78.3868933</v>
      </c>
      <c r="G1409" s="1" t="s">
        <v>54</v>
      </c>
      <c r="H1409" s="1" t="s">
        <v>55</v>
      </c>
      <c r="J1409" s="1" t="s">
        <v>118</v>
      </c>
      <c r="K1409" s="1" t="s">
        <v>26</v>
      </c>
      <c r="L1409" s="1" t="s">
        <v>27</v>
      </c>
      <c r="N1409" s="1" t="s">
        <v>186</v>
      </c>
      <c r="O1409" s="1" t="s">
        <v>29</v>
      </c>
      <c r="P1409" s="1" t="s">
        <v>2074</v>
      </c>
      <c r="Q1409" s="1" t="s">
        <v>2075</v>
      </c>
      <c r="R1409" s="1">
        <v>1.0</v>
      </c>
      <c r="S1409" s="1"/>
    </row>
    <row r="1410" ht="15.75" customHeight="1">
      <c r="A1410" s="1" t="s">
        <v>3402</v>
      </c>
      <c r="B1410" s="1" t="s">
        <v>3403</v>
      </c>
      <c r="C1410" s="1" t="s">
        <v>2022</v>
      </c>
      <c r="E1410" s="1">
        <v>21.1328308</v>
      </c>
      <c r="F1410" s="1">
        <v>79.0966875</v>
      </c>
      <c r="G1410" s="1" t="s">
        <v>54</v>
      </c>
      <c r="H1410" s="1" t="s">
        <v>55</v>
      </c>
      <c r="J1410" s="1" t="s">
        <v>118</v>
      </c>
      <c r="K1410" s="1" t="s">
        <v>26</v>
      </c>
      <c r="L1410" s="1" t="s">
        <v>27</v>
      </c>
      <c r="N1410" s="1" t="s">
        <v>143</v>
      </c>
      <c r="O1410" s="1" t="s">
        <v>29</v>
      </c>
      <c r="P1410" s="1" t="s">
        <v>2239</v>
      </c>
      <c r="Q1410" s="1" t="s">
        <v>2240</v>
      </c>
      <c r="R1410" s="1">
        <v>0.0</v>
      </c>
      <c r="S1410" s="1"/>
    </row>
    <row r="1411" ht="15.75" customHeight="1">
      <c r="A1411" s="1" t="s">
        <v>3404</v>
      </c>
      <c r="B1411" s="1" t="s">
        <v>3405</v>
      </c>
      <c r="C1411" s="1" t="s">
        <v>38</v>
      </c>
      <c r="E1411" s="1">
        <v>28.665062</v>
      </c>
      <c r="F1411" s="1">
        <v>77.434155</v>
      </c>
      <c r="G1411" s="1" t="s">
        <v>54</v>
      </c>
      <c r="H1411" s="1" t="s">
        <v>55</v>
      </c>
      <c r="J1411" s="1" t="s">
        <v>118</v>
      </c>
      <c r="K1411" s="1" t="s">
        <v>26</v>
      </c>
      <c r="L1411" s="1" t="s">
        <v>27</v>
      </c>
      <c r="N1411" s="1" t="s">
        <v>28</v>
      </c>
      <c r="O1411" s="1" t="s">
        <v>29</v>
      </c>
      <c r="P1411" s="1" t="s">
        <v>3297</v>
      </c>
      <c r="Q1411" s="1" t="s">
        <v>3298</v>
      </c>
      <c r="R1411" s="1">
        <v>1.0</v>
      </c>
      <c r="S1411" s="1"/>
    </row>
    <row r="1412" ht="15.75" customHeight="1">
      <c r="A1412" s="1" t="s">
        <v>3406</v>
      </c>
      <c r="B1412" s="1" t="s">
        <v>3407</v>
      </c>
      <c r="C1412" s="1" t="s">
        <v>151</v>
      </c>
      <c r="E1412" s="1">
        <v>18.5617582</v>
      </c>
      <c r="F1412" s="1">
        <v>73.9164606</v>
      </c>
      <c r="G1412" s="1" t="s">
        <v>54</v>
      </c>
      <c r="H1412" s="1" t="s">
        <v>55</v>
      </c>
      <c r="J1412" s="1" t="s">
        <v>118</v>
      </c>
      <c r="K1412" s="1" t="s">
        <v>26</v>
      </c>
      <c r="L1412" s="1" t="s">
        <v>27</v>
      </c>
      <c r="N1412" s="1" t="s">
        <v>143</v>
      </c>
      <c r="O1412" s="1" t="s">
        <v>29</v>
      </c>
      <c r="P1412" s="1" t="s">
        <v>3233</v>
      </c>
      <c r="Q1412" s="1" t="s">
        <v>3234</v>
      </c>
      <c r="R1412" s="1">
        <v>0.0</v>
      </c>
      <c r="S1412" s="1"/>
    </row>
    <row r="1413" ht="15.75" customHeight="1">
      <c r="A1413" s="1" t="s">
        <v>3408</v>
      </c>
      <c r="B1413" s="1" t="s">
        <v>3409</v>
      </c>
      <c r="C1413" s="1" t="s">
        <v>531</v>
      </c>
      <c r="E1413" s="1">
        <v>22.4616752</v>
      </c>
      <c r="F1413" s="1">
        <v>88.3063159</v>
      </c>
      <c r="G1413" s="1" t="s">
        <v>54</v>
      </c>
      <c r="H1413" s="1" t="s">
        <v>55</v>
      </c>
      <c r="J1413" s="1" t="s">
        <v>118</v>
      </c>
      <c r="K1413" s="1" t="s">
        <v>26</v>
      </c>
      <c r="L1413" s="1" t="s">
        <v>27</v>
      </c>
      <c r="N1413" s="1" t="s">
        <v>532</v>
      </c>
      <c r="O1413" s="1" t="s">
        <v>57</v>
      </c>
      <c r="P1413" s="1" t="s">
        <v>3135</v>
      </c>
      <c r="Q1413" s="1" t="s">
        <v>3136</v>
      </c>
      <c r="R1413" s="1">
        <v>0.0</v>
      </c>
      <c r="S1413" s="1"/>
    </row>
    <row r="1414" ht="15.75" customHeight="1">
      <c r="A1414" s="1" t="s">
        <v>3410</v>
      </c>
      <c r="B1414" s="1" t="s">
        <v>3411</v>
      </c>
      <c r="C1414" s="1" t="s">
        <v>174</v>
      </c>
      <c r="E1414" s="1">
        <v>28.5226248</v>
      </c>
      <c r="F1414" s="1">
        <v>77.2077733</v>
      </c>
      <c r="G1414" s="1" t="s">
        <v>54</v>
      </c>
      <c r="H1414" s="1" t="s">
        <v>55</v>
      </c>
      <c r="J1414" s="1" t="s">
        <v>118</v>
      </c>
      <c r="K1414" s="1" t="s">
        <v>26</v>
      </c>
      <c r="L1414" s="1" t="s">
        <v>27</v>
      </c>
      <c r="N1414" s="1" t="s">
        <v>174</v>
      </c>
      <c r="O1414" s="1" t="s">
        <v>29</v>
      </c>
      <c r="P1414" s="1" t="s">
        <v>1749</v>
      </c>
      <c r="Q1414" s="1" t="s">
        <v>1750</v>
      </c>
      <c r="R1414" s="1">
        <v>0.0</v>
      </c>
      <c r="S1414" s="1"/>
    </row>
    <row r="1415" ht="15.75" customHeight="1">
      <c r="A1415" s="1" t="s">
        <v>3412</v>
      </c>
      <c r="B1415" s="1" t="s">
        <v>3413</v>
      </c>
      <c r="C1415" s="1" t="s">
        <v>899</v>
      </c>
      <c r="E1415" s="1">
        <v>24.6131305</v>
      </c>
      <c r="F1415" s="1">
        <v>73.702896</v>
      </c>
      <c r="G1415" s="1" t="s">
        <v>54</v>
      </c>
      <c r="H1415" s="1" t="s">
        <v>55</v>
      </c>
      <c r="J1415" s="1" t="s">
        <v>118</v>
      </c>
      <c r="K1415" s="1" t="s">
        <v>26</v>
      </c>
      <c r="L1415" s="1" t="s">
        <v>27</v>
      </c>
      <c r="N1415" s="1" t="s">
        <v>900</v>
      </c>
      <c r="O1415" s="1" t="s">
        <v>29</v>
      </c>
      <c r="P1415" s="1" t="s">
        <v>887</v>
      </c>
      <c r="Q1415" s="1" t="s">
        <v>888</v>
      </c>
      <c r="R1415" s="1">
        <v>0.0</v>
      </c>
      <c r="S1415" s="1"/>
    </row>
    <row r="1416" ht="15.75" customHeight="1">
      <c r="A1416" s="1" t="s">
        <v>3414</v>
      </c>
      <c r="B1416" s="1" t="s">
        <v>3415</v>
      </c>
      <c r="C1416" s="1" t="s">
        <v>1078</v>
      </c>
      <c r="E1416" s="1">
        <v>13.0058354</v>
      </c>
      <c r="F1416" s="1">
        <v>77.7566133</v>
      </c>
      <c r="G1416" s="1" t="s">
        <v>54</v>
      </c>
      <c r="H1416" s="1" t="s">
        <v>55</v>
      </c>
      <c r="J1416" s="1" t="s">
        <v>118</v>
      </c>
      <c r="K1416" s="1" t="s">
        <v>26</v>
      </c>
      <c r="L1416" s="1" t="s">
        <v>27</v>
      </c>
      <c r="N1416" s="1" t="s">
        <v>743</v>
      </c>
      <c r="O1416" s="1" t="s">
        <v>29</v>
      </c>
      <c r="P1416" s="1" t="s">
        <v>1079</v>
      </c>
      <c r="Q1416" s="1" t="s">
        <v>1080</v>
      </c>
      <c r="R1416" s="1">
        <v>3.0</v>
      </c>
      <c r="S1416" s="1"/>
    </row>
    <row r="1417" ht="15.75" customHeight="1">
      <c r="A1417" s="1" t="s">
        <v>3416</v>
      </c>
      <c r="B1417" s="1" t="s">
        <v>3417</v>
      </c>
      <c r="C1417" s="1" t="s">
        <v>1078</v>
      </c>
      <c r="E1417" s="1">
        <v>12.9548392</v>
      </c>
      <c r="F1417" s="1">
        <v>77.56721929999999</v>
      </c>
      <c r="G1417" s="1" t="s">
        <v>54</v>
      </c>
      <c r="H1417" s="1" t="s">
        <v>55</v>
      </c>
      <c r="J1417" s="1" t="s">
        <v>118</v>
      </c>
      <c r="K1417" s="1" t="s">
        <v>26</v>
      </c>
      <c r="L1417" s="1" t="s">
        <v>27</v>
      </c>
      <c r="N1417" s="1" t="s">
        <v>743</v>
      </c>
      <c r="O1417" s="1" t="s">
        <v>29</v>
      </c>
      <c r="P1417" s="1" t="s">
        <v>1079</v>
      </c>
      <c r="Q1417" s="1" t="s">
        <v>1080</v>
      </c>
      <c r="R1417" s="1">
        <v>2.0</v>
      </c>
      <c r="S1417" s="1"/>
    </row>
    <row r="1418" ht="15.75" customHeight="1">
      <c r="A1418" s="1" t="s">
        <v>3418</v>
      </c>
      <c r="B1418" s="1" t="s">
        <v>3419</v>
      </c>
      <c r="C1418" s="1" t="s">
        <v>185</v>
      </c>
      <c r="E1418" s="1">
        <v>17.4769577</v>
      </c>
      <c r="F1418" s="1">
        <v>78.3082463</v>
      </c>
      <c r="G1418" s="1" t="s">
        <v>54</v>
      </c>
      <c r="H1418" s="1" t="s">
        <v>55</v>
      </c>
      <c r="J1418" s="1" t="s">
        <v>118</v>
      </c>
      <c r="K1418" s="1" t="s">
        <v>26</v>
      </c>
      <c r="L1418" s="1" t="s">
        <v>27</v>
      </c>
      <c r="N1418" s="1" t="s">
        <v>186</v>
      </c>
      <c r="O1418" s="1" t="s">
        <v>29</v>
      </c>
      <c r="P1418" s="1" t="s">
        <v>2074</v>
      </c>
      <c r="Q1418" s="1" t="s">
        <v>2075</v>
      </c>
      <c r="R1418" s="1">
        <v>3.0</v>
      </c>
      <c r="S1418" s="1"/>
    </row>
    <row r="1419" ht="15.75" customHeight="1">
      <c r="A1419" s="1" t="s">
        <v>3420</v>
      </c>
      <c r="B1419" s="1" t="s">
        <v>3421</v>
      </c>
      <c r="C1419" s="1" t="s">
        <v>1078</v>
      </c>
      <c r="E1419" s="1">
        <v>12.9658337</v>
      </c>
      <c r="F1419" s="1">
        <v>77.5347857</v>
      </c>
      <c r="G1419" s="1" t="s">
        <v>54</v>
      </c>
      <c r="H1419" s="1" t="s">
        <v>55</v>
      </c>
      <c r="J1419" s="1" t="s">
        <v>118</v>
      </c>
      <c r="K1419" s="1" t="s">
        <v>26</v>
      </c>
      <c r="L1419" s="1" t="s">
        <v>27</v>
      </c>
      <c r="N1419" s="1" t="s">
        <v>743</v>
      </c>
      <c r="O1419" s="1" t="s">
        <v>29</v>
      </c>
      <c r="P1419" s="1" t="s">
        <v>1079</v>
      </c>
      <c r="Q1419" s="1" t="s">
        <v>1080</v>
      </c>
      <c r="R1419" s="1">
        <v>1.0</v>
      </c>
      <c r="S1419" s="1"/>
    </row>
    <row r="1420" ht="15.75" customHeight="1">
      <c r="A1420" s="1" t="s">
        <v>3422</v>
      </c>
      <c r="B1420" s="1" t="s">
        <v>3423</v>
      </c>
      <c r="C1420" s="1" t="s">
        <v>531</v>
      </c>
      <c r="E1420" s="1">
        <v>22.502761</v>
      </c>
      <c r="F1420" s="1">
        <v>88.39317799999999</v>
      </c>
      <c r="G1420" s="1" t="s">
        <v>54</v>
      </c>
      <c r="H1420" s="1" t="s">
        <v>55</v>
      </c>
      <c r="J1420" s="1" t="s">
        <v>118</v>
      </c>
      <c r="K1420" s="1" t="s">
        <v>26</v>
      </c>
      <c r="L1420" s="1" t="s">
        <v>27</v>
      </c>
      <c r="N1420" s="1" t="s">
        <v>532</v>
      </c>
      <c r="O1420" s="1" t="s">
        <v>57</v>
      </c>
      <c r="P1420" s="1" t="s">
        <v>3135</v>
      </c>
      <c r="Q1420" s="1" t="s">
        <v>3136</v>
      </c>
      <c r="R1420" s="1">
        <v>2.0</v>
      </c>
      <c r="S1420" s="1"/>
    </row>
    <row r="1421" ht="15.75" customHeight="1">
      <c r="A1421" s="1" t="s">
        <v>3424</v>
      </c>
      <c r="B1421" s="1" t="s">
        <v>3425</v>
      </c>
      <c r="C1421" s="1" t="s">
        <v>3426</v>
      </c>
      <c r="E1421" s="1">
        <v>24.8302079</v>
      </c>
      <c r="F1421" s="1">
        <v>92.80015709999999</v>
      </c>
      <c r="G1421" s="1" t="s">
        <v>54</v>
      </c>
      <c r="H1421" s="1" t="s">
        <v>55</v>
      </c>
      <c r="J1421" s="1" t="s">
        <v>118</v>
      </c>
      <c r="K1421" s="1" t="s">
        <v>26</v>
      </c>
      <c r="L1421" s="1" t="s">
        <v>27</v>
      </c>
      <c r="N1421" s="1" t="s">
        <v>1036</v>
      </c>
      <c r="O1421" s="1" t="s">
        <v>29</v>
      </c>
      <c r="P1421" s="1" t="s">
        <v>3131</v>
      </c>
      <c r="Q1421" s="1" t="s">
        <v>3132</v>
      </c>
      <c r="R1421" s="1">
        <v>0.0</v>
      </c>
      <c r="S1421" s="1"/>
    </row>
    <row r="1422" ht="15.75" customHeight="1">
      <c r="A1422" s="1" t="s">
        <v>3427</v>
      </c>
      <c r="B1422" s="1" t="s">
        <v>3428</v>
      </c>
      <c r="C1422" s="1" t="s">
        <v>151</v>
      </c>
      <c r="E1422" s="1">
        <v>18.6286583</v>
      </c>
      <c r="F1422" s="1">
        <v>73.78297830000001</v>
      </c>
      <c r="G1422" s="1" t="s">
        <v>54</v>
      </c>
      <c r="H1422" s="1" t="s">
        <v>55</v>
      </c>
      <c r="J1422" s="1" t="s">
        <v>118</v>
      </c>
      <c r="K1422" s="1" t="s">
        <v>26</v>
      </c>
      <c r="L1422" s="1" t="s">
        <v>27</v>
      </c>
      <c r="N1422" s="1" t="s">
        <v>143</v>
      </c>
      <c r="O1422" s="1" t="s">
        <v>29</v>
      </c>
      <c r="P1422" s="1" t="s">
        <v>3233</v>
      </c>
      <c r="Q1422" s="1" t="s">
        <v>3234</v>
      </c>
      <c r="R1422" s="1">
        <v>1.0</v>
      </c>
      <c r="S1422" s="1"/>
    </row>
    <row r="1423" ht="15.75" customHeight="1">
      <c r="A1423" s="1" t="s">
        <v>3429</v>
      </c>
      <c r="B1423" s="1" t="s">
        <v>3430</v>
      </c>
      <c r="C1423" s="1" t="s">
        <v>185</v>
      </c>
      <c r="E1423" s="1">
        <v>17.4819122</v>
      </c>
      <c r="F1423" s="1">
        <v>78.4144353</v>
      </c>
      <c r="G1423" s="1" t="s">
        <v>54</v>
      </c>
      <c r="H1423" s="1" t="s">
        <v>55</v>
      </c>
      <c r="J1423" s="1" t="s">
        <v>118</v>
      </c>
      <c r="K1423" s="1" t="s">
        <v>26</v>
      </c>
      <c r="L1423" s="1" t="s">
        <v>27</v>
      </c>
      <c r="N1423" s="1" t="s">
        <v>186</v>
      </c>
      <c r="O1423" s="1" t="s">
        <v>29</v>
      </c>
      <c r="P1423" s="1" t="s">
        <v>2074</v>
      </c>
      <c r="Q1423" s="1" t="s">
        <v>2075</v>
      </c>
      <c r="R1423" s="1">
        <v>3.0</v>
      </c>
      <c r="S1423" s="1"/>
    </row>
    <row r="1424" ht="15.75" customHeight="1">
      <c r="A1424" s="1" t="s">
        <v>3431</v>
      </c>
      <c r="B1424" s="1" t="s">
        <v>3432</v>
      </c>
      <c r="C1424" s="1" t="s">
        <v>1112</v>
      </c>
      <c r="E1424" s="1">
        <v>13.0837019</v>
      </c>
      <c r="F1424" s="1">
        <v>80.170525</v>
      </c>
      <c r="G1424" s="1" t="s">
        <v>54</v>
      </c>
      <c r="H1424" s="1" t="s">
        <v>55</v>
      </c>
      <c r="J1424" s="1" t="s">
        <v>118</v>
      </c>
      <c r="K1424" s="1" t="s">
        <v>26</v>
      </c>
      <c r="L1424" s="1" t="s">
        <v>27</v>
      </c>
      <c r="N1424" s="1" t="s">
        <v>1097</v>
      </c>
      <c r="O1424" s="1" t="s">
        <v>57</v>
      </c>
      <c r="P1424" s="1" t="s">
        <v>3219</v>
      </c>
      <c r="Q1424" s="1" t="s">
        <v>3220</v>
      </c>
      <c r="R1424" s="1">
        <v>2.0</v>
      </c>
      <c r="S1424" s="1"/>
    </row>
    <row r="1425" ht="15.75" customHeight="1">
      <c r="A1425" s="1" t="s">
        <v>3433</v>
      </c>
      <c r="B1425" s="1" t="s">
        <v>3434</v>
      </c>
      <c r="C1425" s="1" t="s">
        <v>3435</v>
      </c>
      <c r="E1425" s="1">
        <v>17.3262477</v>
      </c>
      <c r="F1425" s="1">
        <v>76.8359152</v>
      </c>
      <c r="G1425" s="1" t="s">
        <v>54</v>
      </c>
      <c r="H1425" s="1" t="s">
        <v>55</v>
      </c>
      <c r="J1425" s="1" t="s">
        <v>118</v>
      </c>
      <c r="K1425" s="1" t="s">
        <v>26</v>
      </c>
      <c r="L1425" s="1" t="s">
        <v>27</v>
      </c>
      <c r="N1425" s="1" t="s">
        <v>743</v>
      </c>
      <c r="O1425" s="1" t="s">
        <v>29</v>
      </c>
      <c r="P1425" s="1" t="s">
        <v>1079</v>
      </c>
      <c r="Q1425" s="1" t="s">
        <v>1080</v>
      </c>
      <c r="R1425" s="1">
        <v>0.0</v>
      </c>
      <c r="S1425" s="1"/>
    </row>
    <row r="1426" ht="15.75" customHeight="1">
      <c r="A1426" s="1" t="s">
        <v>3436</v>
      </c>
      <c r="B1426" s="1" t="s">
        <v>3437</v>
      </c>
      <c r="C1426" s="1" t="s">
        <v>185</v>
      </c>
      <c r="E1426" s="1">
        <v>17.3680388</v>
      </c>
      <c r="F1426" s="1">
        <v>78.5396485</v>
      </c>
      <c r="G1426" s="1" t="s">
        <v>54</v>
      </c>
      <c r="H1426" s="1" t="s">
        <v>55</v>
      </c>
      <c r="J1426" s="1" t="s">
        <v>118</v>
      </c>
      <c r="K1426" s="1" t="s">
        <v>26</v>
      </c>
      <c r="L1426" s="1" t="s">
        <v>27</v>
      </c>
      <c r="N1426" s="1" t="s">
        <v>186</v>
      </c>
      <c r="O1426" s="1" t="s">
        <v>57</v>
      </c>
      <c r="P1426" s="1" t="s">
        <v>2074</v>
      </c>
      <c r="Q1426" s="1" t="s">
        <v>2075</v>
      </c>
      <c r="R1426" s="1">
        <v>2.0</v>
      </c>
      <c r="S1426" s="1"/>
    </row>
    <row r="1427" ht="15.75" customHeight="1">
      <c r="A1427" s="1" t="s">
        <v>3438</v>
      </c>
      <c r="B1427" s="1" t="s">
        <v>3439</v>
      </c>
      <c r="C1427" s="1" t="s">
        <v>3440</v>
      </c>
      <c r="E1427" s="1">
        <v>15.5353597</v>
      </c>
      <c r="F1427" s="1">
        <v>73.8231474</v>
      </c>
      <c r="G1427" s="1" t="s">
        <v>54</v>
      </c>
      <c r="H1427" s="1" t="s">
        <v>55</v>
      </c>
      <c r="J1427" s="1" t="s">
        <v>118</v>
      </c>
      <c r="K1427" s="1" t="s">
        <v>26</v>
      </c>
      <c r="L1427" s="1" t="s">
        <v>27</v>
      </c>
      <c r="N1427" s="1" t="s">
        <v>1084</v>
      </c>
      <c r="O1427" s="1" t="s">
        <v>29</v>
      </c>
      <c r="P1427" s="1" t="s">
        <v>1079</v>
      </c>
      <c r="Q1427" s="1" t="s">
        <v>1080</v>
      </c>
      <c r="R1427" s="1">
        <v>0.0</v>
      </c>
      <c r="S1427" s="1"/>
    </row>
    <row r="1428" ht="15.75" customHeight="1">
      <c r="A1428" s="1" t="s">
        <v>3441</v>
      </c>
      <c r="B1428" s="1" t="s">
        <v>3442</v>
      </c>
      <c r="C1428" s="1" t="s">
        <v>617</v>
      </c>
      <c r="E1428" s="1">
        <v>26.7983219</v>
      </c>
      <c r="F1428" s="1">
        <v>80.8968319</v>
      </c>
      <c r="G1428" s="1" t="s">
        <v>54</v>
      </c>
      <c r="H1428" s="1" t="s">
        <v>55</v>
      </c>
      <c r="J1428" s="1" t="s">
        <v>118</v>
      </c>
      <c r="K1428" s="1" t="s">
        <v>26</v>
      </c>
      <c r="L1428" s="1" t="s">
        <v>27</v>
      </c>
      <c r="N1428" s="1" t="s">
        <v>28</v>
      </c>
      <c r="O1428" s="1" t="s">
        <v>57</v>
      </c>
      <c r="P1428" s="1" t="s">
        <v>733</v>
      </c>
      <c r="Q1428" s="1" t="s">
        <v>734</v>
      </c>
      <c r="R1428" s="1">
        <v>5.0</v>
      </c>
      <c r="S1428" s="1"/>
    </row>
    <row r="1429" ht="15.75" customHeight="1">
      <c r="A1429" s="1" t="s">
        <v>3443</v>
      </c>
      <c r="B1429" s="1" t="s">
        <v>3444</v>
      </c>
      <c r="C1429" s="1" t="s">
        <v>1078</v>
      </c>
      <c r="E1429" s="1">
        <v>13.0215306</v>
      </c>
      <c r="F1429" s="1">
        <v>77.71269079999999</v>
      </c>
      <c r="G1429" s="1" t="s">
        <v>54</v>
      </c>
      <c r="H1429" s="1" t="s">
        <v>55</v>
      </c>
      <c r="J1429" s="1" t="s">
        <v>118</v>
      </c>
      <c r="K1429" s="1" t="s">
        <v>26</v>
      </c>
      <c r="L1429" s="1" t="s">
        <v>27</v>
      </c>
      <c r="N1429" s="1" t="s">
        <v>743</v>
      </c>
      <c r="O1429" s="1" t="s">
        <v>29</v>
      </c>
      <c r="P1429" s="1" t="s">
        <v>1079</v>
      </c>
      <c r="Q1429" s="1" t="s">
        <v>1080</v>
      </c>
      <c r="R1429" s="1">
        <v>2.0</v>
      </c>
      <c r="S1429" s="1"/>
    </row>
    <row r="1430" ht="15.75" customHeight="1">
      <c r="A1430" s="1" t="s">
        <v>3445</v>
      </c>
      <c r="B1430" s="1" t="s">
        <v>3446</v>
      </c>
      <c r="C1430" s="1" t="s">
        <v>497</v>
      </c>
      <c r="E1430" s="1">
        <v>25.6056087</v>
      </c>
      <c r="F1430" s="1">
        <v>85.07604189999999</v>
      </c>
      <c r="G1430" s="1" t="s">
        <v>54</v>
      </c>
      <c r="H1430" s="1" t="s">
        <v>55</v>
      </c>
      <c r="J1430" s="1" t="s">
        <v>118</v>
      </c>
      <c r="K1430" s="1" t="s">
        <v>26</v>
      </c>
      <c r="L1430" s="1" t="s">
        <v>27</v>
      </c>
      <c r="N1430" s="1" t="s">
        <v>498</v>
      </c>
      <c r="O1430" s="1" t="s">
        <v>29</v>
      </c>
      <c r="P1430" s="1" t="s">
        <v>3253</v>
      </c>
      <c r="Q1430" s="1" t="s">
        <v>3254</v>
      </c>
      <c r="R1430" s="1">
        <v>0.0</v>
      </c>
      <c r="S1430" s="1"/>
    </row>
    <row r="1431" ht="15.75" customHeight="1">
      <c r="A1431" s="1" t="s">
        <v>3447</v>
      </c>
      <c r="B1431" s="1" t="s">
        <v>3448</v>
      </c>
      <c r="C1431" s="1" t="s">
        <v>1112</v>
      </c>
      <c r="E1431" s="1">
        <v>12.8469204</v>
      </c>
      <c r="F1431" s="1">
        <v>80.22639579999999</v>
      </c>
      <c r="G1431" s="1" t="s">
        <v>54</v>
      </c>
      <c r="H1431" s="1" t="s">
        <v>55</v>
      </c>
      <c r="J1431" s="1" t="s">
        <v>118</v>
      </c>
      <c r="K1431" s="1" t="s">
        <v>26</v>
      </c>
      <c r="L1431" s="1" t="s">
        <v>27</v>
      </c>
      <c r="N1431" s="1" t="s">
        <v>1097</v>
      </c>
      <c r="O1431" s="1" t="s">
        <v>57</v>
      </c>
      <c r="P1431" s="1" t="s">
        <v>3219</v>
      </c>
      <c r="Q1431" s="1" t="s">
        <v>3220</v>
      </c>
      <c r="R1431" s="1">
        <v>3.0</v>
      </c>
      <c r="S1431" s="1"/>
    </row>
    <row r="1432" ht="15.75" customHeight="1">
      <c r="A1432" s="1" t="s">
        <v>3449</v>
      </c>
      <c r="B1432" s="1" t="s">
        <v>3450</v>
      </c>
      <c r="C1432" s="1" t="s">
        <v>1048</v>
      </c>
      <c r="E1432" s="1">
        <v>23.6848228</v>
      </c>
      <c r="F1432" s="1">
        <v>86.94148609999999</v>
      </c>
      <c r="G1432" s="1" t="s">
        <v>54</v>
      </c>
      <c r="H1432" s="1" t="s">
        <v>55</v>
      </c>
      <c r="J1432" s="1" t="s">
        <v>118</v>
      </c>
      <c r="K1432" s="1" t="s">
        <v>26</v>
      </c>
      <c r="L1432" s="1" t="s">
        <v>27</v>
      </c>
      <c r="N1432" s="1" t="s">
        <v>532</v>
      </c>
      <c r="O1432" s="1" t="s">
        <v>57</v>
      </c>
      <c r="P1432" s="1" t="s">
        <v>3131</v>
      </c>
      <c r="Q1432" s="1" t="s">
        <v>3132</v>
      </c>
      <c r="R1432" s="1">
        <v>0.0</v>
      </c>
      <c r="S1432" s="1"/>
    </row>
    <row r="1433" ht="15.75" customHeight="1">
      <c r="A1433" s="1" t="s">
        <v>3451</v>
      </c>
      <c r="B1433" s="1" t="s">
        <v>3452</v>
      </c>
      <c r="C1433" s="1" t="s">
        <v>185</v>
      </c>
      <c r="E1433" s="1">
        <v>17.4083808</v>
      </c>
      <c r="F1433" s="1">
        <v>78.4393571</v>
      </c>
      <c r="G1433" s="1" t="s">
        <v>54</v>
      </c>
      <c r="H1433" s="1" t="s">
        <v>55</v>
      </c>
      <c r="J1433" s="1" t="s">
        <v>118</v>
      </c>
      <c r="K1433" s="1" t="s">
        <v>26</v>
      </c>
      <c r="L1433" s="1" t="s">
        <v>27</v>
      </c>
      <c r="N1433" s="1" t="s">
        <v>186</v>
      </c>
      <c r="O1433" s="1" t="s">
        <v>29</v>
      </c>
      <c r="P1433" s="1" t="s">
        <v>2074</v>
      </c>
      <c r="Q1433" s="1" t="s">
        <v>2075</v>
      </c>
      <c r="R1433" s="1">
        <v>0.0</v>
      </c>
      <c r="S1433" s="1"/>
    </row>
    <row r="1434" ht="15.75" customHeight="1">
      <c r="A1434" s="1" t="s">
        <v>3453</v>
      </c>
      <c r="B1434" s="1" t="s">
        <v>3454</v>
      </c>
      <c r="C1434" s="1" t="s">
        <v>174</v>
      </c>
      <c r="E1434" s="1">
        <v>28.6126419</v>
      </c>
      <c r="F1434" s="1">
        <v>76.9897759</v>
      </c>
      <c r="G1434" s="1" t="s">
        <v>54</v>
      </c>
      <c r="H1434" s="1" t="s">
        <v>55</v>
      </c>
      <c r="J1434" s="1" t="s">
        <v>118</v>
      </c>
      <c r="K1434" s="1" t="s">
        <v>26</v>
      </c>
      <c r="L1434" s="1" t="s">
        <v>27</v>
      </c>
      <c r="N1434" s="1" t="s">
        <v>174</v>
      </c>
      <c r="O1434" s="1" t="s">
        <v>29</v>
      </c>
      <c r="P1434" s="1" t="s">
        <v>1749</v>
      </c>
      <c r="Q1434" s="1" t="s">
        <v>1750</v>
      </c>
      <c r="R1434" s="1">
        <v>1.0</v>
      </c>
      <c r="S1434" s="1"/>
    </row>
    <row r="1435" ht="15.75" customHeight="1">
      <c r="A1435" s="1" t="s">
        <v>3455</v>
      </c>
      <c r="B1435" s="1" t="s">
        <v>3456</v>
      </c>
      <c r="C1435" s="1" t="s">
        <v>1078</v>
      </c>
      <c r="E1435" s="1">
        <v>12.8793664</v>
      </c>
      <c r="F1435" s="1">
        <v>77.5953516</v>
      </c>
      <c r="G1435" s="1" t="s">
        <v>54</v>
      </c>
      <c r="H1435" s="1" t="s">
        <v>55</v>
      </c>
      <c r="J1435" s="1" t="s">
        <v>118</v>
      </c>
      <c r="K1435" s="1" t="s">
        <v>26</v>
      </c>
      <c r="L1435" s="1" t="s">
        <v>27</v>
      </c>
      <c r="N1435" s="1" t="s">
        <v>743</v>
      </c>
      <c r="O1435" s="1" t="s">
        <v>29</v>
      </c>
      <c r="P1435" s="1" t="s">
        <v>1079</v>
      </c>
      <c r="Q1435" s="1" t="s">
        <v>1080</v>
      </c>
      <c r="R1435" s="1">
        <v>0.0</v>
      </c>
      <c r="S1435" s="1"/>
    </row>
    <row r="1436" ht="15.75" customHeight="1">
      <c r="A1436" s="1" t="s">
        <v>3457</v>
      </c>
      <c r="B1436" s="1" t="s">
        <v>3458</v>
      </c>
      <c r="C1436" s="1" t="s">
        <v>1078</v>
      </c>
      <c r="E1436" s="1">
        <v>13.0627766</v>
      </c>
      <c r="F1436" s="1">
        <v>77.6494161</v>
      </c>
      <c r="G1436" s="1" t="s">
        <v>54</v>
      </c>
      <c r="H1436" s="1" t="s">
        <v>55</v>
      </c>
      <c r="J1436" s="1" t="s">
        <v>118</v>
      </c>
      <c r="K1436" s="1" t="s">
        <v>26</v>
      </c>
      <c r="L1436" s="1" t="s">
        <v>27</v>
      </c>
      <c r="N1436" s="1" t="s">
        <v>743</v>
      </c>
      <c r="O1436" s="1" t="s">
        <v>29</v>
      </c>
      <c r="P1436" s="1" t="s">
        <v>1079</v>
      </c>
      <c r="Q1436" s="1" t="s">
        <v>1080</v>
      </c>
      <c r="R1436" s="1">
        <v>1.0</v>
      </c>
      <c r="S1436" s="1"/>
    </row>
    <row r="1437" ht="15.75" customHeight="1">
      <c r="A1437" s="1" t="s">
        <v>3459</v>
      </c>
      <c r="B1437" s="1" t="s">
        <v>3460</v>
      </c>
      <c r="C1437" s="1" t="s">
        <v>1078</v>
      </c>
      <c r="E1437" s="1">
        <v>12.9892213</v>
      </c>
      <c r="F1437" s="1">
        <v>77.7278171</v>
      </c>
      <c r="G1437" s="1" t="s">
        <v>54</v>
      </c>
      <c r="H1437" s="1" t="s">
        <v>55</v>
      </c>
      <c r="J1437" s="1" t="s">
        <v>118</v>
      </c>
      <c r="K1437" s="1" t="s">
        <v>26</v>
      </c>
      <c r="L1437" s="1" t="s">
        <v>27</v>
      </c>
      <c r="N1437" s="1" t="s">
        <v>743</v>
      </c>
      <c r="O1437" s="1" t="s">
        <v>29</v>
      </c>
      <c r="P1437" s="1" t="s">
        <v>1079</v>
      </c>
      <c r="Q1437" s="1" t="s">
        <v>1080</v>
      </c>
      <c r="R1437" s="1">
        <v>1.0</v>
      </c>
      <c r="S1437" s="1"/>
    </row>
    <row r="1438" ht="15.75" customHeight="1">
      <c r="A1438" s="1" t="s">
        <v>3461</v>
      </c>
      <c r="B1438" s="1" t="s">
        <v>3462</v>
      </c>
      <c r="C1438" s="1" t="s">
        <v>488</v>
      </c>
      <c r="E1438" s="1">
        <v>16.9571453</v>
      </c>
      <c r="F1438" s="1">
        <v>82.2356372</v>
      </c>
      <c r="G1438" s="1" t="s">
        <v>54</v>
      </c>
      <c r="H1438" s="1" t="s">
        <v>55</v>
      </c>
      <c r="J1438" s="1" t="s">
        <v>118</v>
      </c>
      <c r="K1438" s="1" t="s">
        <v>26</v>
      </c>
      <c r="L1438" s="1" t="s">
        <v>27</v>
      </c>
      <c r="N1438" s="1" t="s">
        <v>464</v>
      </c>
      <c r="O1438" s="1" t="s">
        <v>29</v>
      </c>
      <c r="P1438" s="1" t="s">
        <v>2074</v>
      </c>
      <c r="Q1438" s="1" t="s">
        <v>2075</v>
      </c>
      <c r="R1438" s="1">
        <v>0.0</v>
      </c>
      <c r="S1438" s="1"/>
    </row>
    <row r="1439" ht="15.75" customHeight="1">
      <c r="A1439" s="1" t="s">
        <v>3463</v>
      </c>
      <c r="B1439" s="1" t="s">
        <v>3464</v>
      </c>
      <c r="C1439" s="1" t="s">
        <v>151</v>
      </c>
      <c r="E1439" s="1">
        <v>18.4992085</v>
      </c>
      <c r="F1439" s="1">
        <v>73.8217439</v>
      </c>
      <c r="G1439" s="1" t="s">
        <v>54</v>
      </c>
      <c r="H1439" s="1" t="s">
        <v>55</v>
      </c>
      <c r="J1439" s="1" t="s">
        <v>118</v>
      </c>
      <c r="K1439" s="1" t="s">
        <v>26</v>
      </c>
      <c r="L1439" s="1" t="s">
        <v>27</v>
      </c>
      <c r="N1439" s="1" t="s">
        <v>143</v>
      </c>
      <c r="O1439" s="1" t="s">
        <v>57</v>
      </c>
      <c r="P1439" s="1" t="s">
        <v>3233</v>
      </c>
      <c r="Q1439" s="1" t="s">
        <v>3234</v>
      </c>
      <c r="R1439" s="1">
        <v>2.0</v>
      </c>
      <c r="S1439" s="1"/>
    </row>
    <row r="1440" ht="15.75" customHeight="1">
      <c r="A1440" s="1" t="s">
        <v>3465</v>
      </c>
      <c r="B1440" s="1" t="s">
        <v>3466</v>
      </c>
      <c r="C1440" s="1" t="s">
        <v>3467</v>
      </c>
      <c r="E1440" s="1">
        <v>28.8628483</v>
      </c>
      <c r="F1440" s="1">
        <v>78.75093919999999</v>
      </c>
      <c r="G1440" s="1" t="s">
        <v>54</v>
      </c>
      <c r="H1440" s="1" t="s">
        <v>55</v>
      </c>
      <c r="J1440" s="1" t="s">
        <v>118</v>
      </c>
      <c r="K1440" s="1" t="s">
        <v>26</v>
      </c>
      <c r="L1440" s="1" t="s">
        <v>27</v>
      </c>
      <c r="N1440" s="1" t="s">
        <v>28</v>
      </c>
      <c r="O1440" s="1" t="s">
        <v>57</v>
      </c>
      <c r="P1440" s="1" t="s">
        <v>3468</v>
      </c>
      <c r="Q1440" s="1" t="s">
        <v>3469</v>
      </c>
      <c r="R1440" s="1">
        <v>0.0</v>
      </c>
      <c r="S1440" s="1"/>
    </row>
    <row r="1441" ht="15.75" customHeight="1">
      <c r="A1441" s="1" t="s">
        <v>3470</v>
      </c>
      <c r="B1441" s="1" t="s">
        <v>3471</v>
      </c>
      <c r="C1441" s="1" t="s">
        <v>3440</v>
      </c>
      <c r="E1441" s="1">
        <v>15.2925938</v>
      </c>
      <c r="F1441" s="1">
        <v>73.9756608</v>
      </c>
      <c r="G1441" s="1" t="s">
        <v>54</v>
      </c>
      <c r="H1441" s="1" t="s">
        <v>55</v>
      </c>
      <c r="J1441" s="1" t="s">
        <v>118</v>
      </c>
      <c r="K1441" s="1" t="s">
        <v>26</v>
      </c>
      <c r="L1441" s="1" t="s">
        <v>27</v>
      </c>
      <c r="N1441" s="1" t="s">
        <v>1084</v>
      </c>
      <c r="O1441" s="1" t="s">
        <v>29</v>
      </c>
      <c r="P1441" s="1" t="s">
        <v>1079</v>
      </c>
      <c r="Q1441" s="1" t="s">
        <v>1080</v>
      </c>
      <c r="R1441" s="1">
        <v>0.0</v>
      </c>
      <c r="S1441" s="1"/>
    </row>
    <row r="1442" ht="15.75" customHeight="1">
      <c r="A1442" s="1" t="s">
        <v>3472</v>
      </c>
      <c r="B1442" s="1" t="s">
        <v>3473</v>
      </c>
      <c r="C1442" s="1" t="s">
        <v>174</v>
      </c>
      <c r="E1442" s="1">
        <v>28.5985207</v>
      </c>
      <c r="F1442" s="1">
        <v>77.0328507</v>
      </c>
      <c r="G1442" s="1" t="s">
        <v>54</v>
      </c>
      <c r="H1442" s="1" t="s">
        <v>55</v>
      </c>
      <c r="J1442" s="1" t="s">
        <v>118</v>
      </c>
      <c r="K1442" s="1" t="s">
        <v>26</v>
      </c>
      <c r="L1442" s="1" t="s">
        <v>27</v>
      </c>
      <c r="N1442" s="1" t="s">
        <v>174</v>
      </c>
      <c r="O1442" s="1" t="s">
        <v>29</v>
      </c>
      <c r="P1442" s="1" t="s">
        <v>1749</v>
      </c>
      <c r="Q1442" s="1" t="s">
        <v>1750</v>
      </c>
      <c r="R1442" s="1">
        <v>1.0</v>
      </c>
      <c r="S1442" s="1"/>
    </row>
    <row r="1443" ht="15.75" customHeight="1">
      <c r="A1443" s="1" t="s">
        <v>3474</v>
      </c>
      <c r="B1443" s="1" t="s">
        <v>3475</v>
      </c>
      <c r="C1443" s="1" t="s">
        <v>765</v>
      </c>
      <c r="E1443" s="1">
        <v>26.7848296</v>
      </c>
      <c r="F1443" s="1">
        <v>83.3855703</v>
      </c>
      <c r="G1443" s="1" t="s">
        <v>54</v>
      </c>
      <c r="H1443" s="1" t="s">
        <v>55</v>
      </c>
      <c r="J1443" s="1" t="s">
        <v>118</v>
      </c>
      <c r="K1443" s="1" t="s">
        <v>26</v>
      </c>
      <c r="L1443" s="1" t="s">
        <v>27</v>
      </c>
      <c r="N1443" s="1" t="s">
        <v>28</v>
      </c>
      <c r="O1443" s="1" t="s">
        <v>57</v>
      </c>
      <c r="P1443" s="1" t="s">
        <v>733</v>
      </c>
      <c r="Q1443" s="1" t="s">
        <v>734</v>
      </c>
      <c r="R1443" s="1">
        <v>0.0</v>
      </c>
      <c r="S1443" s="1"/>
    </row>
    <row r="1444" ht="15.75" customHeight="1">
      <c r="A1444" s="1" t="s">
        <v>3476</v>
      </c>
      <c r="B1444" s="1" t="s">
        <v>3477</v>
      </c>
      <c r="C1444" s="1" t="s">
        <v>1041</v>
      </c>
      <c r="E1444" s="1">
        <v>23.2413074</v>
      </c>
      <c r="F1444" s="1">
        <v>87.8682472</v>
      </c>
      <c r="G1444" s="1" t="s">
        <v>54</v>
      </c>
      <c r="H1444" s="1" t="s">
        <v>55</v>
      </c>
      <c r="J1444" s="1" t="s">
        <v>118</v>
      </c>
      <c r="K1444" s="1" t="s">
        <v>26</v>
      </c>
      <c r="L1444" s="1" t="s">
        <v>27</v>
      </c>
      <c r="N1444" s="1" t="s">
        <v>532</v>
      </c>
      <c r="O1444" s="1" t="s">
        <v>57</v>
      </c>
      <c r="P1444" s="1" t="s">
        <v>3131</v>
      </c>
      <c r="Q1444" s="1" t="s">
        <v>3132</v>
      </c>
      <c r="R1444" s="1">
        <v>0.0</v>
      </c>
      <c r="S1444" s="1"/>
    </row>
    <row r="1445" ht="15.75" customHeight="1">
      <c r="A1445" s="1" t="s">
        <v>3478</v>
      </c>
      <c r="B1445" s="1" t="s">
        <v>3479</v>
      </c>
      <c r="C1445" s="1" t="s">
        <v>531</v>
      </c>
      <c r="E1445" s="1">
        <v>22.6531915</v>
      </c>
      <c r="F1445" s="1">
        <v>88.3774771</v>
      </c>
      <c r="G1445" s="1" t="s">
        <v>54</v>
      </c>
      <c r="H1445" s="1" t="s">
        <v>55</v>
      </c>
      <c r="J1445" s="1" t="s">
        <v>118</v>
      </c>
      <c r="K1445" s="1" t="s">
        <v>26</v>
      </c>
      <c r="L1445" s="1" t="s">
        <v>27</v>
      </c>
      <c r="N1445" s="1" t="s">
        <v>532</v>
      </c>
      <c r="O1445" s="1" t="s">
        <v>57</v>
      </c>
      <c r="P1445" s="1" t="s">
        <v>3135</v>
      </c>
      <c r="Q1445" s="1" t="s">
        <v>3136</v>
      </c>
      <c r="R1445" s="1">
        <v>0.0</v>
      </c>
      <c r="S1445" s="1"/>
    </row>
    <row r="1446" ht="15.75" customHeight="1">
      <c r="A1446" s="1" t="s">
        <v>3480</v>
      </c>
      <c r="B1446" s="1" t="s">
        <v>3481</v>
      </c>
      <c r="C1446" s="1" t="s">
        <v>630</v>
      </c>
      <c r="E1446" s="1">
        <v>26.473311</v>
      </c>
      <c r="F1446" s="1">
        <v>80.3532479</v>
      </c>
      <c r="G1446" s="1" t="s">
        <v>54</v>
      </c>
      <c r="H1446" s="1" t="s">
        <v>55</v>
      </c>
      <c r="J1446" s="1" t="s">
        <v>118</v>
      </c>
      <c r="K1446" s="1" t="s">
        <v>26</v>
      </c>
      <c r="L1446" s="1" t="s">
        <v>27</v>
      </c>
      <c r="N1446" s="1" t="s">
        <v>28</v>
      </c>
      <c r="O1446" s="1" t="s">
        <v>57</v>
      </c>
      <c r="P1446" s="1" t="s">
        <v>733</v>
      </c>
      <c r="Q1446" s="1" t="s">
        <v>734</v>
      </c>
      <c r="R1446" s="1">
        <v>2.0</v>
      </c>
      <c r="S1446" s="1"/>
    </row>
    <row r="1447" ht="15.75" customHeight="1">
      <c r="A1447" s="1" t="s">
        <v>3482</v>
      </c>
      <c r="B1447" s="1" t="s">
        <v>3483</v>
      </c>
      <c r="C1447" s="1" t="s">
        <v>630</v>
      </c>
      <c r="E1447" s="1">
        <v>26.4405144</v>
      </c>
      <c r="F1447" s="1">
        <v>80.3099451</v>
      </c>
      <c r="G1447" s="1" t="s">
        <v>54</v>
      </c>
      <c r="H1447" s="1" t="s">
        <v>55</v>
      </c>
      <c r="J1447" s="1" t="s">
        <v>118</v>
      </c>
      <c r="K1447" s="1" t="s">
        <v>26</v>
      </c>
      <c r="L1447" s="1" t="s">
        <v>27</v>
      </c>
      <c r="N1447" s="1" t="s">
        <v>28</v>
      </c>
      <c r="O1447" s="1" t="s">
        <v>57</v>
      </c>
      <c r="P1447" s="1" t="s">
        <v>733</v>
      </c>
      <c r="Q1447" s="1" t="s">
        <v>734</v>
      </c>
      <c r="R1447" s="1">
        <v>1.0</v>
      </c>
      <c r="S1447" s="1"/>
    </row>
    <row r="1448" ht="15.75" customHeight="1">
      <c r="A1448" s="1" t="s">
        <v>3484</v>
      </c>
      <c r="B1448" s="1" t="s">
        <v>3485</v>
      </c>
      <c r="C1448" s="1" t="s">
        <v>1988</v>
      </c>
      <c r="E1448" s="1">
        <v>21.258396</v>
      </c>
      <c r="F1448" s="1">
        <v>81.6554762</v>
      </c>
      <c r="G1448" s="1" t="s">
        <v>54</v>
      </c>
      <c r="H1448" s="1" t="s">
        <v>55</v>
      </c>
      <c r="J1448" s="1" t="s">
        <v>118</v>
      </c>
      <c r="K1448" s="1" t="s">
        <v>26</v>
      </c>
      <c r="L1448" s="1" t="s">
        <v>27</v>
      </c>
      <c r="N1448" s="1" t="s">
        <v>1989</v>
      </c>
      <c r="O1448" s="1" t="s">
        <v>57</v>
      </c>
      <c r="P1448" s="1" t="s">
        <v>3243</v>
      </c>
      <c r="Q1448" s="1" t="s">
        <v>3244</v>
      </c>
      <c r="R1448" s="1">
        <v>0.0</v>
      </c>
      <c r="S1448" s="1"/>
    </row>
    <row r="1449" ht="15.75" customHeight="1">
      <c r="A1449" s="1" t="s">
        <v>3486</v>
      </c>
      <c r="B1449" s="1" t="s">
        <v>3487</v>
      </c>
      <c r="C1449" s="1" t="s">
        <v>3488</v>
      </c>
      <c r="E1449" s="1">
        <v>17.0562412</v>
      </c>
      <c r="F1449" s="1">
        <v>79.26908279999999</v>
      </c>
      <c r="G1449" s="1" t="s">
        <v>54</v>
      </c>
      <c r="H1449" s="1" t="s">
        <v>55</v>
      </c>
      <c r="J1449" s="1" t="s">
        <v>118</v>
      </c>
      <c r="K1449" s="1" t="s">
        <v>26</v>
      </c>
      <c r="L1449" s="1" t="s">
        <v>27</v>
      </c>
      <c r="N1449" s="1" t="s">
        <v>186</v>
      </c>
      <c r="O1449" s="1" t="s">
        <v>57</v>
      </c>
      <c r="P1449" s="1" t="s">
        <v>2074</v>
      </c>
      <c r="Q1449" s="1" t="s">
        <v>2075</v>
      </c>
      <c r="R1449" s="1">
        <v>0.0</v>
      </c>
      <c r="S1449" s="1"/>
    </row>
    <row r="1450" ht="15.75" customHeight="1">
      <c r="A1450" s="1" t="s">
        <v>3489</v>
      </c>
      <c r="B1450" s="1" t="s">
        <v>3490</v>
      </c>
      <c r="C1450" s="1" t="s">
        <v>1225</v>
      </c>
      <c r="E1450" s="1">
        <v>17.7967555</v>
      </c>
      <c r="F1450" s="1">
        <v>83.353888</v>
      </c>
      <c r="G1450" s="1" t="s">
        <v>54</v>
      </c>
      <c r="H1450" s="1" t="s">
        <v>55</v>
      </c>
      <c r="J1450" s="1" t="s">
        <v>118</v>
      </c>
      <c r="K1450" s="1" t="s">
        <v>26</v>
      </c>
      <c r="L1450" s="1" t="s">
        <v>27</v>
      </c>
      <c r="N1450" s="1" t="s">
        <v>464</v>
      </c>
      <c r="O1450" s="1" t="s">
        <v>57</v>
      </c>
      <c r="P1450" s="1" t="s">
        <v>2074</v>
      </c>
      <c r="Q1450" s="1" t="s">
        <v>2075</v>
      </c>
      <c r="R1450" s="1">
        <v>0.0</v>
      </c>
      <c r="S1450" s="1"/>
    </row>
    <row r="1451" ht="15.75" customHeight="1">
      <c r="A1451" s="1" t="s">
        <v>3491</v>
      </c>
      <c r="B1451" s="1" t="s">
        <v>3492</v>
      </c>
      <c r="C1451" s="1" t="s">
        <v>1112</v>
      </c>
      <c r="E1451" s="1">
        <v>13.0500724</v>
      </c>
      <c r="F1451" s="1">
        <v>80.2093361</v>
      </c>
      <c r="G1451" s="1" t="s">
        <v>54</v>
      </c>
      <c r="H1451" s="1" t="s">
        <v>55</v>
      </c>
      <c r="J1451" s="1" t="s">
        <v>118</v>
      </c>
      <c r="K1451" s="1" t="s">
        <v>26</v>
      </c>
      <c r="L1451" s="1" t="s">
        <v>27</v>
      </c>
      <c r="N1451" s="1" t="s">
        <v>1097</v>
      </c>
      <c r="O1451" s="1" t="s">
        <v>57</v>
      </c>
      <c r="P1451" s="1" t="s">
        <v>3219</v>
      </c>
      <c r="Q1451" s="1" t="s">
        <v>3220</v>
      </c>
      <c r="R1451" s="1">
        <v>3.0</v>
      </c>
      <c r="S1451" s="1"/>
    </row>
    <row r="1452" ht="15.75" customHeight="1">
      <c r="A1452" s="1" t="s">
        <v>3493</v>
      </c>
      <c r="B1452" s="1" t="s">
        <v>3494</v>
      </c>
      <c r="C1452" s="1" t="s">
        <v>151</v>
      </c>
      <c r="E1452" s="1">
        <v>18.5540554</v>
      </c>
      <c r="F1452" s="1">
        <v>73.80981589999999</v>
      </c>
      <c r="G1452" s="1" t="s">
        <v>54</v>
      </c>
      <c r="H1452" s="1" t="s">
        <v>55</v>
      </c>
      <c r="J1452" s="1" t="s">
        <v>118</v>
      </c>
      <c r="K1452" s="1" t="s">
        <v>26</v>
      </c>
      <c r="L1452" s="1" t="s">
        <v>27</v>
      </c>
      <c r="N1452" s="1" t="s">
        <v>143</v>
      </c>
      <c r="O1452" s="1" t="s">
        <v>29</v>
      </c>
      <c r="P1452" s="1" t="s">
        <v>3233</v>
      </c>
      <c r="Q1452" s="1" t="s">
        <v>3234</v>
      </c>
      <c r="R1452" s="1">
        <v>2.0</v>
      </c>
      <c r="S1452" s="1"/>
    </row>
    <row r="1453" ht="15.75" customHeight="1">
      <c r="A1453" s="1" t="s">
        <v>3495</v>
      </c>
      <c r="B1453" s="1" t="s">
        <v>3496</v>
      </c>
      <c r="C1453" s="1" t="s">
        <v>151</v>
      </c>
      <c r="E1453" s="1">
        <v>18.5909066</v>
      </c>
      <c r="F1453" s="1">
        <v>73.74733619999999</v>
      </c>
      <c r="G1453" s="1" t="s">
        <v>54</v>
      </c>
      <c r="H1453" s="1" t="s">
        <v>55</v>
      </c>
      <c r="J1453" s="1" t="s">
        <v>118</v>
      </c>
      <c r="K1453" s="1" t="s">
        <v>26</v>
      </c>
      <c r="L1453" s="1" t="s">
        <v>27</v>
      </c>
      <c r="N1453" s="1" t="s">
        <v>143</v>
      </c>
      <c r="O1453" s="1" t="s">
        <v>29</v>
      </c>
      <c r="P1453" s="1" t="s">
        <v>3233</v>
      </c>
      <c r="Q1453" s="1" t="s">
        <v>3234</v>
      </c>
      <c r="R1453" s="1">
        <v>0.0</v>
      </c>
      <c r="S1453" s="1"/>
    </row>
    <row r="1454" ht="15.75" customHeight="1">
      <c r="A1454" s="1" t="s">
        <v>3497</v>
      </c>
      <c r="B1454" s="1" t="s">
        <v>3498</v>
      </c>
      <c r="C1454" s="1" t="s">
        <v>1078</v>
      </c>
      <c r="E1454" s="1">
        <v>13.0245817</v>
      </c>
      <c r="F1454" s="1">
        <v>77.5926942</v>
      </c>
      <c r="G1454" s="1" t="s">
        <v>54</v>
      </c>
      <c r="H1454" s="1" t="s">
        <v>55</v>
      </c>
      <c r="J1454" s="1" t="s">
        <v>118</v>
      </c>
      <c r="K1454" s="1" t="s">
        <v>26</v>
      </c>
      <c r="L1454" s="1" t="s">
        <v>27</v>
      </c>
      <c r="N1454" s="1" t="s">
        <v>743</v>
      </c>
      <c r="O1454" s="1" t="s">
        <v>29</v>
      </c>
      <c r="P1454" s="1" t="s">
        <v>1079</v>
      </c>
      <c r="Q1454" s="1" t="s">
        <v>1080</v>
      </c>
      <c r="R1454" s="1">
        <v>0.0</v>
      </c>
      <c r="S1454" s="1"/>
    </row>
    <row r="1455" ht="15.75" customHeight="1">
      <c r="A1455" s="1" t="s">
        <v>3499</v>
      </c>
      <c r="B1455" s="1" t="s">
        <v>3500</v>
      </c>
      <c r="C1455" s="1" t="s">
        <v>1078</v>
      </c>
      <c r="E1455" s="1">
        <v>12.8807742</v>
      </c>
      <c r="F1455" s="1">
        <v>77.5463578</v>
      </c>
      <c r="G1455" s="1" t="s">
        <v>54</v>
      </c>
      <c r="H1455" s="1" t="s">
        <v>55</v>
      </c>
      <c r="J1455" s="1" t="s">
        <v>118</v>
      </c>
      <c r="K1455" s="1" t="s">
        <v>26</v>
      </c>
      <c r="L1455" s="1" t="s">
        <v>27</v>
      </c>
      <c r="N1455" s="1" t="s">
        <v>743</v>
      </c>
      <c r="O1455" s="1" t="s">
        <v>29</v>
      </c>
      <c r="P1455" s="1" t="s">
        <v>1079</v>
      </c>
      <c r="Q1455" s="1" t="s">
        <v>1080</v>
      </c>
      <c r="R1455" s="1">
        <v>3.0</v>
      </c>
      <c r="S1455" s="1"/>
    </row>
    <row r="1456" ht="15.75" customHeight="1">
      <c r="A1456" s="1" t="s">
        <v>3501</v>
      </c>
      <c r="B1456" s="1" t="s">
        <v>3502</v>
      </c>
      <c r="C1456" s="1" t="s">
        <v>1078</v>
      </c>
      <c r="E1456" s="1">
        <v>12.9103043</v>
      </c>
      <c r="F1456" s="1">
        <v>77.5860824</v>
      </c>
      <c r="G1456" s="1" t="s">
        <v>54</v>
      </c>
      <c r="H1456" s="1" t="s">
        <v>55</v>
      </c>
      <c r="J1456" s="1" t="s">
        <v>118</v>
      </c>
      <c r="K1456" s="1" t="s">
        <v>26</v>
      </c>
      <c r="L1456" s="1" t="s">
        <v>27</v>
      </c>
      <c r="N1456" s="1" t="s">
        <v>743</v>
      </c>
      <c r="O1456" s="1" t="s">
        <v>29</v>
      </c>
      <c r="P1456" s="1" t="s">
        <v>1079</v>
      </c>
      <c r="Q1456" s="1" t="s">
        <v>1080</v>
      </c>
      <c r="R1456" s="1">
        <v>2.0</v>
      </c>
      <c r="S1456" s="1"/>
    </row>
    <row r="1457" ht="15.75" customHeight="1">
      <c r="A1457" s="1" t="s">
        <v>3503</v>
      </c>
      <c r="B1457" s="1" t="s">
        <v>3504</v>
      </c>
      <c r="C1457" s="1" t="s">
        <v>1078</v>
      </c>
      <c r="E1457" s="1">
        <v>28.5671958</v>
      </c>
      <c r="F1457" s="1">
        <v>77.32089359999999</v>
      </c>
      <c r="G1457" s="1" t="s">
        <v>54</v>
      </c>
      <c r="H1457" s="1" t="s">
        <v>55</v>
      </c>
      <c r="J1457" s="1" t="s">
        <v>118</v>
      </c>
      <c r="K1457" s="1" t="s">
        <v>26</v>
      </c>
      <c r="L1457" s="1" t="s">
        <v>27</v>
      </c>
      <c r="N1457" s="1" t="s">
        <v>743</v>
      </c>
      <c r="O1457" s="1" t="s">
        <v>29</v>
      </c>
      <c r="P1457" s="1" t="s">
        <v>1079</v>
      </c>
      <c r="Q1457" s="1" t="s">
        <v>1080</v>
      </c>
      <c r="R1457" s="1">
        <v>1.0</v>
      </c>
      <c r="S1457" s="1"/>
    </row>
    <row r="1458" ht="15.75" customHeight="1">
      <c r="A1458" s="1" t="s">
        <v>3505</v>
      </c>
      <c r="B1458" s="1" t="s">
        <v>3506</v>
      </c>
      <c r="C1458" s="1" t="s">
        <v>1035</v>
      </c>
      <c r="E1458" s="1">
        <v>26.1848582</v>
      </c>
      <c r="F1458" s="1">
        <v>91.765784</v>
      </c>
      <c r="G1458" s="1" t="s">
        <v>54</v>
      </c>
      <c r="H1458" s="1" t="s">
        <v>55</v>
      </c>
      <c r="J1458" s="1" t="s">
        <v>118</v>
      </c>
      <c r="K1458" s="1" t="s">
        <v>26</v>
      </c>
      <c r="L1458" s="1" t="s">
        <v>27</v>
      </c>
      <c r="N1458" s="1" t="s">
        <v>1036</v>
      </c>
      <c r="O1458" s="1" t="s">
        <v>57</v>
      </c>
      <c r="P1458" s="1" t="s">
        <v>3131</v>
      </c>
      <c r="Q1458" s="1" t="s">
        <v>3132</v>
      </c>
      <c r="R1458" s="1">
        <v>0.0</v>
      </c>
      <c r="S1458" s="1"/>
    </row>
    <row r="1459" ht="15.75" customHeight="1">
      <c r="A1459" s="1" t="s">
        <v>3507</v>
      </c>
      <c r="B1459" s="1" t="s">
        <v>3508</v>
      </c>
      <c r="C1459" s="1" t="s">
        <v>148</v>
      </c>
      <c r="E1459" s="1">
        <v>19.4073539</v>
      </c>
      <c r="F1459" s="1">
        <v>72.8221112</v>
      </c>
      <c r="G1459" s="1" t="s">
        <v>54</v>
      </c>
      <c r="H1459" s="1" t="s">
        <v>55</v>
      </c>
      <c r="J1459" s="1" t="s">
        <v>118</v>
      </c>
      <c r="K1459" s="1" t="s">
        <v>26</v>
      </c>
      <c r="L1459" s="1" t="s">
        <v>27</v>
      </c>
      <c r="N1459" s="1" t="s">
        <v>143</v>
      </c>
      <c r="O1459" s="1" t="s">
        <v>57</v>
      </c>
      <c r="P1459" s="1" t="s">
        <v>2300</v>
      </c>
      <c r="Q1459" s="1" t="s">
        <v>2301</v>
      </c>
      <c r="R1459" s="1">
        <v>1.0</v>
      </c>
      <c r="S1459" s="1"/>
    </row>
    <row r="1460" ht="15.75" customHeight="1">
      <c r="A1460" s="1" t="s">
        <v>3509</v>
      </c>
      <c r="B1460" s="1" t="s">
        <v>3510</v>
      </c>
      <c r="C1460" s="1" t="s">
        <v>2022</v>
      </c>
      <c r="E1460" s="1">
        <v>21.1399394</v>
      </c>
      <c r="F1460" s="1">
        <v>79.0602378</v>
      </c>
      <c r="G1460" s="1" t="s">
        <v>54</v>
      </c>
      <c r="H1460" s="1" t="s">
        <v>55</v>
      </c>
      <c r="J1460" s="1" t="s">
        <v>118</v>
      </c>
      <c r="K1460" s="1" t="s">
        <v>26</v>
      </c>
      <c r="L1460" s="1" t="s">
        <v>27</v>
      </c>
      <c r="N1460" s="1" t="s">
        <v>143</v>
      </c>
      <c r="O1460" s="1" t="s">
        <v>29</v>
      </c>
      <c r="P1460" s="1" t="s">
        <v>2239</v>
      </c>
      <c r="Q1460" s="1" t="s">
        <v>2240</v>
      </c>
      <c r="R1460" s="1">
        <v>0.0</v>
      </c>
      <c r="S1460" s="1"/>
    </row>
    <row r="1461" ht="15.75" customHeight="1">
      <c r="A1461" s="1" t="s">
        <v>3511</v>
      </c>
      <c r="B1461" s="1" t="s">
        <v>3512</v>
      </c>
      <c r="C1461" s="1" t="s">
        <v>3513</v>
      </c>
      <c r="E1461" s="1">
        <v>8.187374499999999</v>
      </c>
      <c r="F1461" s="1">
        <v>77.432518</v>
      </c>
      <c r="G1461" s="1" t="s">
        <v>54</v>
      </c>
      <c r="H1461" s="1" t="s">
        <v>55</v>
      </c>
      <c r="J1461" s="1" t="s">
        <v>118</v>
      </c>
      <c r="K1461" s="1" t="s">
        <v>26</v>
      </c>
      <c r="L1461" s="1" t="s">
        <v>27</v>
      </c>
      <c r="N1461" s="1" t="s">
        <v>1097</v>
      </c>
      <c r="O1461" s="1" t="s">
        <v>57</v>
      </c>
      <c r="P1461" s="1" t="s">
        <v>3219</v>
      </c>
      <c r="Q1461" s="1" t="s">
        <v>3220</v>
      </c>
      <c r="R1461" s="1">
        <v>0.0</v>
      </c>
      <c r="S1461" s="1"/>
    </row>
    <row r="1462" ht="15.75" customHeight="1">
      <c r="A1462" s="1" t="s">
        <v>3514</v>
      </c>
      <c r="B1462" s="1" t="s">
        <v>3515</v>
      </c>
      <c r="C1462" s="1" t="s">
        <v>531</v>
      </c>
      <c r="E1462" s="1">
        <v>22.5190367</v>
      </c>
      <c r="F1462" s="1">
        <v>88.3649191</v>
      </c>
      <c r="G1462" s="1" t="s">
        <v>54</v>
      </c>
      <c r="H1462" s="1" t="s">
        <v>55</v>
      </c>
      <c r="J1462" s="1" t="s">
        <v>118</v>
      </c>
      <c r="K1462" s="1" t="s">
        <v>26</v>
      </c>
      <c r="L1462" s="1" t="s">
        <v>27</v>
      </c>
      <c r="N1462" s="1" t="s">
        <v>532</v>
      </c>
      <c r="O1462" s="1" t="s">
        <v>57</v>
      </c>
      <c r="P1462" s="1" t="s">
        <v>3135</v>
      </c>
      <c r="Q1462" s="1" t="s">
        <v>3136</v>
      </c>
      <c r="R1462" s="1">
        <v>0.0</v>
      </c>
      <c r="S1462" s="1"/>
    </row>
    <row r="1463" ht="15.75" customHeight="1">
      <c r="A1463" s="1" t="s">
        <v>3516</v>
      </c>
      <c r="B1463" s="1" t="s">
        <v>3517</v>
      </c>
      <c r="C1463" s="1" t="s">
        <v>1978</v>
      </c>
      <c r="E1463" s="1">
        <v>19.9605476</v>
      </c>
      <c r="F1463" s="1">
        <v>73.8285106</v>
      </c>
      <c r="G1463" s="1" t="s">
        <v>54</v>
      </c>
      <c r="H1463" s="1" t="s">
        <v>55</v>
      </c>
      <c r="J1463" s="1" t="s">
        <v>118</v>
      </c>
      <c r="K1463" s="1" t="s">
        <v>26</v>
      </c>
      <c r="L1463" s="1" t="s">
        <v>27</v>
      </c>
      <c r="N1463" s="1" t="s">
        <v>143</v>
      </c>
      <c r="O1463" s="1" t="s">
        <v>29</v>
      </c>
      <c r="P1463" s="1" t="s">
        <v>2239</v>
      </c>
      <c r="Q1463" s="1" t="s">
        <v>2240</v>
      </c>
      <c r="R1463" s="1">
        <v>0.0</v>
      </c>
      <c r="S1463" s="1"/>
    </row>
    <row r="1464" ht="15.75" customHeight="1">
      <c r="A1464" s="1" t="s">
        <v>3518</v>
      </c>
      <c r="B1464" s="1" t="s">
        <v>3519</v>
      </c>
      <c r="C1464" s="1" t="s">
        <v>3087</v>
      </c>
      <c r="E1464" s="1">
        <v>26.4808538</v>
      </c>
      <c r="F1464" s="1">
        <v>74.63130509999999</v>
      </c>
      <c r="G1464" s="1" t="s">
        <v>54</v>
      </c>
      <c r="H1464" s="1" t="s">
        <v>55</v>
      </c>
      <c r="J1464" s="1" t="s">
        <v>118</v>
      </c>
      <c r="K1464" s="1" t="s">
        <v>26</v>
      </c>
      <c r="L1464" s="1" t="s">
        <v>27</v>
      </c>
      <c r="N1464" s="1" t="s">
        <v>849</v>
      </c>
      <c r="O1464" s="1" t="s">
        <v>29</v>
      </c>
      <c r="P1464" s="1" t="s">
        <v>887</v>
      </c>
      <c r="Q1464" s="1" t="s">
        <v>888</v>
      </c>
      <c r="R1464" s="1">
        <v>0.0</v>
      </c>
      <c r="S1464" s="1"/>
    </row>
    <row r="1465" ht="15.75" customHeight="1">
      <c r="A1465" s="1" t="s">
        <v>3520</v>
      </c>
      <c r="B1465" s="1" t="s">
        <v>3521</v>
      </c>
      <c r="C1465" s="1" t="s">
        <v>1949</v>
      </c>
      <c r="E1465" s="1">
        <v>30.3632715</v>
      </c>
      <c r="F1465" s="1">
        <v>78.0695298</v>
      </c>
      <c r="G1465" s="1" t="s">
        <v>54</v>
      </c>
      <c r="H1465" s="1" t="s">
        <v>55</v>
      </c>
      <c r="J1465" s="1" t="s">
        <v>118</v>
      </c>
      <c r="K1465" s="1" t="s">
        <v>26</v>
      </c>
      <c r="L1465" s="1" t="s">
        <v>27</v>
      </c>
      <c r="N1465" s="1" t="s">
        <v>1950</v>
      </c>
      <c r="O1465" s="1" t="s">
        <v>57</v>
      </c>
      <c r="P1465" s="1" t="s">
        <v>887</v>
      </c>
      <c r="Q1465" s="1" t="s">
        <v>888</v>
      </c>
      <c r="R1465" s="1">
        <v>1.0</v>
      </c>
      <c r="S1465" s="1"/>
    </row>
    <row r="1466" ht="15.75" customHeight="1">
      <c r="A1466" s="1" t="s">
        <v>3522</v>
      </c>
      <c r="B1466" s="1" t="s">
        <v>3523</v>
      </c>
      <c r="C1466" s="1" t="s">
        <v>242</v>
      </c>
      <c r="E1466" s="1">
        <v>21.2097158</v>
      </c>
      <c r="F1466" s="1">
        <v>72.8490443</v>
      </c>
      <c r="G1466" s="1" t="s">
        <v>54</v>
      </c>
      <c r="H1466" s="1" t="s">
        <v>55</v>
      </c>
      <c r="J1466" s="1" t="s">
        <v>118</v>
      </c>
      <c r="K1466" s="1" t="s">
        <v>26</v>
      </c>
      <c r="L1466" s="1" t="s">
        <v>27</v>
      </c>
      <c r="N1466" s="1" t="s">
        <v>216</v>
      </c>
      <c r="O1466" s="1" t="s">
        <v>29</v>
      </c>
      <c r="P1466" s="1" t="s">
        <v>3342</v>
      </c>
      <c r="Q1466" s="1" t="s">
        <v>3343</v>
      </c>
      <c r="R1466" s="1">
        <v>6.0</v>
      </c>
      <c r="S1466" s="1"/>
    </row>
    <row r="1467" ht="15.75" customHeight="1">
      <c r="A1467" s="1" t="s">
        <v>3524</v>
      </c>
      <c r="B1467" s="1" t="s">
        <v>3525</v>
      </c>
      <c r="C1467" s="1" t="s">
        <v>185</v>
      </c>
      <c r="E1467" s="1">
        <v>17.3595907</v>
      </c>
      <c r="F1467" s="1">
        <v>78.3874841</v>
      </c>
      <c r="G1467" s="1" t="s">
        <v>54</v>
      </c>
      <c r="H1467" s="1" t="s">
        <v>55</v>
      </c>
      <c r="J1467" s="1" t="s">
        <v>118</v>
      </c>
      <c r="K1467" s="1" t="s">
        <v>26</v>
      </c>
      <c r="L1467" s="1" t="s">
        <v>27</v>
      </c>
      <c r="N1467" s="1" t="s">
        <v>186</v>
      </c>
      <c r="O1467" s="1" t="s">
        <v>29</v>
      </c>
      <c r="P1467" s="1" t="s">
        <v>2074</v>
      </c>
      <c r="Q1467" s="1" t="s">
        <v>2075</v>
      </c>
      <c r="R1467" s="1">
        <v>1.0</v>
      </c>
      <c r="S1467" s="1"/>
    </row>
    <row r="1468" ht="15.75" customHeight="1">
      <c r="A1468" s="1" t="s">
        <v>3526</v>
      </c>
      <c r="B1468" s="1" t="s">
        <v>3527</v>
      </c>
      <c r="C1468" s="1" t="s">
        <v>43</v>
      </c>
      <c r="E1468" s="1">
        <v>28.4890389</v>
      </c>
      <c r="F1468" s="1">
        <v>77.5149904</v>
      </c>
      <c r="G1468" s="1" t="s">
        <v>54</v>
      </c>
      <c r="H1468" s="1" t="s">
        <v>55</v>
      </c>
      <c r="J1468" s="1" t="s">
        <v>118</v>
      </c>
      <c r="K1468" s="1" t="s">
        <v>26</v>
      </c>
      <c r="L1468" s="1" t="s">
        <v>27</v>
      </c>
      <c r="N1468" s="1" t="s">
        <v>28</v>
      </c>
      <c r="O1468" s="1" t="s">
        <v>57</v>
      </c>
      <c r="P1468" s="1" t="s">
        <v>3297</v>
      </c>
      <c r="Q1468" s="1" t="s">
        <v>3298</v>
      </c>
      <c r="R1468" s="1">
        <v>0.0</v>
      </c>
      <c r="S1468" s="1"/>
    </row>
    <row r="1469" ht="15.75" customHeight="1">
      <c r="A1469" s="1" t="s">
        <v>3528</v>
      </c>
      <c r="B1469" s="1" t="s">
        <v>3529</v>
      </c>
      <c r="C1469" s="1" t="s">
        <v>3530</v>
      </c>
      <c r="E1469" s="1">
        <v>23.8320554</v>
      </c>
      <c r="F1469" s="1">
        <v>91.2795664</v>
      </c>
      <c r="G1469" s="1" t="s">
        <v>54</v>
      </c>
      <c r="H1469" s="1" t="s">
        <v>55</v>
      </c>
      <c r="J1469" s="1" t="s">
        <v>118</v>
      </c>
      <c r="K1469" s="1" t="s">
        <v>26</v>
      </c>
      <c r="L1469" s="1" t="s">
        <v>27</v>
      </c>
      <c r="N1469" s="1" t="s">
        <v>900</v>
      </c>
      <c r="O1469" s="1" t="s">
        <v>29</v>
      </c>
      <c r="P1469" s="1" t="s">
        <v>3131</v>
      </c>
      <c r="Q1469" s="1" t="s">
        <v>3132</v>
      </c>
      <c r="R1469" s="1">
        <v>0.0</v>
      </c>
      <c r="S1469" s="1"/>
    </row>
    <row r="1470" ht="15.75" customHeight="1">
      <c r="A1470" s="1" t="s">
        <v>3531</v>
      </c>
      <c r="B1470" s="1" t="s">
        <v>3532</v>
      </c>
      <c r="C1470" s="1" t="s">
        <v>531</v>
      </c>
      <c r="E1470" s="1">
        <v>22.8907852</v>
      </c>
      <c r="F1470" s="1">
        <v>88.3733858</v>
      </c>
      <c r="G1470" s="1" t="s">
        <v>54</v>
      </c>
      <c r="H1470" s="1" t="s">
        <v>55</v>
      </c>
      <c r="J1470" s="1" t="s">
        <v>118</v>
      </c>
      <c r="K1470" s="1" t="s">
        <v>26</v>
      </c>
      <c r="L1470" s="1" t="s">
        <v>27</v>
      </c>
      <c r="N1470" s="1" t="s">
        <v>532</v>
      </c>
      <c r="O1470" s="1" t="s">
        <v>57</v>
      </c>
      <c r="P1470" s="1" t="s">
        <v>3135</v>
      </c>
      <c r="Q1470" s="1" t="s">
        <v>3136</v>
      </c>
      <c r="R1470" s="1">
        <v>0.0</v>
      </c>
      <c r="S1470" s="1"/>
    </row>
    <row r="1471" ht="15.75" customHeight="1">
      <c r="A1471" s="1" t="s">
        <v>3533</v>
      </c>
      <c r="B1471" s="1" t="s">
        <v>3534</v>
      </c>
      <c r="C1471" s="1" t="s">
        <v>151</v>
      </c>
      <c r="E1471" s="1">
        <v>18.6286583</v>
      </c>
      <c r="F1471" s="1">
        <v>73.78297830000001</v>
      </c>
      <c r="G1471" s="1" t="s">
        <v>54</v>
      </c>
      <c r="H1471" s="1" t="s">
        <v>55</v>
      </c>
      <c r="J1471" s="1" t="s">
        <v>118</v>
      </c>
      <c r="K1471" s="1" t="s">
        <v>26</v>
      </c>
      <c r="L1471" s="1" t="s">
        <v>27</v>
      </c>
      <c r="N1471" s="1" t="s">
        <v>143</v>
      </c>
      <c r="O1471" s="1" t="s">
        <v>29</v>
      </c>
      <c r="P1471" s="1" t="s">
        <v>3233</v>
      </c>
      <c r="Q1471" s="1" t="s">
        <v>3234</v>
      </c>
      <c r="R1471" s="1">
        <v>3.0</v>
      </c>
      <c r="S1471" s="1"/>
    </row>
    <row r="1472" ht="15.75" customHeight="1">
      <c r="A1472" s="1" t="s">
        <v>3535</v>
      </c>
      <c r="B1472" s="1" t="s">
        <v>3536</v>
      </c>
      <c r="C1472" s="1" t="s">
        <v>3537</v>
      </c>
      <c r="E1472" s="1">
        <v>20.9527508</v>
      </c>
      <c r="F1472" s="1">
        <v>86.13103029999999</v>
      </c>
      <c r="G1472" s="1" t="s">
        <v>54</v>
      </c>
      <c r="H1472" s="1" t="s">
        <v>55</v>
      </c>
      <c r="J1472" s="1" t="s">
        <v>118</v>
      </c>
      <c r="K1472" s="1" t="s">
        <v>26</v>
      </c>
      <c r="L1472" s="1" t="s">
        <v>27</v>
      </c>
      <c r="N1472" s="1" t="s">
        <v>1874</v>
      </c>
      <c r="O1472" s="1" t="s">
        <v>29</v>
      </c>
      <c r="P1472" s="1" t="s">
        <v>3131</v>
      </c>
      <c r="Q1472" s="1" t="s">
        <v>3132</v>
      </c>
      <c r="R1472" s="1">
        <v>0.0</v>
      </c>
      <c r="S1472" s="1"/>
    </row>
    <row r="1473" ht="15.75" customHeight="1">
      <c r="A1473" s="1" t="s">
        <v>3538</v>
      </c>
      <c r="B1473" s="1" t="s">
        <v>3539</v>
      </c>
      <c r="C1473" s="1" t="s">
        <v>531</v>
      </c>
      <c r="E1473" s="1">
        <v>22.7631837</v>
      </c>
      <c r="F1473" s="1">
        <v>88.3699335</v>
      </c>
      <c r="G1473" s="1" t="s">
        <v>54</v>
      </c>
      <c r="H1473" s="1" t="s">
        <v>55</v>
      </c>
      <c r="J1473" s="1" t="s">
        <v>118</v>
      </c>
      <c r="K1473" s="1" t="s">
        <v>26</v>
      </c>
      <c r="L1473" s="1" t="s">
        <v>27</v>
      </c>
      <c r="N1473" s="1" t="s">
        <v>532</v>
      </c>
      <c r="O1473" s="1" t="s">
        <v>57</v>
      </c>
      <c r="P1473" s="1" t="s">
        <v>3135</v>
      </c>
      <c r="Q1473" s="1" t="s">
        <v>3136</v>
      </c>
      <c r="R1473" s="1">
        <v>0.0</v>
      </c>
      <c r="S1473" s="1"/>
    </row>
    <row r="1474" ht="15.75" customHeight="1">
      <c r="A1474" s="1" t="s">
        <v>3540</v>
      </c>
      <c r="B1474" s="1" t="s">
        <v>3541</v>
      </c>
      <c r="C1474" s="1" t="s">
        <v>3542</v>
      </c>
      <c r="E1474" s="1">
        <v>17.9242106</v>
      </c>
      <c r="F1474" s="1">
        <v>77.5002863</v>
      </c>
      <c r="G1474" s="1" t="s">
        <v>54</v>
      </c>
      <c r="H1474" s="1" t="s">
        <v>55</v>
      </c>
      <c r="J1474" s="1" t="s">
        <v>118</v>
      </c>
      <c r="K1474" s="1" t="s">
        <v>26</v>
      </c>
      <c r="L1474" s="1" t="s">
        <v>27</v>
      </c>
      <c r="N1474" s="1" t="s">
        <v>743</v>
      </c>
      <c r="O1474" s="1" t="s">
        <v>29</v>
      </c>
      <c r="P1474" s="1" t="s">
        <v>1079</v>
      </c>
      <c r="Q1474" s="1" t="s">
        <v>1080</v>
      </c>
      <c r="R1474" s="1">
        <v>0.0</v>
      </c>
      <c r="S1474" s="1"/>
    </row>
    <row r="1475" ht="15.75" customHeight="1">
      <c r="A1475" s="1" t="s">
        <v>3543</v>
      </c>
      <c r="B1475" s="1" t="s">
        <v>3544</v>
      </c>
      <c r="C1475" s="1" t="s">
        <v>148</v>
      </c>
      <c r="E1475" s="1">
        <v>18.9747713</v>
      </c>
      <c r="F1475" s="1">
        <v>73.0286879</v>
      </c>
      <c r="G1475" s="1" t="s">
        <v>54</v>
      </c>
      <c r="H1475" s="1" t="s">
        <v>55</v>
      </c>
      <c r="J1475" s="1" t="s">
        <v>118</v>
      </c>
      <c r="K1475" s="1" t="s">
        <v>26</v>
      </c>
      <c r="L1475" s="1" t="s">
        <v>27</v>
      </c>
      <c r="N1475" s="1" t="s">
        <v>143</v>
      </c>
      <c r="O1475" s="1" t="s">
        <v>57</v>
      </c>
      <c r="P1475" s="1" t="s">
        <v>2300</v>
      </c>
      <c r="Q1475" s="1" t="s">
        <v>2301</v>
      </c>
      <c r="R1475" s="1">
        <v>1.0</v>
      </c>
      <c r="S1475" s="1"/>
    </row>
    <row r="1476" ht="15.75" customHeight="1">
      <c r="A1476" s="1" t="s">
        <v>3545</v>
      </c>
      <c r="B1476" s="1" t="s">
        <v>3546</v>
      </c>
      <c r="C1476" s="1" t="s">
        <v>1078</v>
      </c>
      <c r="E1476" s="1">
        <v>12.8949714</v>
      </c>
      <c r="F1476" s="1">
        <v>77.6570466</v>
      </c>
      <c r="G1476" s="1" t="s">
        <v>54</v>
      </c>
      <c r="H1476" s="1" t="s">
        <v>55</v>
      </c>
      <c r="J1476" s="1" t="s">
        <v>118</v>
      </c>
      <c r="K1476" s="1" t="s">
        <v>26</v>
      </c>
      <c r="L1476" s="1" t="s">
        <v>27</v>
      </c>
      <c r="N1476" s="1" t="s">
        <v>743</v>
      </c>
      <c r="O1476" s="1" t="s">
        <v>29</v>
      </c>
      <c r="P1476" s="1" t="s">
        <v>1079</v>
      </c>
      <c r="Q1476" s="1" t="s">
        <v>1080</v>
      </c>
      <c r="R1476" s="1">
        <v>1.0</v>
      </c>
      <c r="S1476" s="1"/>
    </row>
    <row r="1477" ht="15.75" customHeight="1">
      <c r="A1477" s="1" t="s">
        <v>3547</v>
      </c>
      <c r="B1477" s="1" t="s">
        <v>3548</v>
      </c>
      <c r="C1477" s="1" t="s">
        <v>1062</v>
      </c>
      <c r="E1477" s="1">
        <v>26.7037008</v>
      </c>
      <c r="F1477" s="1">
        <v>88.4236974</v>
      </c>
      <c r="G1477" s="1" t="s">
        <v>54</v>
      </c>
      <c r="H1477" s="1" t="s">
        <v>55</v>
      </c>
      <c r="J1477" s="1" t="s">
        <v>118</v>
      </c>
      <c r="K1477" s="1" t="s">
        <v>26</v>
      </c>
      <c r="L1477" s="1" t="s">
        <v>27</v>
      </c>
      <c r="N1477" s="1" t="s">
        <v>532</v>
      </c>
      <c r="O1477" s="1" t="s">
        <v>57</v>
      </c>
      <c r="P1477" s="1" t="s">
        <v>3131</v>
      </c>
      <c r="Q1477" s="1" t="s">
        <v>3132</v>
      </c>
      <c r="R1477" s="1">
        <v>0.0</v>
      </c>
      <c r="S1477" s="1"/>
    </row>
    <row r="1478" ht="15.75" customHeight="1">
      <c r="A1478" s="1" t="s">
        <v>3549</v>
      </c>
      <c r="B1478" s="1" t="s">
        <v>3550</v>
      </c>
      <c r="C1478" s="1" t="s">
        <v>1994</v>
      </c>
      <c r="E1478" s="1">
        <v>22.0710613</v>
      </c>
      <c r="F1478" s="1">
        <v>82.14979819999999</v>
      </c>
      <c r="G1478" s="1" t="s">
        <v>54</v>
      </c>
      <c r="H1478" s="1" t="s">
        <v>55</v>
      </c>
      <c r="J1478" s="1" t="s">
        <v>118</v>
      </c>
      <c r="K1478" s="1" t="s">
        <v>26</v>
      </c>
      <c r="L1478" s="1" t="s">
        <v>27</v>
      </c>
      <c r="N1478" s="1" t="s">
        <v>1989</v>
      </c>
      <c r="O1478" s="1" t="s">
        <v>29</v>
      </c>
      <c r="P1478" s="1" t="s">
        <v>3243</v>
      </c>
      <c r="Q1478" s="1" t="s">
        <v>3244</v>
      </c>
      <c r="R1478" s="1">
        <v>0.0</v>
      </c>
      <c r="S1478" s="1"/>
    </row>
    <row r="1479" ht="15.75" customHeight="1">
      <c r="A1479" s="1" t="s">
        <v>3551</v>
      </c>
      <c r="B1479" s="1" t="s">
        <v>3552</v>
      </c>
      <c r="C1479" s="1" t="s">
        <v>1716</v>
      </c>
      <c r="E1479" s="1">
        <v>28.445123</v>
      </c>
      <c r="F1479" s="1">
        <v>77.0807306</v>
      </c>
      <c r="G1479" s="1" t="s">
        <v>54</v>
      </c>
      <c r="H1479" s="1" t="s">
        <v>55</v>
      </c>
      <c r="J1479" s="1" t="s">
        <v>118</v>
      </c>
      <c r="K1479" s="1" t="s">
        <v>26</v>
      </c>
      <c r="L1479" s="1" t="s">
        <v>27</v>
      </c>
      <c r="N1479" s="1" t="s">
        <v>163</v>
      </c>
      <c r="O1479" s="1" t="s">
        <v>29</v>
      </c>
      <c r="P1479" s="1" t="s">
        <v>2163</v>
      </c>
      <c r="Q1479" s="1" t="s">
        <v>2164</v>
      </c>
      <c r="R1479" s="1">
        <v>2.0</v>
      </c>
      <c r="S1479" s="1"/>
    </row>
    <row r="1480" ht="15.75" customHeight="1">
      <c r="A1480" s="1" t="s">
        <v>3553</v>
      </c>
      <c r="B1480" s="1" t="s">
        <v>3554</v>
      </c>
      <c r="C1480" s="1" t="s">
        <v>148</v>
      </c>
      <c r="E1480" s="1">
        <v>19.0214558</v>
      </c>
      <c r="F1480" s="1">
        <v>73.017743</v>
      </c>
      <c r="G1480" s="1" t="s">
        <v>54</v>
      </c>
      <c r="H1480" s="1" t="s">
        <v>55</v>
      </c>
      <c r="J1480" s="1" t="s">
        <v>56</v>
      </c>
      <c r="K1480" s="1" t="s">
        <v>26</v>
      </c>
      <c r="L1480" s="1" t="s">
        <v>27</v>
      </c>
      <c r="N1480" s="1" t="s">
        <v>143</v>
      </c>
      <c r="O1480" s="1" t="s">
        <v>57</v>
      </c>
      <c r="P1480" s="1" t="s">
        <v>2300</v>
      </c>
      <c r="Q1480" s="1" t="s">
        <v>2301</v>
      </c>
      <c r="R1480" s="1">
        <v>2.0</v>
      </c>
      <c r="S1480" s="1"/>
    </row>
    <row r="1481" ht="15.75" customHeight="1">
      <c r="A1481" s="1" t="s">
        <v>3555</v>
      </c>
      <c r="B1481" s="1" t="s">
        <v>3556</v>
      </c>
      <c r="C1481" s="1" t="s">
        <v>737</v>
      </c>
      <c r="E1481" s="1">
        <v>22.6670778</v>
      </c>
      <c r="F1481" s="1">
        <v>75.82256</v>
      </c>
      <c r="G1481" s="1" t="s">
        <v>54</v>
      </c>
      <c r="H1481" s="1" t="s">
        <v>55</v>
      </c>
      <c r="J1481" s="1" t="s">
        <v>56</v>
      </c>
      <c r="K1481" s="1" t="s">
        <v>26</v>
      </c>
      <c r="L1481" s="1" t="s">
        <v>27</v>
      </c>
      <c r="N1481" s="1" t="s">
        <v>732</v>
      </c>
      <c r="O1481" s="1" t="s">
        <v>57</v>
      </c>
      <c r="P1481" s="1" t="s">
        <v>3243</v>
      </c>
      <c r="Q1481" s="1" t="s">
        <v>3244</v>
      </c>
      <c r="R1481" s="1">
        <v>6.0</v>
      </c>
      <c r="S1481" s="1"/>
    </row>
    <row r="1482" ht="15.75" customHeight="1">
      <c r="A1482" s="1" t="s">
        <v>3557</v>
      </c>
      <c r="B1482" s="1" t="s">
        <v>3558</v>
      </c>
      <c r="C1482" s="1" t="s">
        <v>148</v>
      </c>
      <c r="E1482" s="1">
        <v>19.0119662</v>
      </c>
      <c r="F1482" s="1">
        <v>73.035399</v>
      </c>
      <c r="G1482" s="1" t="s">
        <v>54</v>
      </c>
      <c r="H1482" s="1" t="s">
        <v>55</v>
      </c>
      <c r="J1482" s="1" t="s">
        <v>56</v>
      </c>
      <c r="K1482" s="1" t="s">
        <v>26</v>
      </c>
      <c r="L1482" s="1" t="s">
        <v>27</v>
      </c>
      <c r="N1482" s="1" t="s">
        <v>143</v>
      </c>
      <c r="O1482" s="1" t="s">
        <v>57</v>
      </c>
      <c r="P1482" s="1" t="s">
        <v>2300</v>
      </c>
      <c r="Q1482" s="1" t="s">
        <v>2301</v>
      </c>
      <c r="R1482" s="1">
        <v>0.0</v>
      </c>
      <c r="S1482" s="1"/>
    </row>
    <row r="1483" ht="15.75" customHeight="1">
      <c r="A1483" s="1" t="s">
        <v>3559</v>
      </c>
      <c r="B1483" s="1" t="s">
        <v>3560</v>
      </c>
      <c r="C1483" s="1" t="s">
        <v>1112</v>
      </c>
      <c r="E1483" s="1">
        <v>13.0436686</v>
      </c>
      <c r="F1483" s="1">
        <v>80.12067429999999</v>
      </c>
      <c r="G1483" s="1" t="s">
        <v>54</v>
      </c>
      <c r="H1483" s="1" t="s">
        <v>55</v>
      </c>
      <c r="J1483" s="1" t="s">
        <v>56</v>
      </c>
      <c r="K1483" s="1" t="s">
        <v>26</v>
      </c>
      <c r="L1483" s="1" t="s">
        <v>27</v>
      </c>
      <c r="N1483" s="1" t="s">
        <v>1097</v>
      </c>
      <c r="O1483" s="1" t="s">
        <v>57</v>
      </c>
      <c r="P1483" s="1" t="s">
        <v>3219</v>
      </c>
      <c r="Q1483" s="1" t="s">
        <v>3220</v>
      </c>
      <c r="R1483" s="1">
        <v>2.0</v>
      </c>
      <c r="S1483" s="1"/>
    </row>
    <row r="1484" ht="15.75" customHeight="1">
      <c r="A1484" s="1" t="s">
        <v>3561</v>
      </c>
      <c r="B1484" s="1" t="s">
        <v>3562</v>
      </c>
      <c r="C1484" s="1" t="s">
        <v>1112</v>
      </c>
      <c r="E1484" s="1">
        <v>13.0361014</v>
      </c>
      <c r="F1484" s="1">
        <v>80.1571477</v>
      </c>
      <c r="G1484" s="1" t="s">
        <v>54</v>
      </c>
      <c r="H1484" s="1" t="s">
        <v>55</v>
      </c>
      <c r="J1484" s="1" t="s">
        <v>56</v>
      </c>
      <c r="K1484" s="1" t="s">
        <v>26</v>
      </c>
      <c r="L1484" s="1" t="s">
        <v>27</v>
      </c>
      <c r="N1484" s="1" t="s">
        <v>1097</v>
      </c>
      <c r="O1484" s="1" t="s">
        <v>57</v>
      </c>
      <c r="P1484" s="1" t="s">
        <v>3219</v>
      </c>
      <c r="Q1484" s="1" t="s">
        <v>3220</v>
      </c>
      <c r="R1484" s="1">
        <v>3.0</v>
      </c>
      <c r="S1484" s="1"/>
    </row>
    <row r="1485" ht="15.75" customHeight="1">
      <c r="A1485" s="1" t="s">
        <v>3563</v>
      </c>
      <c r="B1485" s="1" t="s">
        <v>3564</v>
      </c>
      <c r="C1485" s="1" t="s">
        <v>21</v>
      </c>
      <c r="E1485" s="1">
        <v>28.5737092</v>
      </c>
      <c r="F1485" s="1">
        <v>77.37896769999999</v>
      </c>
      <c r="G1485" s="1" t="s">
        <v>54</v>
      </c>
      <c r="H1485" s="1" t="s">
        <v>55</v>
      </c>
      <c r="J1485" s="1" t="s">
        <v>56</v>
      </c>
      <c r="K1485" s="1" t="s">
        <v>26</v>
      </c>
      <c r="L1485" s="1" t="s">
        <v>27</v>
      </c>
      <c r="N1485" s="1" t="s">
        <v>28</v>
      </c>
      <c r="O1485" s="1" t="s">
        <v>57</v>
      </c>
      <c r="P1485" s="1" t="s">
        <v>2167</v>
      </c>
      <c r="Q1485" s="1" t="s">
        <v>2168</v>
      </c>
      <c r="R1485" s="1">
        <v>1.0</v>
      </c>
      <c r="S1485" s="1"/>
    </row>
    <row r="1486" ht="15.75" customHeight="1">
      <c r="A1486" s="1" t="s">
        <v>3565</v>
      </c>
      <c r="B1486" s="1" t="s">
        <v>3566</v>
      </c>
      <c r="C1486" s="1" t="s">
        <v>1078</v>
      </c>
      <c r="E1486" s="1">
        <v>12.9253808</v>
      </c>
      <c r="F1486" s="1">
        <v>77.4856325</v>
      </c>
      <c r="G1486" s="1" t="s">
        <v>54</v>
      </c>
      <c r="H1486" s="1" t="s">
        <v>55</v>
      </c>
      <c r="J1486" s="1" t="s">
        <v>56</v>
      </c>
      <c r="K1486" s="1" t="s">
        <v>26</v>
      </c>
      <c r="L1486" s="1" t="s">
        <v>27</v>
      </c>
      <c r="N1486" s="1" t="s">
        <v>743</v>
      </c>
      <c r="O1486" s="1" t="s">
        <v>57</v>
      </c>
      <c r="P1486" s="1" t="s">
        <v>1079</v>
      </c>
      <c r="Q1486" s="1" t="s">
        <v>1080</v>
      </c>
      <c r="R1486" s="1">
        <v>0.0</v>
      </c>
      <c r="S1486" s="1"/>
    </row>
    <row r="1487" ht="15.75" customHeight="1">
      <c r="A1487" s="1" t="s">
        <v>3567</v>
      </c>
      <c r="B1487" s="1" t="s">
        <v>3568</v>
      </c>
      <c r="C1487" s="1" t="s">
        <v>1112</v>
      </c>
      <c r="E1487" s="1">
        <v>12.9716361</v>
      </c>
      <c r="F1487" s="1">
        <v>80.219572</v>
      </c>
      <c r="G1487" s="1" t="s">
        <v>54</v>
      </c>
      <c r="H1487" s="1" t="s">
        <v>55</v>
      </c>
      <c r="J1487" s="1" t="s">
        <v>56</v>
      </c>
      <c r="K1487" s="1" t="s">
        <v>26</v>
      </c>
      <c r="L1487" s="1" t="s">
        <v>27</v>
      </c>
      <c r="N1487" s="1" t="s">
        <v>1097</v>
      </c>
      <c r="O1487" s="1" t="s">
        <v>57</v>
      </c>
      <c r="P1487" s="1" t="s">
        <v>3219</v>
      </c>
      <c r="Q1487" s="1" t="s">
        <v>3220</v>
      </c>
      <c r="R1487" s="1">
        <v>0.0</v>
      </c>
      <c r="S1487" s="1"/>
    </row>
    <row r="1488" ht="15.75" customHeight="1">
      <c r="A1488" s="1" t="s">
        <v>3569</v>
      </c>
      <c r="B1488" s="1" t="s">
        <v>3570</v>
      </c>
      <c r="C1488" s="1" t="s">
        <v>1096</v>
      </c>
      <c r="E1488" s="1">
        <v>11.6748367</v>
      </c>
      <c r="F1488" s="1">
        <v>78.1328824</v>
      </c>
      <c r="G1488" s="1" t="s">
        <v>54</v>
      </c>
      <c r="H1488" s="1" t="s">
        <v>55</v>
      </c>
      <c r="J1488" s="1" t="s">
        <v>56</v>
      </c>
      <c r="K1488" s="1" t="s">
        <v>26</v>
      </c>
      <c r="L1488" s="1" t="s">
        <v>27</v>
      </c>
      <c r="N1488" s="1" t="s">
        <v>1097</v>
      </c>
      <c r="O1488" s="1" t="s">
        <v>57</v>
      </c>
      <c r="P1488" s="1" t="s">
        <v>3219</v>
      </c>
      <c r="Q1488" s="1" t="s">
        <v>3220</v>
      </c>
      <c r="R1488" s="1">
        <v>0.0</v>
      </c>
      <c r="S1488" s="1"/>
    </row>
    <row r="1489" ht="15.75" customHeight="1">
      <c r="A1489" s="1" t="s">
        <v>3571</v>
      </c>
      <c r="B1489" s="1" t="s">
        <v>3572</v>
      </c>
      <c r="C1489" s="1" t="s">
        <v>1949</v>
      </c>
      <c r="E1489" s="1">
        <v>30.2875862</v>
      </c>
      <c r="F1489" s="1">
        <v>78.06485169999999</v>
      </c>
      <c r="G1489" s="1" t="s">
        <v>54</v>
      </c>
      <c r="H1489" s="1" t="s">
        <v>55</v>
      </c>
      <c r="J1489" s="1" t="s">
        <v>56</v>
      </c>
      <c r="K1489" s="1" t="s">
        <v>26</v>
      </c>
      <c r="L1489" s="1" t="s">
        <v>27</v>
      </c>
      <c r="N1489" s="1" t="s">
        <v>1950</v>
      </c>
      <c r="O1489" s="1" t="s">
        <v>57</v>
      </c>
      <c r="P1489" s="1" t="s">
        <v>887</v>
      </c>
      <c r="Q1489" s="1" t="s">
        <v>888</v>
      </c>
      <c r="R1489" s="1">
        <v>0.0</v>
      </c>
      <c r="S1489" s="1"/>
    </row>
    <row r="1490" ht="15.75" customHeight="1">
      <c r="A1490" s="1" t="s">
        <v>3573</v>
      </c>
      <c r="B1490" s="1" t="s">
        <v>3574</v>
      </c>
      <c r="C1490" s="1" t="s">
        <v>1078</v>
      </c>
      <c r="E1490" s="1">
        <v>13.0135004</v>
      </c>
      <c r="F1490" s="1">
        <v>77.6619535</v>
      </c>
      <c r="G1490" s="1" t="s">
        <v>54</v>
      </c>
      <c r="H1490" s="1" t="s">
        <v>55</v>
      </c>
      <c r="J1490" s="1" t="s">
        <v>56</v>
      </c>
      <c r="K1490" s="1" t="s">
        <v>26</v>
      </c>
      <c r="L1490" s="1" t="s">
        <v>27</v>
      </c>
      <c r="N1490" s="1" t="s">
        <v>743</v>
      </c>
      <c r="O1490" s="1" t="s">
        <v>57</v>
      </c>
      <c r="P1490" s="1" t="s">
        <v>1079</v>
      </c>
      <c r="Q1490" s="1" t="s">
        <v>1080</v>
      </c>
      <c r="R1490" s="1">
        <v>0.0</v>
      </c>
      <c r="S1490" s="1"/>
    </row>
    <row r="1491" ht="15.75" customHeight="1">
      <c r="A1491" s="1" t="s">
        <v>3575</v>
      </c>
      <c r="B1491" s="1" t="s">
        <v>3576</v>
      </c>
      <c r="C1491" s="1" t="s">
        <v>531</v>
      </c>
      <c r="E1491" s="1">
        <v>22.6956128</v>
      </c>
      <c r="F1491" s="1">
        <v>88.3746436</v>
      </c>
      <c r="G1491" s="1" t="s">
        <v>54</v>
      </c>
      <c r="H1491" s="1" t="s">
        <v>55</v>
      </c>
      <c r="J1491" s="1" t="s">
        <v>56</v>
      </c>
      <c r="K1491" s="1" t="s">
        <v>26</v>
      </c>
      <c r="L1491" s="1" t="s">
        <v>27</v>
      </c>
      <c r="N1491" s="1" t="s">
        <v>532</v>
      </c>
      <c r="O1491" s="1" t="s">
        <v>57</v>
      </c>
      <c r="P1491" s="1" t="s">
        <v>3135</v>
      </c>
      <c r="Q1491" s="1" t="s">
        <v>3136</v>
      </c>
      <c r="R1491" s="1">
        <v>0.0</v>
      </c>
      <c r="S1491" s="1"/>
    </row>
    <row r="1492" ht="15.75" customHeight="1">
      <c r="A1492" s="1" t="s">
        <v>3577</v>
      </c>
      <c r="B1492" s="1" t="s">
        <v>3578</v>
      </c>
      <c r="C1492" s="1" t="s">
        <v>185</v>
      </c>
      <c r="E1492" s="1">
        <v>17.441901</v>
      </c>
      <c r="F1492" s="1">
        <v>78.44111649999999</v>
      </c>
      <c r="G1492" s="1" t="s">
        <v>54</v>
      </c>
      <c r="H1492" s="1" t="s">
        <v>55</v>
      </c>
      <c r="J1492" s="1" t="s">
        <v>56</v>
      </c>
      <c r="K1492" s="1" t="s">
        <v>26</v>
      </c>
      <c r="L1492" s="1" t="s">
        <v>27</v>
      </c>
      <c r="N1492" s="1" t="s">
        <v>186</v>
      </c>
      <c r="O1492" s="1" t="s">
        <v>57</v>
      </c>
      <c r="P1492" s="1" t="s">
        <v>2074</v>
      </c>
      <c r="Q1492" s="1" t="s">
        <v>2075</v>
      </c>
      <c r="R1492" s="1">
        <v>1.0</v>
      </c>
      <c r="S1492" s="1"/>
    </row>
    <row r="1493" ht="15.75" customHeight="1">
      <c r="A1493" s="1" t="s">
        <v>3579</v>
      </c>
      <c r="B1493" s="1" t="s">
        <v>3580</v>
      </c>
      <c r="C1493" s="1" t="s">
        <v>148</v>
      </c>
      <c r="E1493" s="1">
        <v>19.0475142</v>
      </c>
      <c r="F1493" s="1">
        <v>73.0672541</v>
      </c>
      <c r="G1493" s="1" t="s">
        <v>54</v>
      </c>
      <c r="H1493" s="1" t="s">
        <v>55</v>
      </c>
      <c r="J1493" s="1" t="s">
        <v>56</v>
      </c>
      <c r="K1493" s="1" t="s">
        <v>26</v>
      </c>
      <c r="L1493" s="1" t="s">
        <v>27</v>
      </c>
      <c r="N1493" s="1" t="s">
        <v>143</v>
      </c>
      <c r="O1493" s="1" t="s">
        <v>57</v>
      </c>
      <c r="P1493" s="1" t="s">
        <v>2300</v>
      </c>
      <c r="Q1493" s="1" t="s">
        <v>2301</v>
      </c>
      <c r="R1493" s="1">
        <v>0.0</v>
      </c>
      <c r="S1493" s="1"/>
    </row>
    <row r="1494" ht="15.75" customHeight="1">
      <c r="A1494" s="1" t="s">
        <v>3581</v>
      </c>
      <c r="B1494" s="1" t="s">
        <v>3582</v>
      </c>
      <c r="C1494" s="1" t="s">
        <v>1078</v>
      </c>
      <c r="E1494" s="1">
        <v>12.9975549</v>
      </c>
      <c r="F1494" s="1">
        <v>77.5441</v>
      </c>
      <c r="G1494" s="1" t="s">
        <v>54</v>
      </c>
      <c r="H1494" s="1" t="s">
        <v>55</v>
      </c>
      <c r="J1494" s="1" t="s">
        <v>56</v>
      </c>
      <c r="K1494" s="1" t="s">
        <v>26</v>
      </c>
      <c r="L1494" s="1" t="s">
        <v>27</v>
      </c>
      <c r="N1494" s="1" t="s">
        <v>743</v>
      </c>
      <c r="O1494" s="1" t="s">
        <v>57</v>
      </c>
      <c r="P1494" s="1" t="s">
        <v>1079</v>
      </c>
      <c r="Q1494" s="1" t="s">
        <v>1080</v>
      </c>
      <c r="R1494" s="1">
        <v>1.0</v>
      </c>
      <c r="S1494" s="1"/>
    </row>
    <row r="1495" ht="15.75" customHeight="1">
      <c r="A1495" s="1" t="s">
        <v>3583</v>
      </c>
      <c r="B1495" s="1" t="s">
        <v>3584</v>
      </c>
      <c r="C1495" s="1" t="s">
        <v>3585</v>
      </c>
      <c r="E1495" s="1">
        <v>13.2555572</v>
      </c>
      <c r="F1495" s="1">
        <v>77.71735489999999</v>
      </c>
      <c r="G1495" s="1" t="s">
        <v>54</v>
      </c>
      <c r="H1495" s="1" t="s">
        <v>55</v>
      </c>
      <c r="J1495" s="1" t="s">
        <v>56</v>
      </c>
      <c r="K1495" s="1" t="s">
        <v>26</v>
      </c>
      <c r="L1495" s="1" t="s">
        <v>27</v>
      </c>
      <c r="N1495" s="1" t="s">
        <v>743</v>
      </c>
      <c r="O1495" s="1" t="s">
        <v>57</v>
      </c>
      <c r="P1495" s="1" t="s">
        <v>1079</v>
      </c>
      <c r="Q1495" s="1" t="s">
        <v>1080</v>
      </c>
      <c r="R1495" s="1">
        <v>0.0</v>
      </c>
      <c r="S1495" s="1"/>
    </row>
    <row r="1496" ht="15.75" customHeight="1">
      <c r="A1496" s="1" t="s">
        <v>3586</v>
      </c>
      <c r="B1496" s="1" t="s">
        <v>3587</v>
      </c>
      <c r="C1496" s="1" t="s">
        <v>185</v>
      </c>
      <c r="E1496" s="1">
        <v>17.4048134</v>
      </c>
      <c r="F1496" s="1">
        <v>78.515006</v>
      </c>
      <c r="G1496" s="1" t="s">
        <v>54</v>
      </c>
      <c r="H1496" s="1" t="s">
        <v>55</v>
      </c>
      <c r="J1496" s="1" t="s">
        <v>56</v>
      </c>
      <c r="K1496" s="1" t="s">
        <v>26</v>
      </c>
      <c r="L1496" s="1" t="s">
        <v>27</v>
      </c>
      <c r="N1496" s="1" t="s">
        <v>186</v>
      </c>
      <c r="O1496" s="1" t="s">
        <v>57</v>
      </c>
      <c r="P1496" s="1" t="s">
        <v>2074</v>
      </c>
      <c r="Q1496" s="1" t="s">
        <v>2075</v>
      </c>
      <c r="R1496" s="1">
        <v>1.0</v>
      </c>
      <c r="S1496" s="1"/>
    </row>
    <row r="1497" ht="15.75" customHeight="1">
      <c r="A1497" s="1" t="s">
        <v>3588</v>
      </c>
      <c r="B1497" s="1" t="s">
        <v>3589</v>
      </c>
      <c r="C1497" s="1" t="s">
        <v>1340</v>
      </c>
      <c r="E1497" s="1">
        <v>16.7145666</v>
      </c>
      <c r="F1497" s="1">
        <v>81.102707</v>
      </c>
      <c r="G1497" s="1" t="s">
        <v>54</v>
      </c>
      <c r="H1497" s="1" t="s">
        <v>55</v>
      </c>
      <c r="J1497" s="1" t="s">
        <v>56</v>
      </c>
      <c r="K1497" s="1" t="s">
        <v>26</v>
      </c>
      <c r="L1497" s="1" t="s">
        <v>27</v>
      </c>
      <c r="N1497" s="1" t="s">
        <v>464</v>
      </c>
      <c r="O1497" s="1" t="s">
        <v>57</v>
      </c>
      <c r="P1497" s="1" t="s">
        <v>2074</v>
      </c>
      <c r="Q1497" s="1" t="s">
        <v>2075</v>
      </c>
      <c r="R1497" s="1">
        <v>0.0</v>
      </c>
      <c r="S1497" s="1"/>
    </row>
    <row r="1498" ht="15.75" customHeight="1">
      <c r="A1498" s="1" t="s">
        <v>3590</v>
      </c>
      <c r="B1498" s="1" t="s">
        <v>3591</v>
      </c>
      <c r="C1498" s="1" t="s">
        <v>1078</v>
      </c>
      <c r="E1498" s="1">
        <v>13.011023</v>
      </c>
      <c r="F1498" s="1">
        <v>77.55471519999999</v>
      </c>
      <c r="G1498" s="1" t="s">
        <v>54</v>
      </c>
      <c r="H1498" s="1" t="s">
        <v>55</v>
      </c>
      <c r="J1498" s="1" t="s">
        <v>56</v>
      </c>
      <c r="K1498" s="1" t="s">
        <v>26</v>
      </c>
      <c r="L1498" s="1" t="s">
        <v>27</v>
      </c>
      <c r="N1498" s="1" t="s">
        <v>743</v>
      </c>
      <c r="O1498" s="1" t="s">
        <v>57</v>
      </c>
      <c r="P1498" s="1" t="s">
        <v>1079</v>
      </c>
      <c r="Q1498" s="1" t="s">
        <v>1080</v>
      </c>
      <c r="R1498" s="1">
        <v>0.0</v>
      </c>
      <c r="S1498" s="1"/>
    </row>
    <row r="1499" ht="15.75" customHeight="1">
      <c r="A1499" s="1" t="s">
        <v>3592</v>
      </c>
      <c r="B1499" s="1" t="s">
        <v>3593</v>
      </c>
      <c r="C1499" s="1" t="s">
        <v>1121</v>
      </c>
      <c r="E1499" s="1">
        <v>12.2867337</v>
      </c>
      <c r="F1499" s="1">
        <v>76.62600719999999</v>
      </c>
      <c r="G1499" s="1" t="s">
        <v>54</v>
      </c>
      <c r="H1499" s="1" t="s">
        <v>55</v>
      </c>
      <c r="J1499" s="1" t="s">
        <v>56</v>
      </c>
      <c r="K1499" s="1" t="s">
        <v>26</v>
      </c>
      <c r="L1499" s="1" t="s">
        <v>27</v>
      </c>
      <c r="N1499" s="1" t="s">
        <v>743</v>
      </c>
      <c r="O1499" s="1" t="s">
        <v>57</v>
      </c>
      <c r="P1499" s="1" t="s">
        <v>1079</v>
      </c>
      <c r="Q1499" s="1" t="s">
        <v>1080</v>
      </c>
      <c r="R1499" s="1">
        <v>0.0</v>
      </c>
      <c r="S1499" s="1"/>
    </row>
    <row r="1500" ht="15.75" customHeight="1">
      <c r="A1500" s="1" t="s">
        <v>3594</v>
      </c>
      <c r="B1500" s="1" t="s">
        <v>3595</v>
      </c>
      <c r="C1500" s="1" t="s">
        <v>617</v>
      </c>
      <c r="E1500" s="1">
        <v>26.8500902</v>
      </c>
      <c r="F1500" s="1">
        <v>80.94201799999999</v>
      </c>
      <c r="G1500" s="1" t="s">
        <v>54</v>
      </c>
      <c r="H1500" s="1" t="s">
        <v>55</v>
      </c>
      <c r="J1500" s="1" t="s">
        <v>56</v>
      </c>
      <c r="K1500" s="1" t="s">
        <v>26</v>
      </c>
      <c r="L1500" s="1" t="s">
        <v>27</v>
      </c>
      <c r="N1500" s="1" t="s">
        <v>28</v>
      </c>
      <c r="O1500" s="1" t="s">
        <v>57</v>
      </c>
      <c r="P1500" s="1" t="s">
        <v>733</v>
      </c>
      <c r="Q1500" s="1" t="s">
        <v>734</v>
      </c>
      <c r="R1500" s="1">
        <v>3.0</v>
      </c>
      <c r="S1500" s="1"/>
    </row>
    <row r="1501" ht="15.75" customHeight="1">
      <c r="A1501" s="1" t="s">
        <v>3596</v>
      </c>
      <c r="B1501" s="1" t="s">
        <v>3597</v>
      </c>
      <c r="C1501" s="1" t="s">
        <v>1988</v>
      </c>
      <c r="E1501" s="1">
        <v>21.244417</v>
      </c>
      <c r="F1501" s="1">
        <v>81.608511</v>
      </c>
      <c r="G1501" s="1" t="s">
        <v>54</v>
      </c>
      <c r="H1501" s="1" t="s">
        <v>55</v>
      </c>
      <c r="J1501" s="1" t="s">
        <v>56</v>
      </c>
      <c r="K1501" s="1" t="s">
        <v>26</v>
      </c>
      <c r="L1501" s="1" t="s">
        <v>27</v>
      </c>
      <c r="N1501" s="1" t="s">
        <v>1989</v>
      </c>
      <c r="O1501" s="1" t="s">
        <v>57</v>
      </c>
      <c r="P1501" s="1" t="s">
        <v>3243</v>
      </c>
      <c r="Q1501" s="1" t="s">
        <v>3244</v>
      </c>
      <c r="R1501" s="1">
        <v>0.0</v>
      </c>
      <c r="S1501" s="1"/>
    </row>
    <row r="1502" ht="15.75" customHeight="1">
      <c r="A1502" s="1" t="s">
        <v>3598</v>
      </c>
      <c r="B1502" s="1" t="s">
        <v>3599</v>
      </c>
      <c r="C1502" s="1" t="s">
        <v>185</v>
      </c>
      <c r="E1502" s="1">
        <v>17.4201992</v>
      </c>
      <c r="F1502" s="1">
        <v>78.63723759999999</v>
      </c>
      <c r="G1502" s="1" t="s">
        <v>54</v>
      </c>
      <c r="H1502" s="1" t="s">
        <v>55</v>
      </c>
      <c r="J1502" s="1" t="s">
        <v>56</v>
      </c>
      <c r="K1502" s="1" t="s">
        <v>26</v>
      </c>
      <c r="L1502" s="1" t="s">
        <v>27</v>
      </c>
      <c r="N1502" s="1" t="s">
        <v>186</v>
      </c>
      <c r="O1502" s="1" t="s">
        <v>57</v>
      </c>
      <c r="P1502" s="1" t="s">
        <v>2074</v>
      </c>
      <c r="Q1502" s="1" t="s">
        <v>2075</v>
      </c>
      <c r="R1502" s="1">
        <v>0.0</v>
      </c>
      <c r="S1502" s="1"/>
    </row>
    <row r="1503" ht="15.75" customHeight="1">
      <c r="A1503" s="1" t="s">
        <v>3600</v>
      </c>
      <c r="B1503" s="1" t="s">
        <v>3601</v>
      </c>
      <c r="C1503" s="1" t="s">
        <v>185</v>
      </c>
      <c r="E1503" s="1">
        <v>17.4641882</v>
      </c>
      <c r="F1503" s="1">
        <v>78.3671428</v>
      </c>
      <c r="G1503" s="1" t="s">
        <v>54</v>
      </c>
      <c r="H1503" s="1" t="s">
        <v>55</v>
      </c>
      <c r="J1503" s="1" t="s">
        <v>56</v>
      </c>
      <c r="K1503" s="1" t="s">
        <v>26</v>
      </c>
      <c r="L1503" s="1" t="s">
        <v>27</v>
      </c>
      <c r="N1503" s="1" t="s">
        <v>186</v>
      </c>
      <c r="O1503" s="1" t="s">
        <v>57</v>
      </c>
      <c r="P1503" s="1" t="s">
        <v>2074</v>
      </c>
      <c r="Q1503" s="1" t="s">
        <v>2075</v>
      </c>
      <c r="R1503" s="1">
        <v>2.0</v>
      </c>
      <c r="S1503" s="1"/>
    </row>
    <row r="1504" ht="15.75" customHeight="1">
      <c r="A1504" s="1" t="s">
        <v>3602</v>
      </c>
      <c r="B1504" s="1" t="s">
        <v>3603</v>
      </c>
      <c r="C1504" s="1" t="s">
        <v>1078</v>
      </c>
      <c r="E1504" s="1">
        <v>13.09863</v>
      </c>
      <c r="F1504" s="1">
        <v>77.5847175</v>
      </c>
      <c r="G1504" s="1" t="s">
        <v>54</v>
      </c>
      <c r="H1504" s="1" t="s">
        <v>55</v>
      </c>
      <c r="J1504" s="1" t="s">
        <v>56</v>
      </c>
      <c r="K1504" s="1" t="s">
        <v>26</v>
      </c>
      <c r="L1504" s="1" t="s">
        <v>27</v>
      </c>
      <c r="N1504" s="1" t="s">
        <v>743</v>
      </c>
      <c r="O1504" s="1" t="s">
        <v>57</v>
      </c>
      <c r="P1504" s="1" t="s">
        <v>1079</v>
      </c>
      <c r="Q1504" s="1" t="s">
        <v>1080</v>
      </c>
      <c r="R1504" s="1">
        <v>1.0</v>
      </c>
      <c r="S1504" s="1"/>
    </row>
    <row r="1505" ht="15.75" customHeight="1">
      <c r="A1505" s="1" t="s">
        <v>3604</v>
      </c>
      <c r="B1505" s="1" t="s">
        <v>3605</v>
      </c>
      <c r="C1505" s="1" t="s">
        <v>1078</v>
      </c>
      <c r="E1505" s="1">
        <v>12.9192179</v>
      </c>
      <c r="F1505" s="1">
        <v>77.66874109999999</v>
      </c>
      <c r="G1505" s="1" t="s">
        <v>54</v>
      </c>
      <c r="H1505" s="1" t="s">
        <v>55</v>
      </c>
      <c r="J1505" s="1" t="s">
        <v>56</v>
      </c>
      <c r="K1505" s="1" t="s">
        <v>26</v>
      </c>
      <c r="L1505" s="1" t="s">
        <v>27</v>
      </c>
      <c r="N1505" s="1" t="s">
        <v>743</v>
      </c>
      <c r="O1505" s="1" t="s">
        <v>57</v>
      </c>
      <c r="P1505" s="1" t="s">
        <v>1079</v>
      </c>
      <c r="Q1505" s="1" t="s">
        <v>1080</v>
      </c>
      <c r="R1505" s="1">
        <v>2.0</v>
      </c>
      <c r="S1505" s="1"/>
    </row>
    <row r="1506" ht="15.75" customHeight="1">
      <c r="A1506" s="1" t="s">
        <v>3606</v>
      </c>
      <c r="B1506" s="1" t="s">
        <v>3607</v>
      </c>
      <c r="C1506" s="1" t="s">
        <v>1978</v>
      </c>
      <c r="E1506" s="1">
        <v>20.0119775</v>
      </c>
      <c r="F1506" s="1">
        <v>73.7570332</v>
      </c>
      <c r="G1506" s="1" t="s">
        <v>54</v>
      </c>
      <c r="H1506" s="1" t="s">
        <v>55</v>
      </c>
      <c r="J1506" s="1" t="s">
        <v>56</v>
      </c>
      <c r="K1506" s="1" t="s">
        <v>26</v>
      </c>
      <c r="L1506" s="1" t="s">
        <v>27</v>
      </c>
      <c r="N1506" s="1" t="s">
        <v>143</v>
      </c>
      <c r="O1506" s="1" t="s">
        <v>57</v>
      </c>
      <c r="P1506" s="1" t="s">
        <v>2239</v>
      </c>
      <c r="Q1506" s="1" t="s">
        <v>2240</v>
      </c>
      <c r="R1506" s="1">
        <v>0.0</v>
      </c>
      <c r="S1506" s="1"/>
    </row>
    <row r="1507" ht="15.75" customHeight="1">
      <c r="A1507" s="1" t="s">
        <v>3608</v>
      </c>
      <c r="B1507" s="1" t="s">
        <v>3609</v>
      </c>
      <c r="C1507" s="1" t="s">
        <v>630</v>
      </c>
      <c r="E1507" s="1">
        <v>26.4893663</v>
      </c>
      <c r="F1507" s="1">
        <v>80.3191121</v>
      </c>
      <c r="G1507" s="1" t="s">
        <v>54</v>
      </c>
      <c r="H1507" s="1" t="s">
        <v>55</v>
      </c>
      <c r="J1507" s="1" t="s">
        <v>56</v>
      </c>
      <c r="K1507" s="1" t="s">
        <v>26</v>
      </c>
      <c r="L1507" s="1" t="s">
        <v>27</v>
      </c>
      <c r="N1507" s="1" t="s">
        <v>28</v>
      </c>
      <c r="O1507" s="1" t="s">
        <v>57</v>
      </c>
      <c r="P1507" s="1" t="s">
        <v>733</v>
      </c>
      <c r="Q1507" s="1" t="s">
        <v>734</v>
      </c>
      <c r="R1507" s="1">
        <v>1.0</v>
      </c>
      <c r="S1507" s="1"/>
    </row>
    <row r="1508" ht="15.75" customHeight="1">
      <c r="A1508" s="1" t="s">
        <v>3610</v>
      </c>
      <c r="B1508" s="1" t="s">
        <v>3611</v>
      </c>
      <c r="C1508" s="1" t="s">
        <v>148</v>
      </c>
      <c r="E1508" s="1">
        <v>19.053864</v>
      </c>
      <c r="F1508" s="1">
        <v>72.8869517</v>
      </c>
      <c r="G1508" s="1" t="s">
        <v>54</v>
      </c>
      <c r="H1508" s="1" t="s">
        <v>55</v>
      </c>
      <c r="J1508" s="1" t="s">
        <v>56</v>
      </c>
      <c r="K1508" s="1" t="s">
        <v>26</v>
      </c>
      <c r="L1508" s="1" t="s">
        <v>27</v>
      </c>
      <c r="N1508" s="1" t="s">
        <v>143</v>
      </c>
      <c r="O1508" s="1" t="s">
        <v>57</v>
      </c>
      <c r="P1508" s="1" t="s">
        <v>2300</v>
      </c>
      <c r="Q1508" s="1" t="s">
        <v>2301</v>
      </c>
      <c r="R1508" s="1">
        <v>0.0</v>
      </c>
      <c r="S1508" s="1"/>
    </row>
    <row r="1509" ht="15.75" customHeight="1">
      <c r="A1509" s="1" t="s">
        <v>3612</v>
      </c>
      <c r="B1509" s="1" t="s">
        <v>3613</v>
      </c>
      <c r="C1509" s="1" t="s">
        <v>148</v>
      </c>
      <c r="E1509" s="1">
        <v>19.2796589</v>
      </c>
      <c r="F1509" s="1">
        <v>72.8778854</v>
      </c>
      <c r="G1509" s="1" t="s">
        <v>54</v>
      </c>
      <c r="H1509" s="1" t="s">
        <v>55</v>
      </c>
      <c r="J1509" s="1" t="s">
        <v>56</v>
      </c>
      <c r="K1509" s="1" t="s">
        <v>26</v>
      </c>
      <c r="L1509" s="1" t="s">
        <v>27</v>
      </c>
      <c r="N1509" s="1" t="s">
        <v>143</v>
      </c>
      <c r="O1509" s="1" t="s">
        <v>57</v>
      </c>
      <c r="P1509" s="1" t="s">
        <v>2300</v>
      </c>
      <c r="Q1509" s="1" t="s">
        <v>2301</v>
      </c>
      <c r="R1509" s="1">
        <v>2.0</v>
      </c>
      <c r="S1509" s="1"/>
    </row>
    <row r="1510" ht="15.75" customHeight="1">
      <c r="A1510" s="1" t="s">
        <v>3614</v>
      </c>
      <c r="B1510" s="1" t="s">
        <v>3615</v>
      </c>
      <c r="C1510" s="1" t="s">
        <v>2025</v>
      </c>
      <c r="E1510" s="1">
        <v>19.8443051</v>
      </c>
      <c r="F1510" s="1">
        <v>75.907459</v>
      </c>
      <c r="G1510" s="1" t="s">
        <v>54</v>
      </c>
      <c r="H1510" s="1" t="s">
        <v>55</v>
      </c>
      <c r="J1510" s="1" t="s">
        <v>56</v>
      </c>
      <c r="K1510" s="1" t="s">
        <v>26</v>
      </c>
      <c r="L1510" s="1" t="s">
        <v>27</v>
      </c>
      <c r="N1510" s="1" t="s">
        <v>143</v>
      </c>
      <c r="O1510" s="1" t="s">
        <v>57</v>
      </c>
      <c r="P1510" s="1" t="s">
        <v>2239</v>
      </c>
      <c r="Q1510" s="1" t="s">
        <v>2240</v>
      </c>
      <c r="R1510" s="1">
        <v>0.0</v>
      </c>
      <c r="S1510" s="1"/>
    </row>
    <row r="1511" ht="15.75" customHeight="1">
      <c r="A1511" s="1" t="s">
        <v>3616</v>
      </c>
      <c r="B1511" s="1" t="s">
        <v>3617</v>
      </c>
      <c r="C1511" s="1" t="s">
        <v>242</v>
      </c>
      <c r="E1511" s="1">
        <v>21.1628787</v>
      </c>
      <c r="F1511" s="1">
        <v>72.7765283</v>
      </c>
      <c r="G1511" s="1" t="s">
        <v>54</v>
      </c>
      <c r="H1511" s="1" t="s">
        <v>55</v>
      </c>
      <c r="J1511" s="1" t="s">
        <v>56</v>
      </c>
      <c r="K1511" s="1" t="s">
        <v>26</v>
      </c>
      <c r="L1511" s="1" t="s">
        <v>27</v>
      </c>
      <c r="N1511" s="1" t="s">
        <v>216</v>
      </c>
      <c r="O1511" s="1" t="s">
        <v>57</v>
      </c>
      <c r="P1511" s="1" t="s">
        <v>3342</v>
      </c>
      <c r="Q1511" s="1" t="s">
        <v>3343</v>
      </c>
      <c r="R1511" s="1">
        <v>12.0</v>
      </c>
      <c r="S1511" s="1"/>
    </row>
    <row r="1512" ht="15.75" customHeight="1">
      <c r="A1512" s="1" t="s">
        <v>3618</v>
      </c>
      <c r="B1512" s="1" t="s">
        <v>3619</v>
      </c>
      <c r="C1512" s="1" t="s">
        <v>1112</v>
      </c>
      <c r="E1512" s="1">
        <v>12.9916634</v>
      </c>
      <c r="F1512" s="1">
        <v>80.2168724</v>
      </c>
      <c r="G1512" s="1" t="s">
        <v>54</v>
      </c>
      <c r="H1512" s="1" t="s">
        <v>55</v>
      </c>
      <c r="J1512" s="1" t="s">
        <v>56</v>
      </c>
      <c r="K1512" s="1" t="s">
        <v>26</v>
      </c>
      <c r="L1512" s="1" t="s">
        <v>27</v>
      </c>
      <c r="N1512" s="1" t="s">
        <v>1097</v>
      </c>
      <c r="O1512" s="1" t="s">
        <v>57</v>
      </c>
      <c r="P1512" s="1" t="s">
        <v>3219</v>
      </c>
      <c r="Q1512" s="1" t="s">
        <v>3220</v>
      </c>
      <c r="R1512" s="1">
        <v>4.0</v>
      </c>
      <c r="S1512" s="1"/>
    </row>
    <row r="1513" ht="15.75" customHeight="1">
      <c r="A1513" s="1" t="s">
        <v>3620</v>
      </c>
      <c r="B1513" s="1" t="s">
        <v>3621</v>
      </c>
      <c r="C1513" s="1" t="s">
        <v>148</v>
      </c>
      <c r="E1513" s="1">
        <v>19.1154587</v>
      </c>
      <c r="F1513" s="1">
        <v>72.83432859999999</v>
      </c>
      <c r="G1513" s="1" t="s">
        <v>54</v>
      </c>
      <c r="H1513" s="1" t="s">
        <v>55</v>
      </c>
      <c r="J1513" s="1" t="s">
        <v>56</v>
      </c>
      <c r="K1513" s="1" t="s">
        <v>26</v>
      </c>
      <c r="L1513" s="1" t="s">
        <v>27</v>
      </c>
      <c r="N1513" s="1" t="s">
        <v>143</v>
      </c>
      <c r="O1513" s="1" t="s">
        <v>57</v>
      </c>
      <c r="P1513" s="1" t="s">
        <v>2300</v>
      </c>
      <c r="Q1513" s="1" t="s">
        <v>2301</v>
      </c>
      <c r="R1513" s="1">
        <v>0.0</v>
      </c>
      <c r="S1513" s="1"/>
    </row>
    <row r="1514" ht="15.75" customHeight="1">
      <c r="A1514" s="1" t="s">
        <v>3622</v>
      </c>
      <c r="B1514" s="1" t="s">
        <v>3623</v>
      </c>
      <c r="C1514" s="1" t="s">
        <v>3624</v>
      </c>
      <c r="E1514" s="1">
        <v>26.22103</v>
      </c>
      <c r="F1514" s="1">
        <v>81.24082349999999</v>
      </c>
      <c r="G1514" s="1" t="s">
        <v>54</v>
      </c>
      <c r="H1514" s="1" t="s">
        <v>55</v>
      </c>
      <c r="J1514" s="1" t="s">
        <v>56</v>
      </c>
      <c r="K1514" s="1" t="s">
        <v>26</v>
      </c>
      <c r="L1514" s="1" t="s">
        <v>27</v>
      </c>
      <c r="N1514" s="1" t="s">
        <v>28</v>
      </c>
      <c r="O1514" s="1" t="s">
        <v>57</v>
      </c>
      <c r="P1514" s="1" t="s">
        <v>1990</v>
      </c>
      <c r="Q1514" s="1" t="s">
        <v>1991</v>
      </c>
      <c r="R1514" s="1">
        <v>0.0</v>
      </c>
      <c r="S1514" s="1"/>
    </row>
    <row r="1515" ht="15.75" customHeight="1">
      <c r="A1515" s="1" t="s">
        <v>3625</v>
      </c>
      <c r="B1515" s="1" t="s">
        <v>3626</v>
      </c>
      <c r="C1515" s="1" t="s">
        <v>1078</v>
      </c>
      <c r="E1515" s="1">
        <v>12.926672</v>
      </c>
      <c r="F1515" s="1">
        <v>77.51425429999999</v>
      </c>
      <c r="G1515" s="1" t="s">
        <v>54</v>
      </c>
      <c r="H1515" s="1" t="s">
        <v>55</v>
      </c>
      <c r="J1515" s="1" t="s">
        <v>56</v>
      </c>
      <c r="K1515" s="1" t="s">
        <v>26</v>
      </c>
      <c r="L1515" s="1" t="s">
        <v>27</v>
      </c>
      <c r="N1515" s="1" t="s">
        <v>743</v>
      </c>
      <c r="O1515" s="1" t="s">
        <v>57</v>
      </c>
      <c r="P1515" s="1" t="s">
        <v>1079</v>
      </c>
      <c r="Q1515" s="1" t="s">
        <v>1080</v>
      </c>
      <c r="R1515" s="1">
        <v>1.0</v>
      </c>
      <c r="S1515" s="1"/>
    </row>
    <row r="1516" ht="15.75" customHeight="1">
      <c r="A1516" s="1" t="s">
        <v>3627</v>
      </c>
      <c r="B1516" s="1" t="s">
        <v>3628</v>
      </c>
      <c r="C1516" s="1" t="s">
        <v>848</v>
      </c>
      <c r="E1516" s="1">
        <v>26.9061275</v>
      </c>
      <c r="F1516" s="1">
        <v>75.7516538</v>
      </c>
      <c r="G1516" s="1" t="s">
        <v>54</v>
      </c>
      <c r="H1516" s="1" t="s">
        <v>55</v>
      </c>
      <c r="J1516" s="1" t="s">
        <v>56</v>
      </c>
      <c r="K1516" s="1" t="s">
        <v>26</v>
      </c>
      <c r="L1516" s="1" t="s">
        <v>27</v>
      </c>
      <c r="N1516" s="1" t="s">
        <v>849</v>
      </c>
      <c r="O1516" s="1" t="s">
        <v>57</v>
      </c>
      <c r="P1516" s="1" t="s">
        <v>887</v>
      </c>
      <c r="Q1516" s="1" t="s">
        <v>888</v>
      </c>
      <c r="R1516" s="1">
        <v>0.0</v>
      </c>
      <c r="S1516" s="1"/>
    </row>
    <row r="1517" ht="15.75" customHeight="1">
      <c r="A1517" s="1" t="s">
        <v>3629</v>
      </c>
      <c r="B1517" s="1" t="s">
        <v>3630</v>
      </c>
      <c r="C1517" s="1" t="s">
        <v>1078</v>
      </c>
      <c r="E1517" s="1">
        <v>12.8405813</v>
      </c>
      <c r="F1517" s="1">
        <v>77.6506954</v>
      </c>
      <c r="G1517" s="1" t="s">
        <v>54</v>
      </c>
      <c r="H1517" s="1" t="s">
        <v>55</v>
      </c>
      <c r="J1517" s="1" t="s">
        <v>56</v>
      </c>
      <c r="K1517" s="1" t="s">
        <v>26</v>
      </c>
      <c r="L1517" s="1" t="s">
        <v>27</v>
      </c>
      <c r="N1517" s="1" t="s">
        <v>743</v>
      </c>
      <c r="O1517" s="1" t="s">
        <v>57</v>
      </c>
      <c r="P1517" s="1" t="s">
        <v>1079</v>
      </c>
      <c r="Q1517" s="1" t="s">
        <v>1080</v>
      </c>
      <c r="R1517" s="1">
        <v>1.0</v>
      </c>
      <c r="S1517" s="1"/>
    </row>
    <row r="1518" ht="15.75" customHeight="1">
      <c r="A1518" s="1" t="s">
        <v>3631</v>
      </c>
      <c r="B1518" s="1" t="s">
        <v>3632</v>
      </c>
      <c r="C1518" s="1" t="s">
        <v>185</v>
      </c>
      <c r="E1518" s="1">
        <v>17.4842861</v>
      </c>
      <c r="F1518" s="1">
        <v>78.3888917</v>
      </c>
      <c r="G1518" s="1" t="s">
        <v>54</v>
      </c>
      <c r="H1518" s="1" t="s">
        <v>55</v>
      </c>
      <c r="J1518" s="1" t="s">
        <v>56</v>
      </c>
      <c r="K1518" s="1" t="s">
        <v>26</v>
      </c>
      <c r="L1518" s="1" t="s">
        <v>27</v>
      </c>
      <c r="N1518" s="1" t="s">
        <v>186</v>
      </c>
      <c r="O1518" s="1" t="s">
        <v>57</v>
      </c>
      <c r="P1518" s="1" t="s">
        <v>2074</v>
      </c>
      <c r="Q1518" s="1" t="s">
        <v>2075</v>
      </c>
      <c r="R1518" s="1">
        <v>0.0</v>
      </c>
      <c r="S1518" s="1"/>
    </row>
    <row r="1519" ht="15.75" customHeight="1">
      <c r="A1519" s="1" t="s">
        <v>3633</v>
      </c>
      <c r="B1519" s="1" t="s">
        <v>3634</v>
      </c>
      <c r="C1519" s="1" t="s">
        <v>3635</v>
      </c>
      <c r="E1519" s="1">
        <v>12.9112379</v>
      </c>
      <c r="F1519" s="1">
        <v>79.3235013</v>
      </c>
      <c r="G1519" s="1" t="s">
        <v>54</v>
      </c>
      <c r="H1519" s="1" t="s">
        <v>55</v>
      </c>
      <c r="J1519" s="1" t="s">
        <v>56</v>
      </c>
      <c r="K1519" s="1" t="s">
        <v>26</v>
      </c>
      <c r="L1519" s="1" t="s">
        <v>27</v>
      </c>
      <c r="N1519" s="1" t="s">
        <v>1097</v>
      </c>
      <c r="O1519" s="1" t="s">
        <v>57</v>
      </c>
      <c r="P1519" s="1" t="s">
        <v>3219</v>
      </c>
      <c r="Q1519" s="1" t="s">
        <v>3220</v>
      </c>
      <c r="R1519" s="1">
        <v>0.0</v>
      </c>
      <c r="S1519" s="1"/>
    </row>
    <row r="1520" ht="15.75" customHeight="1">
      <c r="A1520" s="1" t="s">
        <v>3636</v>
      </c>
      <c r="B1520" s="1" t="s">
        <v>3637</v>
      </c>
      <c r="C1520" s="1" t="s">
        <v>1978</v>
      </c>
      <c r="E1520" s="1">
        <v>19.9544868</v>
      </c>
      <c r="F1520" s="1">
        <v>73.7641227</v>
      </c>
      <c r="G1520" s="1" t="s">
        <v>54</v>
      </c>
      <c r="H1520" s="1" t="s">
        <v>55</v>
      </c>
      <c r="J1520" s="1" t="s">
        <v>56</v>
      </c>
      <c r="K1520" s="1" t="s">
        <v>26</v>
      </c>
      <c r="L1520" s="1" t="s">
        <v>27</v>
      </c>
      <c r="N1520" s="1" t="s">
        <v>143</v>
      </c>
      <c r="O1520" s="1" t="s">
        <v>57</v>
      </c>
      <c r="P1520" s="1" t="s">
        <v>2239</v>
      </c>
      <c r="Q1520" s="1" t="s">
        <v>2240</v>
      </c>
      <c r="R1520" s="1">
        <v>0.0</v>
      </c>
      <c r="S1520" s="1"/>
    </row>
    <row r="1521" ht="15.75" customHeight="1">
      <c r="A1521" s="1" t="s">
        <v>3638</v>
      </c>
      <c r="B1521" s="1" t="s">
        <v>3639</v>
      </c>
      <c r="C1521" s="1" t="s">
        <v>148</v>
      </c>
      <c r="E1521" s="1">
        <v>19.1385361</v>
      </c>
      <c r="F1521" s="1">
        <v>72.8322479</v>
      </c>
      <c r="G1521" s="1" t="s">
        <v>54</v>
      </c>
      <c r="H1521" s="1" t="s">
        <v>55</v>
      </c>
      <c r="J1521" s="1" t="s">
        <v>56</v>
      </c>
      <c r="K1521" s="1" t="s">
        <v>26</v>
      </c>
      <c r="L1521" s="1" t="s">
        <v>27</v>
      </c>
      <c r="N1521" s="1" t="s">
        <v>143</v>
      </c>
      <c r="O1521" s="1" t="s">
        <v>57</v>
      </c>
      <c r="P1521" s="1" t="s">
        <v>2300</v>
      </c>
      <c r="Q1521" s="1" t="s">
        <v>2301</v>
      </c>
      <c r="R1521" s="1">
        <v>2.0</v>
      </c>
      <c r="S1521" s="1"/>
    </row>
    <row r="1522" ht="15.75" customHeight="1">
      <c r="A1522" s="1" t="s">
        <v>3640</v>
      </c>
      <c r="B1522" s="1" t="s">
        <v>3641</v>
      </c>
      <c r="C1522" s="1" t="s">
        <v>3642</v>
      </c>
      <c r="E1522" s="1">
        <v>26.1233228</v>
      </c>
      <c r="F1522" s="1">
        <v>85.3680208</v>
      </c>
      <c r="G1522" s="1" t="s">
        <v>54</v>
      </c>
      <c r="H1522" s="1" t="s">
        <v>55</v>
      </c>
      <c r="J1522" s="1" t="s">
        <v>56</v>
      </c>
      <c r="K1522" s="1" t="s">
        <v>26</v>
      </c>
      <c r="L1522" s="1" t="s">
        <v>27</v>
      </c>
      <c r="N1522" s="1" t="s">
        <v>498</v>
      </c>
      <c r="O1522" s="1" t="s">
        <v>57</v>
      </c>
      <c r="P1522" s="1" t="s">
        <v>3253</v>
      </c>
      <c r="Q1522" s="1" t="s">
        <v>3254</v>
      </c>
      <c r="R1522" s="1">
        <v>0.0</v>
      </c>
      <c r="S1522" s="1"/>
    </row>
    <row r="1523" ht="15.75" customHeight="1">
      <c r="A1523" s="1" t="s">
        <v>3643</v>
      </c>
      <c r="B1523" s="1" t="s">
        <v>3644</v>
      </c>
      <c r="C1523" s="1" t="s">
        <v>1112</v>
      </c>
      <c r="E1523" s="1">
        <v>13.0817248</v>
      </c>
      <c r="F1523" s="1">
        <v>80.24506640000001</v>
      </c>
      <c r="G1523" s="1" t="s">
        <v>54</v>
      </c>
      <c r="H1523" s="1" t="s">
        <v>55</v>
      </c>
      <c r="J1523" s="1" t="s">
        <v>56</v>
      </c>
      <c r="K1523" s="1" t="s">
        <v>26</v>
      </c>
      <c r="L1523" s="1" t="s">
        <v>27</v>
      </c>
      <c r="N1523" s="1" t="s">
        <v>1097</v>
      </c>
      <c r="O1523" s="1" t="s">
        <v>57</v>
      </c>
      <c r="P1523" s="1" t="s">
        <v>3219</v>
      </c>
      <c r="Q1523" s="1" t="s">
        <v>3220</v>
      </c>
      <c r="R1523" s="1">
        <v>1.0</v>
      </c>
      <c r="S1523" s="1"/>
    </row>
    <row r="1524" ht="15.75" customHeight="1">
      <c r="A1524" s="1" t="s">
        <v>3645</v>
      </c>
      <c r="B1524" s="1" t="s">
        <v>3646</v>
      </c>
      <c r="C1524" s="1" t="s">
        <v>3647</v>
      </c>
      <c r="E1524" s="1">
        <v>13.9308116</v>
      </c>
      <c r="F1524" s="1">
        <v>75.5737657</v>
      </c>
      <c r="G1524" s="1" t="s">
        <v>54</v>
      </c>
      <c r="H1524" s="1" t="s">
        <v>55</v>
      </c>
      <c r="J1524" s="1" t="s">
        <v>56</v>
      </c>
      <c r="K1524" s="1" t="s">
        <v>26</v>
      </c>
      <c r="L1524" s="1" t="s">
        <v>27</v>
      </c>
      <c r="N1524" s="1" t="s">
        <v>743</v>
      </c>
      <c r="O1524" s="1" t="s">
        <v>57</v>
      </c>
      <c r="P1524" s="1" t="s">
        <v>1079</v>
      </c>
      <c r="Q1524" s="1" t="s">
        <v>1080</v>
      </c>
      <c r="R1524" s="1">
        <v>0.0</v>
      </c>
      <c r="S1524" s="1"/>
    </row>
    <row r="1525" ht="15.75" customHeight="1">
      <c r="A1525" s="1" t="s">
        <v>3648</v>
      </c>
      <c r="B1525" s="1" t="s">
        <v>3649</v>
      </c>
      <c r="C1525" s="1" t="s">
        <v>174</v>
      </c>
      <c r="E1525" s="1">
        <v>28.6945855</v>
      </c>
      <c r="F1525" s="1">
        <v>77.1545361</v>
      </c>
      <c r="G1525" s="1" t="s">
        <v>54</v>
      </c>
      <c r="H1525" s="1" t="s">
        <v>55</v>
      </c>
      <c r="J1525" s="1" t="s">
        <v>56</v>
      </c>
      <c r="K1525" s="1" t="s">
        <v>26</v>
      </c>
      <c r="L1525" s="1" t="s">
        <v>27</v>
      </c>
      <c r="N1525" s="1" t="s">
        <v>174</v>
      </c>
      <c r="O1525" s="1" t="s">
        <v>57</v>
      </c>
      <c r="P1525" s="1" t="s">
        <v>1749</v>
      </c>
      <c r="Q1525" s="1" t="s">
        <v>1750</v>
      </c>
      <c r="R1525" s="1">
        <v>1.0</v>
      </c>
      <c r="S1525" s="1"/>
    </row>
    <row r="1526" ht="15.75" customHeight="1">
      <c r="A1526" s="1" t="s">
        <v>3650</v>
      </c>
      <c r="B1526" s="1" t="s">
        <v>3651</v>
      </c>
      <c r="C1526" s="1" t="s">
        <v>3652</v>
      </c>
      <c r="E1526" s="1">
        <v>25.00122</v>
      </c>
      <c r="F1526" s="1">
        <v>88.139592</v>
      </c>
      <c r="G1526" s="1" t="s">
        <v>54</v>
      </c>
      <c r="H1526" s="1" t="s">
        <v>55</v>
      </c>
      <c r="J1526" s="1" t="s">
        <v>56</v>
      </c>
      <c r="K1526" s="1" t="s">
        <v>26</v>
      </c>
      <c r="L1526" s="1" t="s">
        <v>27</v>
      </c>
      <c r="N1526" s="1" t="s">
        <v>532</v>
      </c>
      <c r="O1526" s="1" t="s">
        <v>57</v>
      </c>
      <c r="P1526" s="1" t="s">
        <v>3131</v>
      </c>
      <c r="Q1526" s="1" t="s">
        <v>3132</v>
      </c>
      <c r="R1526" s="1">
        <v>0.0</v>
      </c>
      <c r="S1526" s="1"/>
    </row>
    <row r="1527" ht="15.75" customHeight="1">
      <c r="A1527" s="1" t="s">
        <v>3653</v>
      </c>
      <c r="B1527" s="1" t="s">
        <v>3654</v>
      </c>
      <c r="C1527" s="1" t="s">
        <v>185</v>
      </c>
      <c r="E1527" s="1">
        <v>17.4362919</v>
      </c>
      <c r="F1527" s="1">
        <v>78.3669863</v>
      </c>
      <c r="G1527" s="1" t="s">
        <v>54</v>
      </c>
      <c r="H1527" s="1" t="s">
        <v>55</v>
      </c>
      <c r="J1527" s="1" t="s">
        <v>56</v>
      </c>
      <c r="K1527" s="1" t="s">
        <v>26</v>
      </c>
      <c r="L1527" s="1" t="s">
        <v>27</v>
      </c>
      <c r="N1527" s="1" t="s">
        <v>186</v>
      </c>
      <c r="O1527" s="1" t="s">
        <v>57</v>
      </c>
      <c r="P1527" s="1" t="s">
        <v>2074</v>
      </c>
      <c r="Q1527" s="1" t="s">
        <v>2075</v>
      </c>
      <c r="R1527" s="1">
        <v>0.0</v>
      </c>
      <c r="S1527" s="1"/>
    </row>
    <row r="1528" ht="15.75" customHeight="1">
      <c r="A1528" s="1" t="s">
        <v>3655</v>
      </c>
      <c r="B1528" s="1" t="s">
        <v>3656</v>
      </c>
      <c r="C1528" s="1" t="s">
        <v>115</v>
      </c>
      <c r="E1528" s="1">
        <v>31.6198766</v>
      </c>
      <c r="F1528" s="1">
        <v>74.9071434</v>
      </c>
      <c r="G1528" s="1" t="s">
        <v>54</v>
      </c>
      <c r="H1528" s="1" t="s">
        <v>55</v>
      </c>
      <c r="J1528" s="1" t="s">
        <v>56</v>
      </c>
      <c r="K1528" s="1" t="s">
        <v>26</v>
      </c>
      <c r="L1528" s="1" t="s">
        <v>27</v>
      </c>
      <c r="N1528" s="1" t="s">
        <v>123</v>
      </c>
      <c r="O1528" s="1" t="s">
        <v>57</v>
      </c>
      <c r="P1528" s="1" t="s">
        <v>938</v>
      </c>
      <c r="Q1528" s="1" t="s">
        <v>939</v>
      </c>
      <c r="R1528" s="1">
        <v>0.0</v>
      </c>
      <c r="S1528" s="1"/>
    </row>
    <row r="1529" ht="15.75" customHeight="1">
      <c r="A1529" s="1" t="s">
        <v>3657</v>
      </c>
      <c r="B1529" s="1" t="s">
        <v>3658</v>
      </c>
      <c r="C1529" s="1" t="s">
        <v>497</v>
      </c>
      <c r="E1529" s="1">
        <v>25.629175</v>
      </c>
      <c r="F1529" s="1">
        <v>85.1044441</v>
      </c>
      <c r="G1529" s="1" t="s">
        <v>54</v>
      </c>
      <c r="H1529" s="1" t="s">
        <v>55</v>
      </c>
      <c r="J1529" s="1" t="s">
        <v>56</v>
      </c>
      <c r="K1529" s="1" t="s">
        <v>26</v>
      </c>
      <c r="L1529" s="1" t="s">
        <v>27</v>
      </c>
      <c r="N1529" s="1" t="s">
        <v>498</v>
      </c>
      <c r="O1529" s="1" t="s">
        <v>57</v>
      </c>
      <c r="P1529" s="1" t="s">
        <v>3253</v>
      </c>
      <c r="Q1529" s="1" t="s">
        <v>3254</v>
      </c>
      <c r="R1529" s="1">
        <v>0.0</v>
      </c>
      <c r="S1529" s="1"/>
    </row>
    <row r="1530" ht="15.75" customHeight="1">
      <c r="A1530" s="1" t="s">
        <v>3659</v>
      </c>
      <c r="B1530" s="1" t="s">
        <v>3660</v>
      </c>
      <c r="C1530" s="1" t="s">
        <v>1112</v>
      </c>
      <c r="E1530" s="1">
        <v>13.1087539</v>
      </c>
      <c r="F1530" s="1">
        <v>80.2444617</v>
      </c>
      <c r="G1530" s="1" t="s">
        <v>54</v>
      </c>
      <c r="H1530" s="1" t="s">
        <v>55</v>
      </c>
      <c r="J1530" s="1" t="s">
        <v>56</v>
      </c>
      <c r="K1530" s="1" t="s">
        <v>26</v>
      </c>
      <c r="L1530" s="1" t="s">
        <v>27</v>
      </c>
      <c r="N1530" s="1" t="s">
        <v>1097</v>
      </c>
      <c r="O1530" s="1" t="s">
        <v>57</v>
      </c>
      <c r="P1530" s="1" t="s">
        <v>3219</v>
      </c>
      <c r="Q1530" s="1" t="s">
        <v>3220</v>
      </c>
      <c r="R1530" s="1">
        <v>0.0</v>
      </c>
      <c r="S1530" s="1"/>
    </row>
    <row r="1531" ht="15.75" customHeight="1">
      <c r="A1531" s="1" t="s">
        <v>3661</v>
      </c>
      <c r="B1531" s="1" t="s">
        <v>3662</v>
      </c>
      <c r="C1531" s="1" t="s">
        <v>148</v>
      </c>
      <c r="E1531" s="1">
        <v>19.2148157</v>
      </c>
      <c r="F1531" s="1">
        <v>73.1018617</v>
      </c>
      <c r="G1531" s="1" t="s">
        <v>54</v>
      </c>
      <c r="H1531" s="1" t="s">
        <v>55</v>
      </c>
      <c r="J1531" s="1" t="s">
        <v>56</v>
      </c>
      <c r="K1531" s="1" t="s">
        <v>26</v>
      </c>
      <c r="L1531" s="1" t="s">
        <v>27</v>
      </c>
      <c r="N1531" s="1" t="s">
        <v>143</v>
      </c>
      <c r="O1531" s="1" t="s">
        <v>57</v>
      </c>
      <c r="P1531" s="1" t="s">
        <v>2300</v>
      </c>
      <c r="Q1531" s="1" t="s">
        <v>2301</v>
      </c>
      <c r="R1531" s="1">
        <v>1.0</v>
      </c>
      <c r="S1531" s="1"/>
    </row>
    <row r="1532" ht="15.75" customHeight="1">
      <c r="A1532" s="1" t="s">
        <v>3663</v>
      </c>
      <c r="B1532" s="1" t="s">
        <v>3664</v>
      </c>
      <c r="C1532" s="1" t="s">
        <v>1112</v>
      </c>
      <c r="E1532" s="1">
        <v>12.92124</v>
      </c>
      <c r="F1532" s="1">
        <v>80.0920261</v>
      </c>
      <c r="G1532" s="1" t="s">
        <v>54</v>
      </c>
      <c r="H1532" s="1" t="s">
        <v>55</v>
      </c>
      <c r="J1532" s="1" t="s">
        <v>56</v>
      </c>
      <c r="K1532" s="1" t="s">
        <v>26</v>
      </c>
      <c r="L1532" s="1" t="s">
        <v>27</v>
      </c>
      <c r="N1532" s="1" t="s">
        <v>1097</v>
      </c>
      <c r="O1532" s="1" t="s">
        <v>57</v>
      </c>
      <c r="P1532" s="1" t="s">
        <v>3219</v>
      </c>
      <c r="Q1532" s="1" t="s">
        <v>3220</v>
      </c>
      <c r="R1532" s="1">
        <v>1.0</v>
      </c>
      <c r="S1532" s="1"/>
    </row>
    <row r="1533" ht="15.75" customHeight="1">
      <c r="A1533" s="1" t="s">
        <v>3665</v>
      </c>
      <c r="B1533" s="1" t="s">
        <v>3666</v>
      </c>
      <c r="C1533" s="1" t="s">
        <v>3667</v>
      </c>
      <c r="E1533" s="1">
        <v>22.0592667</v>
      </c>
      <c r="F1533" s="1">
        <v>88.0752656</v>
      </c>
      <c r="G1533" s="1" t="s">
        <v>54</v>
      </c>
      <c r="H1533" s="1" t="s">
        <v>55</v>
      </c>
      <c r="J1533" s="1" t="s">
        <v>56</v>
      </c>
      <c r="K1533" s="1" t="s">
        <v>26</v>
      </c>
      <c r="L1533" s="1" t="s">
        <v>27</v>
      </c>
      <c r="N1533" s="1" t="s">
        <v>532</v>
      </c>
      <c r="O1533" s="1" t="s">
        <v>57</v>
      </c>
      <c r="P1533" s="1" t="s">
        <v>3131</v>
      </c>
      <c r="Q1533" s="1" t="s">
        <v>3132</v>
      </c>
      <c r="R1533" s="1">
        <v>0.0</v>
      </c>
      <c r="S1533" s="1"/>
    </row>
    <row r="1534" ht="15.75" customHeight="1">
      <c r="A1534" s="1" t="s">
        <v>3668</v>
      </c>
      <c r="B1534" s="1" t="s">
        <v>3669</v>
      </c>
      <c r="C1534" s="1" t="s">
        <v>531</v>
      </c>
      <c r="E1534" s="1">
        <v>22.6290737</v>
      </c>
      <c r="F1534" s="1">
        <v>88.43436849999999</v>
      </c>
      <c r="G1534" s="1" t="s">
        <v>54</v>
      </c>
      <c r="H1534" s="1" t="s">
        <v>55</v>
      </c>
      <c r="J1534" s="1" t="s">
        <v>56</v>
      </c>
      <c r="K1534" s="1" t="s">
        <v>26</v>
      </c>
      <c r="L1534" s="1" t="s">
        <v>27</v>
      </c>
      <c r="N1534" s="1" t="s">
        <v>532</v>
      </c>
      <c r="O1534" s="1" t="s">
        <v>57</v>
      </c>
      <c r="P1534" s="1" t="s">
        <v>3135</v>
      </c>
      <c r="Q1534" s="1" t="s">
        <v>3136</v>
      </c>
      <c r="R1534" s="1">
        <v>0.0</v>
      </c>
      <c r="S1534" s="1"/>
    </row>
    <row r="1535" ht="15.75" customHeight="1">
      <c r="A1535" s="1" t="s">
        <v>3670</v>
      </c>
      <c r="B1535" s="1" t="s">
        <v>3671</v>
      </c>
      <c r="C1535" s="1" t="s">
        <v>3672</v>
      </c>
      <c r="E1535" s="1">
        <v>18.3227275</v>
      </c>
      <c r="F1535" s="1">
        <v>78.3336006</v>
      </c>
      <c r="G1535" s="1" t="s">
        <v>54</v>
      </c>
      <c r="H1535" s="1" t="s">
        <v>55</v>
      </c>
      <c r="J1535" s="1" t="s">
        <v>56</v>
      </c>
      <c r="K1535" s="1" t="s">
        <v>26</v>
      </c>
      <c r="L1535" s="1" t="s">
        <v>27</v>
      </c>
      <c r="N1535" s="1" t="s">
        <v>186</v>
      </c>
      <c r="O1535" s="1" t="s">
        <v>57</v>
      </c>
      <c r="P1535" s="1" t="s">
        <v>2074</v>
      </c>
      <c r="Q1535" s="1" t="s">
        <v>2075</v>
      </c>
      <c r="R1535" s="1">
        <v>0.0</v>
      </c>
      <c r="S1535" s="1"/>
    </row>
    <row r="1536" ht="15.75" customHeight="1">
      <c r="A1536" s="1" t="s">
        <v>3673</v>
      </c>
      <c r="B1536" s="1" t="s">
        <v>3674</v>
      </c>
      <c r="C1536" s="1" t="s">
        <v>148</v>
      </c>
      <c r="E1536" s="1">
        <v>19.0940169</v>
      </c>
      <c r="F1536" s="1">
        <v>72.912741</v>
      </c>
      <c r="G1536" s="1" t="s">
        <v>54</v>
      </c>
      <c r="H1536" s="1" t="s">
        <v>55</v>
      </c>
      <c r="J1536" s="1" t="s">
        <v>56</v>
      </c>
      <c r="K1536" s="1" t="s">
        <v>26</v>
      </c>
      <c r="L1536" s="1" t="s">
        <v>27</v>
      </c>
      <c r="N1536" s="1" t="s">
        <v>143</v>
      </c>
      <c r="O1536" s="1" t="s">
        <v>57</v>
      </c>
      <c r="P1536" s="1" t="s">
        <v>2300</v>
      </c>
      <c r="Q1536" s="1" t="s">
        <v>2301</v>
      </c>
      <c r="R1536" s="1">
        <v>1.0</v>
      </c>
      <c r="S1536" s="1"/>
    </row>
    <row r="1537" ht="15.75" customHeight="1">
      <c r="A1537" s="1" t="s">
        <v>3675</v>
      </c>
      <c r="B1537" s="1" t="s">
        <v>3676</v>
      </c>
      <c r="C1537" s="1" t="s">
        <v>185</v>
      </c>
      <c r="E1537" s="1">
        <v>17.3668103</v>
      </c>
      <c r="F1537" s="1">
        <v>78.5575033</v>
      </c>
      <c r="G1537" s="1" t="s">
        <v>54</v>
      </c>
      <c r="H1537" s="1" t="s">
        <v>55</v>
      </c>
      <c r="J1537" s="1" t="s">
        <v>56</v>
      </c>
      <c r="K1537" s="1" t="s">
        <v>26</v>
      </c>
      <c r="L1537" s="1" t="s">
        <v>27</v>
      </c>
      <c r="N1537" s="1" t="s">
        <v>186</v>
      </c>
      <c r="O1537" s="1" t="s">
        <v>57</v>
      </c>
      <c r="P1537" s="1" t="s">
        <v>2074</v>
      </c>
      <c r="Q1537" s="1" t="s">
        <v>2075</v>
      </c>
      <c r="R1537" s="1">
        <v>0.0</v>
      </c>
      <c r="S1537" s="1"/>
    </row>
    <row r="1538" ht="15.75" customHeight="1">
      <c r="A1538" s="1" t="s">
        <v>3677</v>
      </c>
      <c r="B1538" s="1" t="s">
        <v>3678</v>
      </c>
      <c r="C1538" s="1" t="s">
        <v>148</v>
      </c>
      <c r="E1538" s="1">
        <v>18.9566944</v>
      </c>
      <c r="F1538" s="1">
        <v>72.814881</v>
      </c>
      <c r="G1538" s="1" t="s">
        <v>54</v>
      </c>
      <c r="H1538" s="1" t="s">
        <v>55</v>
      </c>
      <c r="J1538" s="1" t="s">
        <v>56</v>
      </c>
      <c r="K1538" s="1" t="s">
        <v>26</v>
      </c>
      <c r="L1538" s="1" t="s">
        <v>27</v>
      </c>
      <c r="N1538" s="1" t="s">
        <v>143</v>
      </c>
      <c r="O1538" s="1" t="s">
        <v>57</v>
      </c>
      <c r="P1538" s="1" t="s">
        <v>2300</v>
      </c>
      <c r="Q1538" s="1" t="s">
        <v>2301</v>
      </c>
      <c r="R1538" s="1">
        <v>0.0</v>
      </c>
      <c r="S1538" s="1"/>
    </row>
    <row r="1539" ht="15.75" customHeight="1">
      <c r="A1539" s="1" t="s">
        <v>3679</v>
      </c>
      <c r="B1539" s="1" t="s">
        <v>3680</v>
      </c>
      <c r="C1539" s="1" t="s">
        <v>1078</v>
      </c>
      <c r="E1539" s="1">
        <v>12.9256542</v>
      </c>
      <c r="F1539" s="1">
        <v>77.54994429999999</v>
      </c>
      <c r="G1539" s="1" t="s">
        <v>54</v>
      </c>
      <c r="H1539" s="1" t="s">
        <v>55</v>
      </c>
      <c r="J1539" s="1" t="s">
        <v>56</v>
      </c>
      <c r="K1539" s="1" t="s">
        <v>26</v>
      </c>
      <c r="L1539" s="1" t="s">
        <v>27</v>
      </c>
      <c r="N1539" s="1" t="s">
        <v>743</v>
      </c>
      <c r="O1539" s="1" t="s">
        <v>57</v>
      </c>
      <c r="P1539" s="1" t="s">
        <v>1079</v>
      </c>
      <c r="Q1539" s="1" t="s">
        <v>1080</v>
      </c>
      <c r="R1539" s="1">
        <v>2.0</v>
      </c>
      <c r="S1539" s="1"/>
    </row>
    <row r="1540" ht="15.75" customHeight="1">
      <c r="A1540" s="1" t="s">
        <v>3681</v>
      </c>
      <c r="B1540" s="1" t="s">
        <v>3682</v>
      </c>
      <c r="C1540" s="1" t="s">
        <v>3683</v>
      </c>
      <c r="E1540" s="1">
        <v>28.3945979</v>
      </c>
      <c r="F1540" s="1">
        <v>79.4568207</v>
      </c>
      <c r="G1540" s="1" t="s">
        <v>54</v>
      </c>
      <c r="H1540" s="1" t="s">
        <v>55</v>
      </c>
      <c r="J1540" s="1" t="s">
        <v>56</v>
      </c>
      <c r="K1540" s="1" t="s">
        <v>26</v>
      </c>
      <c r="L1540" s="1" t="s">
        <v>27</v>
      </c>
      <c r="N1540" s="1" t="s">
        <v>28</v>
      </c>
      <c r="O1540" s="1" t="s">
        <v>57</v>
      </c>
      <c r="P1540" s="1" t="s">
        <v>1990</v>
      </c>
      <c r="Q1540" s="1" t="s">
        <v>1991</v>
      </c>
      <c r="R1540" s="1">
        <v>0.0</v>
      </c>
      <c r="S1540" s="1"/>
    </row>
    <row r="1541" ht="15.75" customHeight="1">
      <c r="A1541" s="1" t="s">
        <v>3684</v>
      </c>
      <c r="B1541" s="1" t="s">
        <v>3685</v>
      </c>
      <c r="C1541" s="1" t="s">
        <v>1107</v>
      </c>
      <c r="E1541" s="1">
        <v>15.3644221</v>
      </c>
      <c r="F1541" s="1">
        <v>75.1241744</v>
      </c>
      <c r="G1541" s="1" t="s">
        <v>54</v>
      </c>
      <c r="H1541" s="1" t="s">
        <v>55</v>
      </c>
      <c r="J1541" s="1" t="s">
        <v>56</v>
      </c>
      <c r="K1541" s="1" t="s">
        <v>26</v>
      </c>
      <c r="L1541" s="1" t="s">
        <v>27</v>
      </c>
      <c r="N1541" s="1" t="s">
        <v>743</v>
      </c>
      <c r="O1541" s="1" t="s">
        <v>57</v>
      </c>
      <c r="P1541" s="1" t="s">
        <v>1079</v>
      </c>
      <c r="Q1541" s="1" t="s">
        <v>1080</v>
      </c>
      <c r="R1541" s="1">
        <v>0.0</v>
      </c>
      <c r="S1541" s="1"/>
    </row>
    <row r="1542" ht="15.75" customHeight="1">
      <c r="A1542" s="1" t="s">
        <v>3686</v>
      </c>
      <c r="B1542" s="1" t="s">
        <v>3687</v>
      </c>
      <c r="C1542" s="1" t="s">
        <v>151</v>
      </c>
      <c r="E1542" s="1">
        <v>18.5096482</v>
      </c>
      <c r="F1542" s="1">
        <v>73.8160486</v>
      </c>
      <c r="G1542" s="1" t="s">
        <v>54</v>
      </c>
      <c r="H1542" s="1" t="s">
        <v>55</v>
      </c>
      <c r="J1542" s="1" t="s">
        <v>56</v>
      </c>
      <c r="K1542" s="1" t="s">
        <v>26</v>
      </c>
      <c r="L1542" s="1" t="s">
        <v>27</v>
      </c>
      <c r="N1542" s="1" t="s">
        <v>143</v>
      </c>
      <c r="O1542" s="1" t="s">
        <v>57</v>
      </c>
      <c r="P1542" s="1" t="s">
        <v>3233</v>
      </c>
      <c r="Q1542" s="1" t="s">
        <v>3234</v>
      </c>
      <c r="R1542" s="1">
        <v>1.0</v>
      </c>
      <c r="S1542" s="1"/>
    </row>
    <row r="1543" ht="15.75" customHeight="1">
      <c r="A1543" s="1" t="s">
        <v>3688</v>
      </c>
      <c r="B1543" s="1" t="s">
        <v>3689</v>
      </c>
      <c r="C1543" s="1" t="s">
        <v>768</v>
      </c>
      <c r="E1543" s="1">
        <v>23.1593029</v>
      </c>
      <c r="F1543" s="1">
        <v>79.9301437</v>
      </c>
      <c r="G1543" s="1" t="s">
        <v>54</v>
      </c>
      <c r="H1543" s="1" t="s">
        <v>55</v>
      </c>
      <c r="J1543" s="1" t="s">
        <v>56</v>
      </c>
      <c r="K1543" s="1" t="s">
        <v>26</v>
      </c>
      <c r="L1543" s="1" t="s">
        <v>27</v>
      </c>
      <c r="N1543" s="1" t="s">
        <v>732</v>
      </c>
      <c r="O1543" s="1" t="s">
        <v>57</v>
      </c>
      <c r="P1543" s="1" t="s">
        <v>3243</v>
      </c>
      <c r="Q1543" s="1" t="s">
        <v>3244</v>
      </c>
      <c r="R1543" s="1">
        <v>0.0</v>
      </c>
      <c r="S1543" s="1"/>
    </row>
    <row r="1544" ht="15.75" customHeight="1">
      <c r="A1544" s="1" t="s">
        <v>3690</v>
      </c>
      <c r="B1544" s="1" t="s">
        <v>3691</v>
      </c>
      <c r="C1544" s="1" t="s">
        <v>38</v>
      </c>
      <c r="E1544" s="1">
        <v>28.6456846</v>
      </c>
      <c r="F1544" s="1">
        <v>77.3351259</v>
      </c>
      <c r="G1544" s="1" t="s">
        <v>54</v>
      </c>
      <c r="H1544" s="1" t="s">
        <v>55</v>
      </c>
      <c r="J1544" s="1" t="s">
        <v>56</v>
      </c>
      <c r="K1544" s="1" t="s">
        <v>26</v>
      </c>
      <c r="L1544" s="1" t="s">
        <v>27</v>
      </c>
      <c r="N1544" s="1" t="s">
        <v>28</v>
      </c>
      <c r="O1544" s="1" t="s">
        <v>57</v>
      </c>
      <c r="P1544" s="1" t="s">
        <v>2167</v>
      </c>
      <c r="Q1544" s="1" t="s">
        <v>2168</v>
      </c>
      <c r="R1544" s="1">
        <v>1.0</v>
      </c>
      <c r="S1544" s="1"/>
    </row>
    <row r="1545" ht="15.75" customHeight="1">
      <c r="A1545" s="1" t="s">
        <v>3692</v>
      </c>
      <c r="B1545" s="1" t="s">
        <v>3693</v>
      </c>
      <c r="C1545" s="1" t="s">
        <v>1716</v>
      </c>
      <c r="E1545" s="1">
        <v>28.5028021</v>
      </c>
      <c r="F1545" s="1">
        <v>77.0976546</v>
      </c>
      <c r="G1545" s="1" t="s">
        <v>54</v>
      </c>
      <c r="H1545" s="1" t="s">
        <v>55</v>
      </c>
      <c r="J1545" s="1" t="s">
        <v>56</v>
      </c>
      <c r="K1545" s="1" t="s">
        <v>26</v>
      </c>
      <c r="L1545" s="1" t="s">
        <v>27</v>
      </c>
      <c r="N1545" s="1" t="s">
        <v>163</v>
      </c>
      <c r="O1545" s="1" t="s">
        <v>57</v>
      </c>
      <c r="P1545" s="1" t="s">
        <v>2163</v>
      </c>
      <c r="Q1545" s="1" t="s">
        <v>2164</v>
      </c>
      <c r="R1545" s="1">
        <v>4.0</v>
      </c>
      <c r="S1545" s="1"/>
    </row>
    <row r="1546" ht="15.75" customHeight="1">
      <c r="A1546" s="1" t="s">
        <v>3694</v>
      </c>
      <c r="B1546" s="1" t="s">
        <v>3695</v>
      </c>
      <c r="C1546" s="1" t="s">
        <v>531</v>
      </c>
      <c r="E1546" s="1">
        <v>22.9519087</v>
      </c>
      <c r="F1546" s="1">
        <v>88.4252951</v>
      </c>
      <c r="G1546" s="1" t="s">
        <v>54</v>
      </c>
      <c r="H1546" s="1" t="s">
        <v>55</v>
      </c>
      <c r="J1546" s="1" t="s">
        <v>56</v>
      </c>
      <c r="K1546" s="1" t="s">
        <v>26</v>
      </c>
      <c r="L1546" s="1" t="s">
        <v>27</v>
      </c>
      <c r="N1546" s="1" t="s">
        <v>532</v>
      </c>
      <c r="O1546" s="1" t="s">
        <v>57</v>
      </c>
      <c r="P1546" s="1" t="s">
        <v>3135</v>
      </c>
      <c r="Q1546" s="1" t="s">
        <v>3136</v>
      </c>
      <c r="R1546" s="1">
        <v>0.0</v>
      </c>
      <c r="S1546" s="1"/>
    </row>
    <row r="1547" ht="15.75" customHeight="1">
      <c r="A1547" s="1" t="s">
        <v>3696</v>
      </c>
      <c r="B1547" s="1" t="s">
        <v>3697</v>
      </c>
      <c r="C1547" s="1" t="s">
        <v>1107</v>
      </c>
      <c r="E1547" s="1">
        <v>15.360328</v>
      </c>
      <c r="F1547" s="1">
        <v>75.148781</v>
      </c>
      <c r="G1547" s="1" t="s">
        <v>54</v>
      </c>
      <c r="H1547" s="1" t="s">
        <v>55</v>
      </c>
      <c r="J1547" s="1" t="s">
        <v>56</v>
      </c>
      <c r="K1547" s="1" t="s">
        <v>26</v>
      </c>
      <c r="L1547" s="1" t="s">
        <v>27</v>
      </c>
      <c r="N1547" s="1" t="s">
        <v>743</v>
      </c>
      <c r="O1547" s="1" t="s">
        <v>57</v>
      </c>
      <c r="P1547" s="1" t="s">
        <v>1079</v>
      </c>
      <c r="Q1547" s="1" t="s">
        <v>1080</v>
      </c>
      <c r="R1547" s="1">
        <v>0.0</v>
      </c>
      <c r="S1547" s="1"/>
    </row>
    <row r="1548" ht="15.75" customHeight="1">
      <c r="A1548" s="1" t="s">
        <v>3698</v>
      </c>
      <c r="B1548" s="1" t="s">
        <v>3699</v>
      </c>
      <c r="C1548" s="1" t="s">
        <v>564</v>
      </c>
      <c r="E1548" s="1">
        <v>30.6950253</v>
      </c>
      <c r="F1548" s="1">
        <v>76.8498911</v>
      </c>
      <c r="G1548" s="1" t="s">
        <v>54</v>
      </c>
      <c r="H1548" s="1" t="s">
        <v>55</v>
      </c>
      <c r="J1548" s="1" t="s">
        <v>56</v>
      </c>
      <c r="K1548" s="1" t="s">
        <v>26</v>
      </c>
      <c r="L1548" s="1" t="s">
        <v>27</v>
      </c>
      <c r="N1548" s="1" t="s">
        <v>163</v>
      </c>
      <c r="O1548" s="1" t="s">
        <v>57</v>
      </c>
      <c r="P1548" s="1" t="s">
        <v>938</v>
      </c>
      <c r="Q1548" s="1" t="s">
        <v>939</v>
      </c>
      <c r="R1548" s="1">
        <v>0.0</v>
      </c>
      <c r="S1548" s="1"/>
    </row>
    <row r="1549" ht="15.75" customHeight="1">
      <c r="A1549" s="1" t="s">
        <v>3700</v>
      </c>
      <c r="B1549" s="1" t="s">
        <v>3701</v>
      </c>
      <c r="C1549" s="1" t="s">
        <v>3702</v>
      </c>
      <c r="E1549" s="1">
        <v>11.9287886</v>
      </c>
      <c r="F1549" s="1">
        <v>79.820343</v>
      </c>
      <c r="G1549" s="1" t="s">
        <v>54</v>
      </c>
      <c r="H1549" s="1" t="s">
        <v>55</v>
      </c>
      <c r="J1549" s="1" t="s">
        <v>56</v>
      </c>
      <c r="K1549" s="1" t="s">
        <v>26</v>
      </c>
      <c r="L1549" s="1" t="s">
        <v>27</v>
      </c>
      <c r="N1549" s="1" t="s">
        <v>3703</v>
      </c>
      <c r="O1549" s="1" t="s">
        <v>57</v>
      </c>
      <c r="P1549" s="1" t="s">
        <v>3219</v>
      </c>
      <c r="Q1549" s="1" t="s">
        <v>3220</v>
      </c>
      <c r="R1549" s="1">
        <v>0.0</v>
      </c>
      <c r="S1549" s="1"/>
    </row>
    <row r="1550" ht="15.75" customHeight="1">
      <c r="A1550" s="1" t="s">
        <v>3704</v>
      </c>
      <c r="B1550" s="1" t="s">
        <v>3705</v>
      </c>
      <c r="C1550" s="1" t="s">
        <v>3706</v>
      </c>
      <c r="E1550" s="1">
        <v>26.7538109</v>
      </c>
      <c r="F1550" s="1">
        <v>94.2122912</v>
      </c>
      <c r="G1550" s="1" t="s">
        <v>54</v>
      </c>
      <c r="H1550" s="1" t="s">
        <v>55</v>
      </c>
      <c r="J1550" s="1" t="s">
        <v>56</v>
      </c>
      <c r="K1550" s="1" t="s">
        <v>26</v>
      </c>
      <c r="L1550" s="1" t="s">
        <v>27</v>
      </c>
      <c r="N1550" s="1" t="s">
        <v>1036</v>
      </c>
      <c r="O1550" s="1" t="s">
        <v>57</v>
      </c>
      <c r="P1550" s="1" t="s">
        <v>3131</v>
      </c>
      <c r="Q1550" s="1" t="s">
        <v>3132</v>
      </c>
      <c r="R1550" s="1">
        <v>0.0</v>
      </c>
      <c r="S1550" s="1"/>
    </row>
    <row r="1551" ht="15.75" customHeight="1">
      <c r="A1551" s="1" t="s">
        <v>3707</v>
      </c>
      <c r="B1551" s="1" t="s">
        <v>3708</v>
      </c>
      <c r="C1551" s="1" t="s">
        <v>1078</v>
      </c>
      <c r="E1551" s="1">
        <v>12.9497262</v>
      </c>
      <c r="F1551" s="1">
        <v>77.6989103</v>
      </c>
      <c r="G1551" s="1" t="s">
        <v>54</v>
      </c>
      <c r="H1551" s="1" t="s">
        <v>55</v>
      </c>
      <c r="J1551" s="1" t="s">
        <v>56</v>
      </c>
      <c r="K1551" s="1" t="s">
        <v>26</v>
      </c>
      <c r="L1551" s="1" t="s">
        <v>27</v>
      </c>
      <c r="N1551" s="1" t="s">
        <v>743</v>
      </c>
      <c r="O1551" s="1" t="s">
        <v>57</v>
      </c>
      <c r="P1551" s="1" t="s">
        <v>1079</v>
      </c>
      <c r="Q1551" s="1" t="s">
        <v>1080</v>
      </c>
      <c r="R1551" s="1">
        <v>4.0</v>
      </c>
      <c r="S1551" s="1"/>
    </row>
    <row r="1552" ht="15.75" customHeight="1">
      <c r="A1552" s="1" t="s">
        <v>3709</v>
      </c>
      <c r="B1552" s="1" t="s">
        <v>3710</v>
      </c>
      <c r="C1552" s="1" t="s">
        <v>1285</v>
      </c>
      <c r="E1552" s="1">
        <v>12.7572653</v>
      </c>
      <c r="F1552" s="1">
        <v>75.2114753</v>
      </c>
      <c r="G1552" s="1" t="s">
        <v>54</v>
      </c>
      <c r="H1552" s="1" t="s">
        <v>55</v>
      </c>
      <c r="J1552" s="1" t="s">
        <v>56</v>
      </c>
      <c r="K1552" s="1" t="s">
        <v>26</v>
      </c>
      <c r="L1552" s="1" t="s">
        <v>27</v>
      </c>
      <c r="N1552" s="1" t="s">
        <v>743</v>
      </c>
      <c r="O1552" s="1" t="s">
        <v>57</v>
      </c>
      <c r="P1552" s="1" t="s">
        <v>1079</v>
      </c>
      <c r="Q1552" s="1" t="s">
        <v>1080</v>
      </c>
      <c r="R1552" s="1">
        <v>0.0</v>
      </c>
      <c r="S1552" s="1"/>
    </row>
    <row r="1553" ht="15.75" customHeight="1">
      <c r="A1553" s="1" t="s">
        <v>3711</v>
      </c>
      <c r="B1553" s="1" t="s">
        <v>3712</v>
      </c>
      <c r="C1553" s="1" t="s">
        <v>1112</v>
      </c>
      <c r="E1553" s="1">
        <v>12.9225014</v>
      </c>
      <c r="F1553" s="1">
        <v>80.1455471</v>
      </c>
      <c r="G1553" s="1" t="s">
        <v>54</v>
      </c>
      <c r="H1553" s="1" t="s">
        <v>55</v>
      </c>
      <c r="J1553" s="1" t="s">
        <v>56</v>
      </c>
      <c r="K1553" s="1" t="s">
        <v>26</v>
      </c>
      <c r="L1553" s="1" t="s">
        <v>27</v>
      </c>
      <c r="N1553" s="1" t="s">
        <v>1097</v>
      </c>
      <c r="O1553" s="1" t="s">
        <v>57</v>
      </c>
      <c r="P1553" s="1" t="s">
        <v>3219</v>
      </c>
      <c r="Q1553" s="1" t="s">
        <v>3220</v>
      </c>
      <c r="R1553" s="1">
        <v>2.0</v>
      </c>
      <c r="S1553" s="1"/>
    </row>
    <row r="1554" ht="15.75" customHeight="1">
      <c r="A1554" s="1" t="s">
        <v>3713</v>
      </c>
      <c r="B1554" s="1" t="s">
        <v>3714</v>
      </c>
      <c r="C1554" s="1" t="s">
        <v>472</v>
      </c>
      <c r="E1554" s="1">
        <v>16.9866229</v>
      </c>
      <c r="F1554" s="1">
        <v>81.7822729</v>
      </c>
      <c r="G1554" s="1" t="s">
        <v>54</v>
      </c>
      <c r="H1554" s="1" t="s">
        <v>55</v>
      </c>
      <c r="J1554" s="1" t="s">
        <v>56</v>
      </c>
      <c r="K1554" s="1" t="s">
        <v>26</v>
      </c>
      <c r="L1554" s="1" t="s">
        <v>27</v>
      </c>
      <c r="N1554" s="1" t="s">
        <v>464</v>
      </c>
      <c r="O1554" s="1" t="s">
        <v>57</v>
      </c>
      <c r="P1554" s="1" t="s">
        <v>2074</v>
      </c>
      <c r="Q1554" s="1" t="s">
        <v>2075</v>
      </c>
      <c r="R1554" s="1">
        <v>0.0</v>
      </c>
      <c r="S1554" s="1"/>
    </row>
    <row r="1555" ht="15.75" customHeight="1">
      <c r="A1555" s="1" t="s">
        <v>3715</v>
      </c>
      <c r="B1555" s="1" t="s">
        <v>3716</v>
      </c>
      <c r="C1555" s="1" t="s">
        <v>3717</v>
      </c>
      <c r="E1555" s="1">
        <v>16.5772525</v>
      </c>
      <c r="F1555" s="1">
        <v>82.0034884</v>
      </c>
      <c r="G1555" s="1" t="s">
        <v>54</v>
      </c>
      <c r="H1555" s="1" t="s">
        <v>55</v>
      </c>
      <c r="J1555" s="1" t="s">
        <v>56</v>
      </c>
      <c r="K1555" s="1" t="s">
        <v>26</v>
      </c>
      <c r="L1555" s="1" t="s">
        <v>27</v>
      </c>
      <c r="N1555" s="1" t="s">
        <v>464</v>
      </c>
      <c r="O1555" s="1" t="s">
        <v>57</v>
      </c>
      <c r="P1555" s="1" t="s">
        <v>2074</v>
      </c>
      <c r="Q1555" s="1" t="s">
        <v>2075</v>
      </c>
      <c r="R1555" s="1">
        <v>0.0</v>
      </c>
      <c r="S1555" s="1"/>
    </row>
    <row r="1556" ht="15.75" customHeight="1">
      <c r="A1556" s="1" t="s">
        <v>3718</v>
      </c>
      <c r="B1556" s="1" t="s">
        <v>3719</v>
      </c>
      <c r="C1556" s="1" t="s">
        <v>472</v>
      </c>
      <c r="E1556" s="1">
        <v>17.0070033</v>
      </c>
      <c r="F1556" s="1">
        <v>81.7982734</v>
      </c>
      <c r="G1556" s="1" t="s">
        <v>54</v>
      </c>
      <c r="H1556" s="1" t="s">
        <v>55</v>
      </c>
      <c r="J1556" s="1" t="s">
        <v>56</v>
      </c>
      <c r="K1556" s="1" t="s">
        <v>26</v>
      </c>
      <c r="L1556" s="1" t="s">
        <v>27</v>
      </c>
      <c r="N1556" s="1" t="s">
        <v>464</v>
      </c>
      <c r="O1556" s="1" t="s">
        <v>57</v>
      </c>
      <c r="P1556" s="1" t="s">
        <v>2074</v>
      </c>
      <c r="Q1556" s="1" t="s">
        <v>2075</v>
      </c>
      <c r="R1556" s="1">
        <v>0.0</v>
      </c>
      <c r="S1556" s="1"/>
    </row>
    <row r="1557" ht="15.75" customHeight="1">
      <c r="A1557" s="1" t="s">
        <v>3720</v>
      </c>
      <c r="B1557" s="1" t="s">
        <v>3721</v>
      </c>
      <c r="C1557" s="1" t="s">
        <v>151</v>
      </c>
      <c r="E1557" s="1">
        <v>18.5507398</v>
      </c>
      <c r="F1557" s="1">
        <v>73.9374342</v>
      </c>
      <c r="G1557" s="1" t="s">
        <v>54</v>
      </c>
      <c r="H1557" s="1" t="s">
        <v>55</v>
      </c>
      <c r="J1557" s="1" t="s">
        <v>56</v>
      </c>
      <c r="K1557" s="1" t="s">
        <v>26</v>
      </c>
      <c r="L1557" s="1" t="s">
        <v>27</v>
      </c>
      <c r="N1557" s="1" t="s">
        <v>143</v>
      </c>
      <c r="O1557" s="1" t="s">
        <v>57</v>
      </c>
      <c r="P1557" s="1" t="s">
        <v>3233</v>
      </c>
      <c r="Q1557" s="1" t="s">
        <v>3234</v>
      </c>
      <c r="R1557" s="1">
        <v>2.0</v>
      </c>
      <c r="S1557" s="1"/>
    </row>
    <row r="1558" ht="15.75" customHeight="1">
      <c r="A1558" s="1" t="s">
        <v>3722</v>
      </c>
      <c r="B1558" s="1" t="s">
        <v>3723</v>
      </c>
      <c r="C1558" s="1" t="s">
        <v>3724</v>
      </c>
      <c r="E1558" s="1">
        <v>18.1129756</v>
      </c>
      <c r="F1558" s="1">
        <v>83.41265059999999</v>
      </c>
      <c r="G1558" s="1" t="s">
        <v>54</v>
      </c>
      <c r="H1558" s="1" t="s">
        <v>55</v>
      </c>
      <c r="J1558" s="1" t="s">
        <v>56</v>
      </c>
      <c r="K1558" s="1" t="s">
        <v>26</v>
      </c>
      <c r="L1558" s="1" t="s">
        <v>27</v>
      </c>
      <c r="N1558" s="1" t="s">
        <v>464</v>
      </c>
      <c r="O1558" s="1" t="s">
        <v>57</v>
      </c>
      <c r="P1558" s="1" t="s">
        <v>2074</v>
      </c>
      <c r="Q1558" s="1" t="s">
        <v>2075</v>
      </c>
      <c r="R1558" s="1">
        <v>0.0</v>
      </c>
      <c r="S1558" s="1"/>
    </row>
    <row r="1559" ht="15.75" customHeight="1">
      <c r="A1559" s="1" t="s">
        <v>3725</v>
      </c>
      <c r="B1559" s="1" t="s">
        <v>3726</v>
      </c>
      <c r="C1559" s="1" t="s">
        <v>3727</v>
      </c>
      <c r="E1559" s="1">
        <v>18.1040243</v>
      </c>
      <c r="F1559" s="1">
        <v>78.84426669999999</v>
      </c>
      <c r="G1559" s="1" t="s">
        <v>54</v>
      </c>
      <c r="H1559" s="1" t="s">
        <v>55</v>
      </c>
      <c r="J1559" s="1" t="s">
        <v>56</v>
      </c>
      <c r="K1559" s="1" t="s">
        <v>26</v>
      </c>
      <c r="L1559" s="1" t="s">
        <v>27</v>
      </c>
      <c r="N1559" s="1" t="s">
        <v>186</v>
      </c>
      <c r="O1559" s="1" t="s">
        <v>57</v>
      </c>
      <c r="P1559" s="1" t="s">
        <v>2074</v>
      </c>
      <c r="Q1559" s="1" t="s">
        <v>2075</v>
      </c>
      <c r="R1559" s="1">
        <v>0.0</v>
      </c>
      <c r="S1559" s="1"/>
    </row>
    <row r="1560" ht="15.75" customHeight="1">
      <c r="A1560" s="1" t="s">
        <v>3728</v>
      </c>
      <c r="B1560" s="1" t="s">
        <v>3729</v>
      </c>
      <c r="C1560" s="1" t="s">
        <v>531</v>
      </c>
      <c r="E1560" s="1">
        <v>22.8571045</v>
      </c>
      <c r="F1560" s="1">
        <v>88.36536749999999</v>
      </c>
      <c r="G1560" s="1" t="s">
        <v>54</v>
      </c>
      <c r="H1560" s="1" t="s">
        <v>55</v>
      </c>
      <c r="J1560" s="1" t="s">
        <v>56</v>
      </c>
      <c r="K1560" s="1" t="s">
        <v>26</v>
      </c>
      <c r="L1560" s="1" t="s">
        <v>27</v>
      </c>
      <c r="N1560" s="1" t="s">
        <v>532</v>
      </c>
      <c r="O1560" s="1" t="s">
        <v>57</v>
      </c>
      <c r="P1560" s="1" t="s">
        <v>3135</v>
      </c>
      <c r="Q1560" s="1" t="s">
        <v>3136</v>
      </c>
      <c r="R1560" s="1">
        <v>0.0</v>
      </c>
      <c r="S1560" s="1"/>
    </row>
    <row r="1561" ht="15.75" customHeight="1">
      <c r="A1561" s="1" t="s">
        <v>3730</v>
      </c>
      <c r="B1561" s="1" t="s">
        <v>3731</v>
      </c>
      <c r="C1561" s="1" t="s">
        <v>1112</v>
      </c>
      <c r="E1561" s="1">
        <v>13.1225746</v>
      </c>
      <c r="F1561" s="1">
        <v>80.14599559999999</v>
      </c>
      <c r="G1561" s="1" t="s">
        <v>54</v>
      </c>
      <c r="H1561" s="1" t="s">
        <v>55</v>
      </c>
      <c r="J1561" s="1" t="s">
        <v>56</v>
      </c>
      <c r="K1561" s="1" t="s">
        <v>26</v>
      </c>
      <c r="L1561" s="1" t="s">
        <v>27</v>
      </c>
      <c r="N1561" s="1" t="s">
        <v>1097</v>
      </c>
      <c r="O1561" s="1" t="s">
        <v>57</v>
      </c>
      <c r="P1561" s="1" t="s">
        <v>3219</v>
      </c>
      <c r="Q1561" s="1" t="s">
        <v>3220</v>
      </c>
      <c r="R1561" s="1">
        <v>2.0</v>
      </c>
      <c r="S1561" s="1"/>
    </row>
    <row r="1562" ht="15.75" customHeight="1">
      <c r="A1562" s="1" t="s">
        <v>3732</v>
      </c>
      <c r="B1562" s="1" t="s">
        <v>3733</v>
      </c>
      <c r="C1562" s="1" t="s">
        <v>3734</v>
      </c>
      <c r="E1562" s="1">
        <v>15.8405721</v>
      </c>
      <c r="F1562" s="1">
        <v>74.50886009999999</v>
      </c>
      <c r="G1562" s="1" t="s">
        <v>54</v>
      </c>
      <c r="H1562" s="1" t="s">
        <v>55</v>
      </c>
      <c r="J1562" s="1" t="s">
        <v>56</v>
      </c>
      <c r="K1562" s="1" t="s">
        <v>26</v>
      </c>
      <c r="L1562" s="1" t="s">
        <v>27</v>
      </c>
      <c r="N1562" s="1" t="s">
        <v>743</v>
      </c>
      <c r="O1562" s="1" t="s">
        <v>57</v>
      </c>
      <c r="P1562" s="1" t="s">
        <v>1079</v>
      </c>
      <c r="Q1562" s="1" t="s">
        <v>1080</v>
      </c>
      <c r="R1562" s="1">
        <v>0.0</v>
      </c>
      <c r="S1562" s="1"/>
    </row>
    <row r="1563" ht="15.75" customHeight="1">
      <c r="A1563" s="1" t="s">
        <v>3735</v>
      </c>
      <c r="B1563" s="1" t="s">
        <v>3736</v>
      </c>
      <c r="C1563" s="1" t="s">
        <v>2897</v>
      </c>
      <c r="E1563" s="1">
        <v>25.7826833</v>
      </c>
      <c r="F1563" s="1">
        <v>87.4854951</v>
      </c>
      <c r="G1563" s="1" t="s">
        <v>54</v>
      </c>
      <c r="H1563" s="1" t="s">
        <v>55</v>
      </c>
      <c r="J1563" s="1" t="s">
        <v>56</v>
      </c>
      <c r="K1563" s="1" t="s">
        <v>26</v>
      </c>
      <c r="L1563" s="1" t="s">
        <v>27</v>
      </c>
      <c r="N1563" s="1" t="s">
        <v>498</v>
      </c>
      <c r="O1563" s="1" t="s">
        <v>57</v>
      </c>
      <c r="P1563" s="1" t="s">
        <v>3253</v>
      </c>
      <c r="Q1563" s="1" t="s">
        <v>3254</v>
      </c>
      <c r="R1563" s="1">
        <v>0.0</v>
      </c>
      <c r="S1563" s="1"/>
    </row>
    <row r="1564" ht="15.75" customHeight="1">
      <c r="A1564" s="1" t="s">
        <v>3737</v>
      </c>
      <c r="B1564" s="1" t="s">
        <v>3738</v>
      </c>
      <c r="C1564" s="1" t="s">
        <v>148</v>
      </c>
      <c r="E1564" s="1">
        <v>19.0864287</v>
      </c>
      <c r="F1564" s="1">
        <v>72.88985170000001</v>
      </c>
      <c r="G1564" s="1" t="s">
        <v>54</v>
      </c>
      <c r="H1564" s="1" t="s">
        <v>55</v>
      </c>
      <c r="J1564" s="1" t="s">
        <v>56</v>
      </c>
      <c r="K1564" s="1" t="s">
        <v>26</v>
      </c>
      <c r="L1564" s="1" t="s">
        <v>27</v>
      </c>
      <c r="N1564" s="1" t="s">
        <v>143</v>
      </c>
      <c r="O1564" s="1" t="s">
        <v>57</v>
      </c>
      <c r="P1564" s="1" t="s">
        <v>2300</v>
      </c>
      <c r="Q1564" s="1" t="s">
        <v>2301</v>
      </c>
      <c r="R1564" s="1">
        <v>3.0</v>
      </c>
      <c r="S1564" s="1"/>
    </row>
    <row r="1565" ht="15.75" customHeight="1">
      <c r="A1565" s="1" t="s">
        <v>3739</v>
      </c>
      <c r="B1565" s="1" t="s">
        <v>3740</v>
      </c>
      <c r="C1565" s="1" t="s">
        <v>758</v>
      </c>
      <c r="E1565" s="1">
        <v>23.1855312</v>
      </c>
      <c r="F1565" s="1">
        <v>77.4172332</v>
      </c>
      <c r="G1565" s="1" t="s">
        <v>54</v>
      </c>
      <c r="H1565" s="1" t="s">
        <v>55</v>
      </c>
      <c r="J1565" s="1" t="s">
        <v>56</v>
      </c>
      <c r="K1565" s="1" t="s">
        <v>26</v>
      </c>
      <c r="L1565" s="1" t="s">
        <v>27</v>
      </c>
      <c r="N1565" s="1" t="s">
        <v>732</v>
      </c>
      <c r="O1565" s="1" t="s">
        <v>57</v>
      </c>
      <c r="P1565" s="1" t="s">
        <v>3243</v>
      </c>
      <c r="Q1565" s="1" t="s">
        <v>3244</v>
      </c>
      <c r="R1565" s="1">
        <v>0.0</v>
      </c>
      <c r="S1565" s="1"/>
    </row>
    <row r="1566" ht="15.75" customHeight="1">
      <c r="A1566" s="1" t="s">
        <v>3741</v>
      </c>
      <c r="B1566" s="1" t="s">
        <v>3742</v>
      </c>
      <c r="C1566" s="1" t="s">
        <v>151</v>
      </c>
      <c r="E1566" s="1">
        <v>18.526891</v>
      </c>
      <c r="F1566" s="1">
        <v>73.876189</v>
      </c>
      <c r="G1566" s="1" t="s">
        <v>54</v>
      </c>
      <c r="H1566" s="1" t="s">
        <v>55</v>
      </c>
      <c r="J1566" s="1" t="s">
        <v>56</v>
      </c>
      <c r="K1566" s="1" t="s">
        <v>26</v>
      </c>
      <c r="L1566" s="1" t="s">
        <v>27</v>
      </c>
      <c r="N1566" s="1" t="s">
        <v>143</v>
      </c>
      <c r="O1566" s="1" t="s">
        <v>57</v>
      </c>
      <c r="P1566" s="1" t="s">
        <v>3233</v>
      </c>
      <c r="Q1566" s="1" t="s">
        <v>3234</v>
      </c>
      <c r="R1566" s="1">
        <v>0.0</v>
      </c>
      <c r="S1566" s="1"/>
    </row>
    <row r="1567" ht="15.75" customHeight="1">
      <c r="A1567" s="1" t="s">
        <v>3743</v>
      </c>
      <c r="B1567" s="1" t="s">
        <v>3744</v>
      </c>
      <c r="C1567" s="1" t="s">
        <v>174</v>
      </c>
      <c r="E1567" s="1">
        <v>28.5517157</v>
      </c>
      <c r="F1567" s="1">
        <v>77.05780349999999</v>
      </c>
      <c r="G1567" s="1" t="s">
        <v>54</v>
      </c>
      <c r="H1567" s="1" t="s">
        <v>55</v>
      </c>
      <c r="J1567" s="1" t="s">
        <v>56</v>
      </c>
      <c r="K1567" s="1" t="s">
        <v>26</v>
      </c>
      <c r="L1567" s="1" t="s">
        <v>27</v>
      </c>
      <c r="N1567" s="1" t="s">
        <v>174</v>
      </c>
      <c r="O1567" s="1" t="s">
        <v>57</v>
      </c>
      <c r="P1567" s="1" t="s">
        <v>1749</v>
      </c>
      <c r="Q1567" s="1" t="s">
        <v>1750</v>
      </c>
      <c r="R1567" s="1">
        <v>1.0</v>
      </c>
      <c r="S1567" s="1"/>
    </row>
    <row r="1568" ht="15.75" customHeight="1">
      <c r="A1568" s="1" t="s">
        <v>3745</v>
      </c>
      <c r="B1568" s="1" t="s">
        <v>3746</v>
      </c>
      <c r="C1568" s="1" t="s">
        <v>3747</v>
      </c>
      <c r="E1568" s="1">
        <v>14.6799133</v>
      </c>
      <c r="F1568" s="1">
        <v>77.5974681</v>
      </c>
      <c r="G1568" s="1" t="s">
        <v>54</v>
      </c>
      <c r="H1568" s="1" t="s">
        <v>55</v>
      </c>
      <c r="J1568" s="1" t="s">
        <v>56</v>
      </c>
      <c r="K1568" s="1" t="s">
        <v>26</v>
      </c>
      <c r="L1568" s="1" t="s">
        <v>27</v>
      </c>
      <c r="N1568" s="1" t="s">
        <v>464</v>
      </c>
      <c r="O1568" s="1" t="s">
        <v>57</v>
      </c>
      <c r="P1568" s="1" t="s">
        <v>2074</v>
      </c>
      <c r="Q1568" s="1" t="s">
        <v>2075</v>
      </c>
      <c r="R1568" s="1">
        <v>0.0</v>
      </c>
      <c r="S1568" s="1"/>
    </row>
    <row r="1569" ht="15.75" customHeight="1">
      <c r="A1569" s="1" t="s">
        <v>3748</v>
      </c>
      <c r="B1569" s="1" t="s">
        <v>3749</v>
      </c>
      <c r="C1569" s="1" t="s">
        <v>242</v>
      </c>
      <c r="E1569" s="1">
        <v>21.1938358</v>
      </c>
      <c r="F1569" s="1">
        <v>72.7982942</v>
      </c>
      <c r="G1569" s="1" t="s">
        <v>54</v>
      </c>
      <c r="H1569" s="1" t="s">
        <v>55</v>
      </c>
      <c r="J1569" s="1" t="s">
        <v>56</v>
      </c>
      <c r="K1569" s="1" t="s">
        <v>26</v>
      </c>
      <c r="L1569" s="1" t="s">
        <v>27</v>
      </c>
      <c r="N1569" s="1" t="s">
        <v>216</v>
      </c>
      <c r="O1569" s="1" t="s">
        <v>57</v>
      </c>
      <c r="P1569" s="1" t="s">
        <v>3342</v>
      </c>
      <c r="Q1569" s="1" t="s">
        <v>3343</v>
      </c>
      <c r="R1569" s="1">
        <v>3.0</v>
      </c>
      <c r="S1569" s="1"/>
    </row>
    <row r="1570" ht="15.75" customHeight="1">
      <c r="A1570" s="1" t="s">
        <v>3750</v>
      </c>
      <c r="B1570" s="1" t="s">
        <v>3751</v>
      </c>
      <c r="C1570" s="1" t="s">
        <v>1078</v>
      </c>
      <c r="E1570" s="1">
        <v>13.0704713</v>
      </c>
      <c r="F1570" s="1">
        <v>77.5911844</v>
      </c>
      <c r="G1570" s="1" t="s">
        <v>54</v>
      </c>
      <c r="H1570" s="1" t="s">
        <v>55</v>
      </c>
      <c r="J1570" s="1" t="s">
        <v>56</v>
      </c>
      <c r="K1570" s="1" t="s">
        <v>26</v>
      </c>
      <c r="L1570" s="1" t="s">
        <v>27</v>
      </c>
      <c r="N1570" s="1" t="s">
        <v>743</v>
      </c>
      <c r="O1570" s="1" t="s">
        <v>57</v>
      </c>
      <c r="P1570" s="1" t="s">
        <v>1079</v>
      </c>
      <c r="Q1570" s="1" t="s">
        <v>1080</v>
      </c>
      <c r="R1570" s="1">
        <v>2.0</v>
      </c>
      <c r="S1570" s="1"/>
    </row>
    <row r="1571" ht="15.75" customHeight="1">
      <c r="A1571" s="1" t="s">
        <v>3752</v>
      </c>
      <c r="B1571" s="1" t="s">
        <v>3753</v>
      </c>
      <c r="C1571" s="1" t="s">
        <v>1949</v>
      </c>
      <c r="E1571" s="1">
        <v>30.3013774</v>
      </c>
      <c r="F1571" s="1">
        <v>78.00909539999999</v>
      </c>
      <c r="G1571" s="1" t="s">
        <v>54</v>
      </c>
      <c r="H1571" s="1" t="s">
        <v>55</v>
      </c>
      <c r="J1571" s="1" t="s">
        <v>56</v>
      </c>
      <c r="K1571" s="1" t="s">
        <v>26</v>
      </c>
      <c r="L1571" s="1" t="s">
        <v>27</v>
      </c>
      <c r="N1571" s="1" t="s">
        <v>1950</v>
      </c>
      <c r="O1571" s="1" t="s">
        <v>57</v>
      </c>
      <c r="P1571" s="1" t="s">
        <v>887</v>
      </c>
      <c r="Q1571" s="1" t="s">
        <v>888</v>
      </c>
      <c r="R1571" s="1">
        <v>1.0</v>
      </c>
      <c r="S1571" s="1"/>
    </row>
    <row r="1572" ht="15.75" customHeight="1">
      <c r="A1572" s="1" t="s">
        <v>3754</v>
      </c>
      <c r="B1572" s="1" t="s">
        <v>3755</v>
      </c>
      <c r="C1572" s="1" t="s">
        <v>1412</v>
      </c>
      <c r="E1572" s="1">
        <v>15.4592461</v>
      </c>
      <c r="F1572" s="1">
        <v>75.0074214</v>
      </c>
      <c r="G1572" s="1" t="s">
        <v>54</v>
      </c>
      <c r="H1572" s="1" t="s">
        <v>55</v>
      </c>
      <c r="J1572" s="1" t="s">
        <v>56</v>
      </c>
      <c r="K1572" s="1" t="s">
        <v>26</v>
      </c>
      <c r="L1572" s="1" t="s">
        <v>27</v>
      </c>
      <c r="N1572" s="1" t="s">
        <v>743</v>
      </c>
      <c r="O1572" s="1" t="s">
        <v>57</v>
      </c>
      <c r="P1572" s="1" t="s">
        <v>1079</v>
      </c>
      <c r="Q1572" s="1" t="s">
        <v>1080</v>
      </c>
      <c r="R1572" s="1">
        <v>0.0</v>
      </c>
      <c r="S1572" s="1"/>
    </row>
    <row r="1573" ht="15.75" customHeight="1">
      <c r="A1573" s="1" t="s">
        <v>3756</v>
      </c>
      <c r="B1573" s="1" t="s">
        <v>3757</v>
      </c>
      <c r="C1573" s="1" t="s">
        <v>185</v>
      </c>
      <c r="E1573" s="1">
        <v>17.3288743</v>
      </c>
      <c r="F1573" s="1">
        <v>78.55410739999999</v>
      </c>
      <c r="G1573" s="1" t="s">
        <v>54</v>
      </c>
      <c r="H1573" s="1" t="s">
        <v>55</v>
      </c>
      <c r="J1573" s="1" t="s">
        <v>56</v>
      </c>
      <c r="K1573" s="1" t="s">
        <v>26</v>
      </c>
      <c r="L1573" s="1" t="s">
        <v>27</v>
      </c>
      <c r="N1573" s="1" t="s">
        <v>186</v>
      </c>
      <c r="O1573" s="1" t="s">
        <v>57</v>
      </c>
      <c r="P1573" s="1" t="s">
        <v>2074</v>
      </c>
      <c r="Q1573" s="1" t="s">
        <v>2075</v>
      </c>
      <c r="R1573" s="1">
        <v>0.0</v>
      </c>
      <c r="S1573" s="1"/>
    </row>
    <row r="1574" ht="15.75" customHeight="1">
      <c r="A1574" s="1" t="s">
        <v>3758</v>
      </c>
      <c r="B1574" s="1" t="s">
        <v>3759</v>
      </c>
      <c r="C1574" s="1" t="s">
        <v>3760</v>
      </c>
      <c r="E1574" s="1">
        <v>22.2247827</v>
      </c>
      <c r="F1574" s="1">
        <v>84.82023149999999</v>
      </c>
      <c r="G1574" s="1" t="s">
        <v>54</v>
      </c>
      <c r="H1574" s="1" t="s">
        <v>55</v>
      </c>
      <c r="J1574" s="1" t="s">
        <v>56</v>
      </c>
      <c r="K1574" s="1" t="s">
        <v>26</v>
      </c>
      <c r="L1574" s="1" t="s">
        <v>27</v>
      </c>
      <c r="N1574" s="1" t="s">
        <v>28</v>
      </c>
      <c r="O1574" s="1" t="s">
        <v>57</v>
      </c>
      <c r="P1574" s="1" t="s">
        <v>3131</v>
      </c>
      <c r="Q1574" s="1" t="s">
        <v>3132</v>
      </c>
      <c r="R1574" s="1">
        <v>0.0</v>
      </c>
      <c r="S1574" s="1"/>
    </row>
    <row r="1575" ht="15.75" customHeight="1">
      <c r="A1575" s="1" t="s">
        <v>3761</v>
      </c>
      <c r="B1575" s="1" t="s">
        <v>3762</v>
      </c>
      <c r="C1575" s="1" t="s">
        <v>151</v>
      </c>
      <c r="E1575" s="1">
        <v>18.518804</v>
      </c>
      <c r="F1575" s="1">
        <v>73.9318479</v>
      </c>
      <c r="G1575" s="1" t="s">
        <v>54</v>
      </c>
      <c r="H1575" s="1" t="s">
        <v>55</v>
      </c>
      <c r="J1575" s="1" t="s">
        <v>56</v>
      </c>
      <c r="K1575" s="1" t="s">
        <v>26</v>
      </c>
      <c r="L1575" s="1" t="s">
        <v>27</v>
      </c>
      <c r="N1575" s="1" t="s">
        <v>143</v>
      </c>
      <c r="O1575" s="1" t="s">
        <v>57</v>
      </c>
      <c r="P1575" s="1" t="s">
        <v>3233</v>
      </c>
      <c r="Q1575" s="1" t="s">
        <v>3234</v>
      </c>
      <c r="R1575" s="1">
        <v>1.0</v>
      </c>
      <c r="S1575" s="1"/>
    </row>
    <row r="1576" ht="15.75" customHeight="1">
      <c r="A1576" s="1" t="s">
        <v>3763</v>
      </c>
      <c r="B1576" s="1" t="s">
        <v>3764</v>
      </c>
      <c r="C1576" s="1" t="s">
        <v>1121</v>
      </c>
      <c r="E1576" s="1">
        <v>12.970385</v>
      </c>
      <c r="F1576" s="1">
        <v>77.64099809999999</v>
      </c>
      <c r="G1576" s="1" t="s">
        <v>54</v>
      </c>
      <c r="H1576" s="1" t="s">
        <v>55</v>
      </c>
      <c r="J1576" s="1" t="s">
        <v>56</v>
      </c>
      <c r="K1576" s="1" t="s">
        <v>26</v>
      </c>
      <c r="L1576" s="1" t="s">
        <v>27</v>
      </c>
      <c r="N1576" s="1" t="s">
        <v>743</v>
      </c>
      <c r="O1576" s="1" t="s">
        <v>57</v>
      </c>
      <c r="P1576" s="1" t="s">
        <v>1079</v>
      </c>
      <c r="Q1576" s="1" t="s">
        <v>1080</v>
      </c>
      <c r="R1576" s="1">
        <v>0.0</v>
      </c>
      <c r="S1576" s="1"/>
    </row>
    <row r="1577" ht="15.75" customHeight="1">
      <c r="A1577" s="1" t="s">
        <v>3765</v>
      </c>
      <c r="B1577" s="1" t="s">
        <v>3766</v>
      </c>
      <c r="C1577" s="1" t="s">
        <v>185</v>
      </c>
      <c r="E1577" s="1">
        <v>17.47762</v>
      </c>
      <c r="F1577" s="1">
        <v>78.4254153</v>
      </c>
      <c r="G1577" s="1" t="s">
        <v>54</v>
      </c>
      <c r="H1577" s="1" t="s">
        <v>55</v>
      </c>
      <c r="J1577" s="1" t="s">
        <v>56</v>
      </c>
      <c r="K1577" s="1" t="s">
        <v>26</v>
      </c>
      <c r="L1577" s="1" t="s">
        <v>27</v>
      </c>
      <c r="N1577" s="1" t="s">
        <v>186</v>
      </c>
      <c r="O1577" s="1" t="s">
        <v>57</v>
      </c>
      <c r="P1577" s="1" t="s">
        <v>2074</v>
      </c>
      <c r="Q1577" s="1" t="s">
        <v>2075</v>
      </c>
      <c r="R1577" s="1">
        <v>0.0</v>
      </c>
      <c r="S1577" s="1"/>
    </row>
    <row r="1578" ht="15.75" customHeight="1">
      <c r="A1578" s="1" t="s">
        <v>3767</v>
      </c>
      <c r="B1578" s="1" t="s">
        <v>3768</v>
      </c>
      <c r="C1578" s="1" t="s">
        <v>1078</v>
      </c>
      <c r="E1578" s="1">
        <v>12.9124302</v>
      </c>
      <c r="F1578" s="1">
        <v>77.6337179</v>
      </c>
      <c r="G1578" s="1" t="s">
        <v>54</v>
      </c>
      <c r="H1578" s="1" t="s">
        <v>55</v>
      </c>
      <c r="J1578" s="1" t="s">
        <v>56</v>
      </c>
      <c r="K1578" s="1" t="s">
        <v>26</v>
      </c>
      <c r="L1578" s="1" t="s">
        <v>27</v>
      </c>
      <c r="N1578" s="1" t="s">
        <v>743</v>
      </c>
      <c r="O1578" s="1" t="s">
        <v>57</v>
      </c>
      <c r="P1578" s="1" t="s">
        <v>1079</v>
      </c>
      <c r="Q1578" s="1" t="s">
        <v>1080</v>
      </c>
      <c r="R1578" s="1">
        <v>2.0</v>
      </c>
      <c r="S1578" s="1"/>
    </row>
    <row r="1579" ht="15.75" customHeight="1">
      <c r="A1579" s="1" t="s">
        <v>3769</v>
      </c>
      <c r="B1579" s="1" t="s">
        <v>3770</v>
      </c>
      <c r="C1579" s="1" t="s">
        <v>3771</v>
      </c>
      <c r="E1579" s="1">
        <v>21.5242122</v>
      </c>
      <c r="F1579" s="1">
        <v>70.4382913</v>
      </c>
      <c r="G1579" s="1" t="s">
        <v>54</v>
      </c>
      <c r="H1579" s="1" t="s">
        <v>55</v>
      </c>
      <c r="J1579" s="1" t="s">
        <v>56</v>
      </c>
      <c r="K1579" s="1" t="s">
        <v>26</v>
      </c>
      <c r="L1579" s="1" t="s">
        <v>27</v>
      </c>
      <c r="N1579" s="1" t="s">
        <v>216</v>
      </c>
      <c r="O1579" s="1" t="s">
        <v>57</v>
      </c>
      <c r="P1579" s="1" t="s">
        <v>3342</v>
      </c>
      <c r="Q1579" s="1" t="s">
        <v>3343</v>
      </c>
      <c r="R1579" s="1">
        <v>0.0</v>
      </c>
      <c r="S1579" s="1"/>
    </row>
    <row r="1580" ht="15.75" customHeight="1">
      <c r="A1580" s="1" t="s">
        <v>3772</v>
      </c>
      <c r="B1580" s="1" t="s">
        <v>3773</v>
      </c>
      <c r="C1580" s="1" t="s">
        <v>151</v>
      </c>
      <c r="E1580" s="1">
        <v>18.5540554</v>
      </c>
      <c r="F1580" s="1">
        <v>73.80981589999999</v>
      </c>
      <c r="G1580" s="1" t="s">
        <v>54</v>
      </c>
      <c r="H1580" s="1" t="s">
        <v>55</v>
      </c>
      <c r="J1580" s="1" t="s">
        <v>56</v>
      </c>
      <c r="K1580" s="1" t="s">
        <v>26</v>
      </c>
      <c r="L1580" s="1" t="s">
        <v>27</v>
      </c>
      <c r="N1580" s="1" t="s">
        <v>143</v>
      </c>
      <c r="O1580" s="1" t="s">
        <v>57</v>
      </c>
      <c r="P1580" s="1" t="s">
        <v>3233</v>
      </c>
      <c r="Q1580" s="1" t="s">
        <v>3234</v>
      </c>
      <c r="R1580" s="1">
        <v>0.0</v>
      </c>
      <c r="S1580" s="1"/>
    </row>
    <row r="1581" ht="15.75" customHeight="1">
      <c r="A1581" s="1" t="s">
        <v>3774</v>
      </c>
      <c r="B1581" s="1" t="s">
        <v>3775</v>
      </c>
      <c r="C1581" s="1" t="s">
        <v>446</v>
      </c>
      <c r="E1581" s="1">
        <v>22.2851111</v>
      </c>
      <c r="F1581" s="1">
        <v>73.1640865</v>
      </c>
      <c r="G1581" s="1" t="s">
        <v>54</v>
      </c>
      <c r="H1581" s="1" t="s">
        <v>55</v>
      </c>
      <c r="J1581" s="1" t="s">
        <v>56</v>
      </c>
      <c r="K1581" s="1" t="s">
        <v>26</v>
      </c>
      <c r="L1581" s="1" t="s">
        <v>27</v>
      </c>
      <c r="N1581" s="1" t="s">
        <v>216</v>
      </c>
      <c r="O1581" s="1" t="s">
        <v>57</v>
      </c>
      <c r="P1581" s="1" t="s">
        <v>3342</v>
      </c>
      <c r="Q1581" s="1" t="s">
        <v>3343</v>
      </c>
      <c r="R1581" s="1">
        <v>0.0</v>
      </c>
      <c r="S1581" s="1"/>
    </row>
    <row r="1582" ht="15.75" customHeight="1">
      <c r="A1582" s="1" t="s">
        <v>3776</v>
      </c>
      <c r="B1582" s="1" t="s">
        <v>3777</v>
      </c>
      <c r="C1582" s="1" t="s">
        <v>3778</v>
      </c>
      <c r="E1582" s="1">
        <v>18.6648127</v>
      </c>
      <c r="F1582" s="1">
        <v>78.1091405</v>
      </c>
      <c r="G1582" s="1" t="s">
        <v>54</v>
      </c>
      <c r="H1582" s="1" t="s">
        <v>55</v>
      </c>
      <c r="J1582" s="1" t="s">
        <v>56</v>
      </c>
      <c r="K1582" s="1" t="s">
        <v>26</v>
      </c>
      <c r="L1582" s="1" t="s">
        <v>27</v>
      </c>
      <c r="N1582" s="1" t="s">
        <v>186</v>
      </c>
      <c r="O1582" s="1" t="s">
        <v>57</v>
      </c>
      <c r="P1582" s="1" t="s">
        <v>2074</v>
      </c>
      <c r="Q1582" s="1" t="s">
        <v>2075</v>
      </c>
      <c r="R1582" s="1">
        <v>0.0</v>
      </c>
      <c r="S1582" s="1"/>
    </row>
    <row r="1583" ht="15.75" customHeight="1">
      <c r="A1583" s="1" t="s">
        <v>3779</v>
      </c>
      <c r="B1583" s="1" t="s">
        <v>3780</v>
      </c>
      <c r="C1583" s="1" t="s">
        <v>3781</v>
      </c>
      <c r="E1583" s="1">
        <v>10.6622723</v>
      </c>
      <c r="F1583" s="1">
        <v>77.01393279999999</v>
      </c>
      <c r="G1583" s="1" t="s">
        <v>54</v>
      </c>
      <c r="H1583" s="1" t="s">
        <v>55</v>
      </c>
      <c r="J1583" s="1" t="s">
        <v>56</v>
      </c>
      <c r="K1583" s="1" t="s">
        <v>26</v>
      </c>
      <c r="L1583" s="1" t="s">
        <v>27</v>
      </c>
      <c r="N1583" s="1" t="s">
        <v>1097</v>
      </c>
      <c r="O1583" s="1" t="s">
        <v>57</v>
      </c>
      <c r="P1583" s="1" t="s">
        <v>3219</v>
      </c>
      <c r="Q1583" s="1" t="s">
        <v>3220</v>
      </c>
      <c r="R1583" s="1">
        <v>0.0</v>
      </c>
      <c r="S1583" s="1"/>
    </row>
    <row r="1584" ht="15.75" customHeight="1">
      <c r="A1584" s="1" t="s">
        <v>3782</v>
      </c>
      <c r="B1584" s="1" t="s">
        <v>3783</v>
      </c>
      <c r="C1584" s="1" t="s">
        <v>1112</v>
      </c>
      <c r="E1584" s="1">
        <v>13.0384514</v>
      </c>
      <c r="F1584" s="1">
        <v>80.2681118</v>
      </c>
      <c r="G1584" s="1" t="s">
        <v>54</v>
      </c>
      <c r="H1584" s="1" t="s">
        <v>55</v>
      </c>
      <c r="J1584" s="1" t="s">
        <v>56</v>
      </c>
      <c r="K1584" s="1" t="s">
        <v>26</v>
      </c>
      <c r="L1584" s="1" t="s">
        <v>27</v>
      </c>
      <c r="N1584" s="1" t="s">
        <v>1097</v>
      </c>
      <c r="O1584" s="1" t="s">
        <v>57</v>
      </c>
      <c r="P1584" s="1" t="s">
        <v>3219</v>
      </c>
      <c r="Q1584" s="1" t="s">
        <v>3220</v>
      </c>
      <c r="R1584" s="1">
        <v>1.0</v>
      </c>
      <c r="S1584" s="1"/>
    </row>
    <row r="1585" ht="15.75" customHeight="1">
      <c r="A1585" s="1" t="s">
        <v>3784</v>
      </c>
      <c r="B1585" s="1" t="s">
        <v>3785</v>
      </c>
      <c r="C1585" s="1" t="s">
        <v>1035</v>
      </c>
      <c r="E1585" s="1">
        <v>26.1571612</v>
      </c>
      <c r="F1585" s="1">
        <v>91.777863</v>
      </c>
      <c r="G1585" s="1" t="s">
        <v>54</v>
      </c>
      <c r="H1585" s="1" t="s">
        <v>55</v>
      </c>
      <c r="J1585" s="1" t="s">
        <v>56</v>
      </c>
      <c r="K1585" s="1" t="s">
        <v>26</v>
      </c>
      <c r="L1585" s="1" t="s">
        <v>27</v>
      </c>
      <c r="N1585" s="1" t="s">
        <v>1036</v>
      </c>
      <c r="O1585" s="1" t="s">
        <v>57</v>
      </c>
      <c r="P1585" s="1" t="s">
        <v>3131</v>
      </c>
      <c r="Q1585" s="1" t="s">
        <v>3132</v>
      </c>
      <c r="R1585" s="1">
        <v>0.0</v>
      </c>
      <c r="S1585" s="1"/>
    </row>
    <row r="1586" ht="15.75" customHeight="1">
      <c r="A1586" s="1" t="s">
        <v>3786</v>
      </c>
      <c r="B1586" s="1" t="s">
        <v>3787</v>
      </c>
      <c r="C1586" s="1" t="s">
        <v>2089</v>
      </c>
      <c r="E1586" s="1">
        <v>23.3681614</v>
      </c>
      <c r="F1586" s="1">
        <v>85.3389887</v>
      </c>
      <c r="G1586" s="1" t="s">
        <v>54</v>
      </c>
      <c r="H1586" s="1" t="s">
        <v>55</v>
      </c>
      <c r="J1586" s="1" t="s">
        <v>56</v>
      </c>
      <c r="K1586" s="1" t="s">
        <v>26</v>
      </c>
      <c r="L1586" s="1" t="s">
        <v>27</v>
      </c>
      <c r="N1586" s="1" t="s">
        <v>506</v>
      </c>
      <c r="O1586" s="1" t="s">
        <v>57</v>
      </c>
      <c r="P1586" s="1" t="s">
        <v>3253</v>
      </c>
      <c r="Q1586" s="1" t="s">
        <v>3254</v>
      </c>
      <c r="R1586" s="1">
        <v>0.0</v>
      </c>
      <c r="S1586" s="1"/>
    </row>
    <row r="1587" ht="15.75" customHeight="1">
      <c r="A1587" s="1" t="s">
        <v>3788</v>
      </c>
      <c r="B1587" s="1" t="s">
        <v>3789</v>
      </c>
      <c r="C1587" s="1" t="s">
        <v>148</v>
      </c>
      <c r="E1587" s="1">
        <v>19.125071</v>
      </c>
      <c r="F1587" s="1">
        <v>73.0103638</v>
      </c>
      <c r="G1587" s="1" t="s">
        <v>54</v>
      </c>
      <c r="H1587" s="1" t="s">
        <v>55</v>
      </c>
      <c r="J1587" s="1" t="s">
        <v>56</v>
      </c>
      <c r="K1587" s="1" t="s">
        <v>26</v>
      </c>
      <c r="L1587" s="1" t="s">
        <v>27</v>
      </c>
      <c r="N1587" s="1" t="s">
        <v>143</v>
      </c>
      <c r="O1587" s="1" t="s">
        <v>57</v>
      </c>
      <c r="P1587" s="1" t="s">
        <v>2300</v>
      </c>
      <c r="Q1587" s="1" t="s">
        <v>2301</v>
      </c>
      <c r="R1587" s="1">
        <v>0.0</v>
      </c>
      <c r="S1587" s="1"/>
    </row>
    <row r="1588" ht="15.75" customHeight="1">
      <c r="A1588" s="1" t="s">
        <v>3790</v>
      </c>
      <c r="B1588" s="1" t="s">
        <v>3791</v>
      </c>
      <c r="C1588" s="1" t="s">
        <v>1225</v>
      </c>
      <c r="E1588" s="1">
        <v>17.7298833</v>
      </c>
      <c r="F1588" s="1">
        <v>83.3068165</v>
      </c>
      <c r="G1588" s="1" t="s">
        <v>54</v>
      </c>
      <c r="H1588" s="1" t="s">
        <v>55</v>
      </c>
      <c r="J1588" s="1" t="s">
        <v>56</v>
      </c>
      <c r="K1588" s="1" t="s">
        <v>26</v>
      </c>
      <c r="L1588" s="1" t="s">
        <v>27</v>
      </c>
      <c r="N1588" s="1" t="s">
        <v>464</v>
      </c>
      <c r="O1588" s="1" t="s">
        <v>57</v>
      </c>
      <c r="P1588" s="1" t="s">
        <v>2074</v>
      </c>
      <c r="Q1588" s="1" t="s">
        <v>2075</v>
      </c>
      <c r="R1588" s="1">
        <v>0.0</v>
      </c>
      <c r="S1588" s="1"/>
    </row>
    <row r="1589" ht="15.75" customHeight="1">
      <c r="A1589" s="1" t="s">
        <v>3792</v>
      </c>
      <c r="B1589" s="1" t="s">
        <v>3793</v>
      </c>
      <c r="C1589" s="1" t="s">
        <v>617</v>
      </c>
      <c r="E1589" s="1">
        <v>26.780959</v>
      </c>
      <c r="F1589" s="1">
        <v>80.9252138</v>
      </c>
      <c r="G1589" s="1" t="s">
        <v>54</v>
      </c>
      <c r="H1589" s="1" t="s">
        <v>55</v>
      </c>
      <c r="J1589" s="1" t="s">
        <v>56</v>
      </c>
      <c r="K1589" s="1" t="s">
        <v>26</v>
      </c>
      <c r="L1589" s="1" t="s">
        <v>27</v>
      </c>
      <c r="N1589" s="1" t="s">
        <v>28</v>
      </c>
      <c r="O1589" s="1" t="s">
        <v>57</v>
      </c>
      <c r="P1589" s="1" t="s">
        <v>733</v>
      </c>
      <c r="Q1589" s="1" t="s">
        <v>734</v>
      </c>
      <c r="R1589" s="1">
        <v>5.0</v>
      </c>
      <c r="S1589" s="1"/>
    </row>
    <row r="1590" ht="15.75" customHeight="1">
      <c r="A1590" s="1" t="s">
        <v>3794</v>
      </c>
      <c r="B1590" s="1" t="s">
        <v>3795</v>
      </c>
      <c r="C1590" s="1" t="s">
        <v>531</v>
      </c>
      <c r="E1590" s="1">
        <v>22.7201442</v>
      </c>
      <c r="F1590" s="1">
        <v>88.4875371</v>
      </c>
      <c r="G1590" s="1" t="s">
        <v>54</v>
      </c>
      <c r="H1590" s="1" t="s">
        <v>55</v>
      </c>
      <c r="J1590" s="1" t="s">
        <v>56</v>
      </c>
      <c r="K1590" s="1" t="s">
        <v>26</v>
      </c>
      <c r="L1590" s="1" t="s">
        <v>27</v>
      </c>
      <c r="N1590" s="1" t="s">
        <v>532</v>
      </c>
      <c r="O1590" s="1" t="s">
        <v>57</v>
      </c>
      <c r="P1590" s="1" t="s">
        <v>3135</v>
      </c>
      <c r="Q1590" s="1" t="s">
        <v>3136</v>
      </c>
      <c r="R1590" s="1">
        <v>0.0</v>
      </c>
      <c r="S1590" s="1"/>
    </row>
    <row r="1591" ht="15.75" customHeight="1">
      <c r="A1591" s="1" t="s">
        <v>3796</v>
      </c>
      <c r="B1591" s="1" t="s">
        <v>3797</v>
      </c>
      <c r="C1591" s="1" t="s">
        <v>2094</v>
      </c>
      <c r="E1591" s="1">
        <v>16.6984605</v>
      </c>
      <c r="F1591" s="1">
        <v>74.23033439999999</v>
      </c>
      <c r="G1591" s="1" t="s">
        <v>54</v>
      </c>
      <c r="H1591" s="1" t="s">
        <v>55</v>
      </c>
      <c r="J1591" s="1" t="s">
        <v>56</v>
      </c>
      <c r="K1591" s="1" t="s">
        <v>26</v>
      </c>
      <c r="L1591" s="1" t="s">
        <v>27</v>
      </c>
      <c r="N1591" s="1" t="s">
        <v>143</v>
      </c>
      <c r="O1591" s="1" t="s">
        <v>57</v>
      </c>
      <c r="P1591" s="1" t="s">
        <v>2239</v>
      </c>
      <c r="Q1591" s="1" t="s">
        <v>2240</v>
      </c>
      <c r="R1591" s="1">
        <v>0.0</v>
      </c>
      <c r="S1591" s="1"/>
    </row>
    <row r="1592" ht="15.75" customHeight="1">
      <c r="A1592" s="1" t="s">
        <v>3798</v>
      </c>
      <c r="B1592" s="1" t="s">
        <v>3799</v>
      </c>
      <c r="C1592" s="1" t="s">
        <v>1078</v>
      </c>
      <c r="E1592" s="1">
        <v>12.9559797</v>
      </c>
      <c r="F1592" s="1">
        <v>77.7185907</v>
      </c>
      <c r="G1592" s="1" t="s">
        <v>54</v>
      </c>
      <c r="H1592" s="1" t="s">
        <v>55</v>
      </c>
      <c r="J1592" s="1" t="s">
        <v>56</v>
      </c>
      <c r="K1592" s="1" t="s">
        <v>26</v>
      </c>
      <c r="L1592" s="1" t="s">
        <v>27</v>
      </c>
      <c r="N1592" s="1" t="s">
        <v>743</v>
      </c>
      <c r="O1592" s="1" t="s">
        <v>57</v>
      </c>
      <c r="P1592" s="1" t="s">
        <v>1079</v>
      </c>
      <c r="Q1592" s="1" t="s">
        <v>1080</v>
      </c>
      <c r="R1592" s="1">
        <v>4.0</v>
      </c>
      <c r="S1592" s="1"/>
    </row>
    <row r="1593" ht="15.75" customHeight="1">
      <c r="A1593" s="1" t="s">
        <v>3800</v>
      </c>
      <c r="B1593" s="1" t="s">
        <v>3801</v>
      </c>
      <c r="C1593" s="1" t="s">
        <v>3374</v>
      </c>
      <c r="E1593" s="1">
        <v>21.2181166</v>
      </c>
      <c r="F1593" s="1">
        <v>81.3226857</v>
      </c>
      <c r="G1593" s="1" t="s">
        <v>54</v>
      </c>
      <c r="H1593" s="1" t="s">
        <v>55</v>
      </c>
      <c r="J1593" s="1" t="s">
        <v>56</v>
      </c>
      <c r="K1593" s="1" t="s">
        <v>26</v>
      </c>
      <c r="L1593" s="1" t="s">
        <v>27</v>
      </c>
      <c r="N1593" s="1" t="s">
        <v>1989</v>
      </c>
      <c r="O1593" s="1" t="s">
        <v>57</v>
      </c>
      <c r="P1593" s="1" t="s">
        <v>3243</v>
      </c>
      <c r="Q1593" s="1" t="s">
        <v>3244</v>
      </c>
      <c r="R1593" s="1">
        <v>0.0</v>
      </c>
      <c r="S1593" s="1"/>
    </row>
    <row r="1594" ht="15.75" customHeight="1">
      <c r="A1594" s="1" t="s">
        <v>3802</v>
      </c>
      <c r="B1594" s="1" t="s">
        <v>3803</v>
      </c>
      <c r="C1594" s="1" t="s">
        <v>3092</v>
      </c>
      <c r="E1594" s="1">
        <v>27.5808141</v>
      </c>
      <c r="F1594" s="1">
        <v>76.615584</v>
      </c>
      <c r="G1594" s="1" t="s">
        <v>54</v>
      </c>
      <c r="H1594" s="1" t="s">
        <v>55</v>
      </c>
      <c r="J1594" s="1" t="s">
        <v>56</v>
      </c>
      <c r="K1594" s="1" t="s">
        <v>26</v>
      </c>
      <c r="L1594" s="1" t="s">
        <v>27</v>
      </c>
      <c r="N1594" s="1" t="s">
        <v>849</v>
      </c>
      <c r="O1594" s="1" t="s">
        <v>57</v>
      </c>
      <c r="P1594" s="1" t="s">
        <v>887</v>
      </c>
      <c r="Q1594" s="1" t="s">
        <v>888</v>
      </c>
      <c r="R1594" s="1">
        <v>0.0</v>
      </c>
      <c r="S1594" s="1"/>
    </row>
    <row r="1595" ht="15.75" customHeight="1">
      <c r="A1595" s="1" t="s">
        <v>3804</v>
      </c>
      <c r="B1595" s="1" t="s">
        <v>3805</v>
      </c>
      <c r="C1595" s="1" t="s">
        <v>3806</v>
      </c>
      <c r="E1595" s="1">
        <v>15.2748402</v>
      </c>
      <c r="F1595" s="1">
        <v>76.38309269999999</v>
      </c>
      <c r="G1595" s="1" t="s">
        <v>54</v>
      </c>
      <c r="H1595" s="1" t="s">
        <v>55</v>
      </c>
      <c r="J1595" s="1" t="s">
        <v>56</v>
      </c>
      <c r="K1595" s="1" t="s">
        <v>26</v>
      </c>
      <c r="L1595" s="1" t="s">
        <v>27</v>
      </c>
      <c r="N1595" s="1" t="s">
        <v>743</v>
      </c>
      <c r="O1595" s="1" t="s">
        <v>57</v>
      </c>
      <c r="P1595" s="1" t="s">
        <v>1079</v>
      </c>
      <c r="Q1595" s="1" t="s">
        <v>1080</v>
      </c>
      <c r="R1595" s="1">
        <v>0.0</v>
      </c>
      <c r="S1595" s="1"/>
    </row>
    <row r="1596" ht="15.75" customHeight="1">
      <c r="A1596" s="1" t="s">
        <v>3807</v>
      </c>
      <c r="B1596" s="1" t="s">
        <v>3808</v>
      </c>
      <c r="C1596" s="1" t="s">
        <v>151</v>
      </c>
      <c r="E1596" s="1">
        <v>18.5638604</v>
      </c>
      <c r="F1596" s="1">
        <v>73.7765608</v>
      </c>
      <c r="G1596" s="1" t="s">
        <v>54</v>
      </c>
      <c r="H1596" s="1" t="s">
        <v>55</v>
      </c>
      <c r="J1596" s="1" t="s">
        <v>56</v>
      </c>
      <c r="K1596" s="1" t="s">
        <v>26</v>
      </c>
      <c r="L1596" s="1" t="s">
        <v>27</v>
      </c>
      <c r="N1596" s="1" t="s">
        <v>143</v>
      </c>
      <c r="O1596" s="1" t="s">
        <v>57</v>
      </c>
      <c r="P1596" s="1" t="s">
        <v>3233</v>
      </c>
      <c r="Q1596" s="1" t="s">
        <v>3234</v>
      </c>
      <c r="R1596" s="1">
        <v>2.0</v>
      </c>
      <c r="S1596" s="1"/>
    </row>
    <row r="1597" ht="15.75" customHeight="1">
      <c r="A1597" s="1" t="s">
        <v>3809</v>
      </c>
      <c r="B1597" s="1" t="s">
        <v>3810</v>
      </c>
      <c r="C1597" s="1" t="s">
        <v>1174</v>
      </c>
      <c r="E1597" s="1">
        <v>14.4374446</v>
      </c>
      <c r="F1597" s="1">
        <v>79.969978</v>
      </c>
      <c r="G1597" s="1" t="s">
        <v>54</v>
      </c>
      <c r="H1597" s="1" t="s">
        <v>55</v>
      </c>
      <c r="J1597" s="1" t="s">
        <v>56</v>
      </c>
      <c r="K1597" s="1" t="s">
        <v>26</v>
      </c>
      <c r="L1597" s="1" t="s">
        <v>27</v>
      </c>
      <c r="N1597" s="1" t="s">
        <v>464</v>
      </c>
      <c r="O1597" s="1" t="s">
        <v>57</v>
      </c>
      <c r="P1597" s="1" t="s">
        <v>2074</v>
      </c>
      <c r="Q1597" s="1" t="s">
        <v>2075</v>
      </c>
      <c r="R1597" s="1">
        <v>0.0</v>
      </c>
      <c r="S1597" s="1"/>
    </row>
    <row r="1598" ht="15.75" customHeight="1">
      <c r="A1598" s="1" t="s">
        <v>3811</v>
      </c>
      <c r="B1598" s="1" t="s">
        <v>3812</v>
      </c>
      <c r="C1598" s="1" t="s">
        <v>3813</v>
      </c>
      <c r="E1598" s="1">
        <v>13.302621</v>
      </c>
      <c r="F1598" s="1">
        <v>77.538394</v>
      </c>
      <c r="G1598" s="1" t="s">
        <v>54</v>
      </c>
      <c r="H1598" s="1" t="s">
        <v>55</v>
      </c>
      <c r="J1598" s="1" t="s">
        <v>56</v>
      </c>
      <c r="K1598" s="1" t="s">
        <v>26</v>
      </c>
      <c r="L1598" s="1" t="s">
        <v>27</v>
      </c>
      <c r="N1598" s="1" t="s">
        <v>743</v>
      </c>
      <c r="O1598" s="1" t="s">
        <v>57</v>
      </c>
      <c r="P1598" s="1" t="s">
        <v>1079</v>
      </c>
      <c r="Q1598" s="1" t="s">
        <v>1080</v>
      </c>
      <c r="R1598" s="1">
        <v>0.0</v>
      </c>
      <c r="S1598" s="1"/>
    </row>
    <row r="1599" ht="15.75" customHeight="1">
      <c r="A1599" s="1" t="s">
        <v>3814</v>
      </c>
      <c r="B1599" s="1" t="s">
        <v>3815</v>
      </c>
      <c r="C1599" s="1" t="s">
        <v>1112</v>
      </c>
      <c r="E1599" s="1">
        <v>13.0508306</v>
      </c>
      <c r="F1599" s="1">
        <v>80.2336373</v>
      </c>
      <c r="G1599" s="1" t="s">
        <v>54</v>
      </c>
      <c r="H1599" s="1" t="s">
        <v>55</v>
      </c>
      <c r="J1599" s="1" t="s">
        <v>56</v>
      </c>
      <c r="K1599" s="1" t="s">
        <v>26</v>
      </c>
      <c r="L1599" s="1" t="s">
        <v>27</v>
      </c>
      <c r="N1599" s="1" t="s">
        <v>1097</v>
      </c>
      <c r="O1599" s="1" t="s">
        <v>57</v>
      </c>
      <c r="P1599" s="1" t="s">
        <v>3219</v>
      </c>
      <c r="Q1599" s="1" t="s">
        <v>3220</v>
      </c>
      <c r="R1599" s="1">
        <v>3.0</v>
      </c>
      <c r="S1599" s="1"/>
    </row>
    <row r="1600" ht="15.75" customHeight="1">
      <c r="A1600" s="1" t="s">
        <v>3816</v>
      </c>
      <c r="B1600" s="1" t="s">
        <v>3817</v>
      </c>
      <c r="C1600" s="1" t="s">
        <v>1151</v>
      </c>
      <c r="E1600" s="1">
        <v>9.9261056</v>
      </c>
      <c r="F1600" s="1">
        <v>78.0943609</v>
      </c>
      <c r="G1600" s="1" t="s">
        <v>54</v>
      </c>
      <c r="H1600" s="1" t="s">
        <v>55</v>
      </c>
      <c r="J1600" s="1" t="s">
        <v>56</v>
      </c>
      <c r="K1600" s="1" t="s">
        <v>26</v>
      </c>
      <c r="L1600" s="1" t="s">
        <v>27</v>
      </c>
      <c r="N1600" s="1" t="s">
        <v>1097</v>
      </c>
      <c r="O1600" s="1" t="s">
        <v>57</v>
      </c>
      <c r="P1600" s="1" t="s">
        <v>3219</v>
      </c>
      <c r="Q1600" s="1" t="s">
        <v>3220</v>
      </c>
      <c r="R1600" s="1">
        <v>0.0</v>
      </c>
      <c r="S1600" s="1"/>
    </row>
    <row r="1601" ht="15.75" customHeight="1">
      <c r="A1601" s="1" t="s">
        <v>3818</v>
      </c>
      <c r="B1601" s="1" t="s">
        <v>3819</v>
      </c>
      <c r="C1601" s="1" t="s">
        <v>3820</v>
      </c>
      <c r="E1601" s="1">
        <v>19.0908405</v>
      </c>
      <c r="F1601" s="1">
        <v>78.3440935</v>
      </c>
      <c r="G1601" s="1" t="s">
        <v>54</v>
      </c>
      <c r="H1601" s="1" t="s">
        <v>55</v>
      </c>
      <c r="J1601" s="1" t="s">
        <v>56</v>
      </c>
      <c r="K1601" s="1" t="s">
        <v>26</v>
      </c>
      <c r="L1601" s="1" t="s">
        <v>27</v>
      </c>
      <c r="N1601" s="1" t="s">
        <v>186</v>
      </c>
      <c r="O1601" s="1" t="s">
        <v>57</v>
      </c>
      <c r="P1601" s="1" t="s">
        <v>2074</v>
      </c>
      <c r="Q1601" s="1" t="s">
        <v>2075</v>
      </c>
      <c r="R1601" s="1">
        <v>0.0</v>
      </c>
      <c r="S1601" s="1"/>
    </row>
    <row r="1602" ht="15.75" customHeight="1">
      <c r="A1602" s="1" t="s">
        <v>3821</v>
      </c>
      <c r="B1602" s="1" t="s">
        <v>3822</v>
      </c>
      <c r="C1602" s="1" t="s">
        <v>148</v>
      </c>
      <c r="E1602" s="1">
        <v>19.1651772</v>
      </c>
      <c r="F1602" s="1">
        <v>73.07469069999999</v>
      </c>
      <c r="G1602" s="1" t="s">
        <v>54</v>
      </c>
      <c r="H1602" s="1" t="s">
        <v>55</v>
      </c>
      <c r="J1602" s="1" t="s">
        <v>56</v>
      </c>
      <c r="K1602" s="1" t="s">
        <v>26</v>
      </c>
      <c r="L1602" s="1" t="s">
        <v>27</v>
      </c>
      <c r="N1602" s="1" t="s">
        <v>143</v>
      </c>
      <c r="O1602" s="1" t="s">
        <v>57</v>
      </c>
      <c r="P1602" s="1" t="s">
        <v>2300</v>
      </c>
      <c r="Q1602" s="1" t="s">
        <v>2301</v>
      </c>
      <c r="R1602" s="1">
        <v>0.0</v>
      </c>
      <c r="S1602" s="1"/>
    </row>
    <row r="1603" ht="15.75" customHeight="1">
      <c r="A1603" s="1" t="s">
        <v>3823</v>
      </c>
      <c r="B1603" s="1" t="s">
        <v>3824</v>
      </c>
      <c r="C1603" s="1" t="s">
        <v>3825</v>
      </c>
      <c r="E1603" s="1">
        <v>26.723285</v>
      </c>
      <c r="F1603" s="1">
        <v>88.38404899999999</v>
      </c>
      <c r="G1603" s="1" t="s">
        <v>54</v>
      </c>
      <c r="H1603" s="1" t="s">
        <v>55</v>
      </c>
      <c r="J1603" s="1" t="s">
        <v>56</v>
      </c>
      <c r="K1603" s="1" t="s">
        <v>26</v>
      </c>
      <c r="L1603" s="1" t="s">
        <v>27</v>
      </c>
      <c r="N1603" s="1" t="s">
        <v>532</v>
      </c>
      <c r="O1603" s="1" t="s">
        <v>57</v>
      </c>
      <c r="P1603" s="1" t="s">
        <v>3131</v>
      </c>
      <c r="Q1603" s="1" t="s">
        <v>3132</v>
      </c>
      <c r="R1603" s="1">
        <v>0.0</v>
      </c>
      <c r="S1603" s="1"/>
    </row>
    <row r="1604" ht="15.75" customHeight="1">
      <c r="A1604" s="1" t="s">
        <v>3826</v>
      </c>
      <c r="B1604" s="1" t="s">
        <v>3827</v>
      </c>
      <c r="C1604" s="1" t="s">
        <v>1285</v>
      </c>
      <c r="E1604" s="1">
        <v>12.8574713</v>
      </c>
      <c r="F1604" s="1">
        <v>74.83805269999999</v>
      </c>
      <c r="G1604" s="1" t="s">
        <v>54</v>
      </c>
      <c r="H1604" s="1" t="s">
        <v>55</v>
      </c>
      <c r="J1604" s="1" t="s">
        <v>56</v>
      </c>
      <c r="K1604" s="1" t="s">
        <v>26</v>
      </c>
      <c r="L1604" s="1" t="s">
        <v>27</v>
      </c>
      <c r="N1604" s="1" t="s">
        <v>743</v>
      </c>
      <c r="O1604" s="1" t="s">
        <v>57</v>
      </c>
      <c r="P1604" s="1" t="s">
        <v>1079</v>
      </c>
      <c r="Q1604" s="1" t="s">
        <v>1080</v>
      </c>
      <c r="R1604" s="1">
        <v>0.0</v>
      </c>
      <c r="S1604" s="1"/>
    </row>
    <row r="1605" ht="15.75" customHeight="1">
      <c r="A1605" s="1" t="s">
        <v>3828</v>
      </c>
      <c r="B1605" s="1" t="s">
        <v>3829</v>
      </c>
      <c r="C1605" s="1" t="s">
        <v>215</v>
      </c>
      <c r="E1605" s="1">
        <v>23.0125422</v>
      </c>
      <c r="F1605" s="1">
        <v>72.515103</v>
      </c>
      <c r="G1605" s="1" t="s">
        <v>54</v>
      </c>
      <c r="H1605" s="1" t="s">
        <v>55</v>
      </c>
      <c r="J1605" s="1" t="s">
        <v>56</v>
      </c>
      <c r="K1605" s="1" t="s">
        <v>26</v>
      </c>
      <c r="L1605" s="1" t="s">
        <v>27</v>
      </c>
      <c r="N1605" s="1" t="s">
        <v>216</v>
      </c>
      <c r="O1605" s="1" t="s">
        <v>57</v>
      </c>
      <c r="P1605" s="1" t="s">
        <v>3830</v>
      </c>
      <c r="Q1605" s="1" t="s">
        <v>3831</v>
      </c>
      <c r="R1605" s="1">
        <v>0.0</v>
      </c>
      <c r="S1605" s="1"/>
    </row>
    <row r="1606" ht="15.75" customHeight="1">
      <c r="A1606" s="1" t="s">
        <v>3832</v>
      </c>
      <c r="B1606" s="1" t="s">
        <v>3833</v>
      </c>
      <c r="C1606" s="1" t="s">
        <v>2058</v>
      </c>
      <c r="E1606" s="1">
        <v>19.1668403</v>
      </c>
      <c r="F1606" s="1">
        <v>77.3051078</v>
      </c>
      <c r="G1606" s="1" t="s">
        <v>54</v>
      </c>
      <c r="H1606" s="1" t="s">
        <v>55</v>
      </c>
      <c r="J1606" s="1" t="s">
        <v>56</v>
      </c>
      <c r="K1606" s="1" t="s">
        <v>26</v>
      </c>
      <c r="L1606" s="1" t="s">
        <v>27</v>
      </c>
      <c r="N1606" s="1" t="s">
        <v>143</v>
      </c>
      <c r="O1606" s="1" t="s">
        <v>57</v>
      </c>
      <c r="P1606" s="1" t="s">
        <v>2239</v>
      </c>
      <c r="Q1606" s="1" t="s">
        <v>2240</v>
      </c>
      <c r="R1606" s="1">
        <v>0.0</v>
      </c>
      <c r="S1606" s="1"/>
    </row>
    <row r="1607" ht="15.75" customHeight="1">
      <c r="A1607" s="1" t="s">
        <v>3834</v>
      </c>
      <c r="B1607" s="1" t="s">
        <v>3835</v>
      </c>
      <c r="C1607" s="1" t="s">
        <v>1174</v>
      </c>
      <c r="E1607" s="1">
        <v>14.4339294</v>
      </c>
      <c r="F1607" s="1">
        <v>79.9800144</v>
      </c>
      <c r="G1607" s="1" t="s">
        <v>54</v>
      </c>
      <c r="H1607" s="1" t="s">
        <v>55</v>
      </c>
      <c r="J1607" s="1" t="s">
        <v>56</v>
      </c>
      <c r="K1607" s="1" t="s">
        <v>26</v>
      </c>
      <c r="L1607" s="1" t="s">
        <v>27</v>
      </c>
      <c r="N1607" s="1" t="s">
        <v>464</v>
      </c>
      <c r="O1607" s="1" t="s">
        <v>57</v>
      </c>
      <c r="P1607" s="1" t="s">
        <v>2074</v>
      </c>
      <c r="Q1607" s="1" t="s">
        <v>2075</v>
      </c>
      <c r="R1607" s="1">
        <v>0.0</v>
      </c>
      <c r="S1607" s="1"/>
    </row>
    <row r="1608" ht="15.75" customHeight="1">
      <c r="A1608" s="1" t="s">
        <v>3836</v>
      </c>
      <c r="B1608" s="1" t="s">
        <v>3837</v>
      </c>
      <c r="C1608" s="1" t="s">
        <v>185</v>
      </c>
      <c r="E1608" s="1">
        <v>17.4280694</v>
      </c>
      <c r="F1608" s="1">
        <v>78.3285391</v>
      </c>
      <c r="G1608" s="1" t="s">
        <v>54</v>
      </c>
      <c r="H1608" s="1" t="s">
        <v>55</v>
      </c>
      <c r="J1608" s="1" t="s">
        <v>56</v>
      </c>
      <c r="K1608" s="1" t="s">
        <v>26</v>
      </c>
      <c r="L1608" s="1" t="s">
        <v>27</v>
      </c>
      <c r="N1608" s="1" t="s">
        <v>186</v>
      </c>
      <c r="O1608" s="1" t="s">
        <v>57</v>
      </c>
      <c r="P1608" s="1" t="s">
        <v>2074</v>
      </c>
      <c r="Q1608" s="1" t="s">
        <v>2075</v>
      </c>
      <c r="R1608" s="1">
        <v>0.0</v>
      </c>
      <c r="S1608" s="1"/>
    </row>
    <row r="1609" ht="15.75" customHeight="1">
      <c r="A1609" s="1" t="s">
        <v>3838</v>
      </c>
      <c r="B1609" s="1" t="s">
        <v>3839</v>
      </c>
      <c r="C1609" s="1" t="s">
        <v>3840</v>
      </c>
      <c r="E1609" s="1">
        <v>16.8410613</v>
      </c>
      <c r="F1609" s="1">
        <v>75.7132395</v>
      </c>
      <c r="G1609" s="1" t="s">
        <v>54</v>
      </c>
      <c r="H1609" s="1" t="s">
        <v>55</v>
      </c>
      <c r="J1609" s="1" t="s">
        <v>56</v>
      </c>
      <c r="K1609" s="1" t="s">
        <v>26</v>
      </c>
      <c r="L1609" s="1" t="s">
        <v>27</v>
      </c>
      <c r="N1609" s="1" t="s">
        <v>743</v>
      </c>
      <c r="O1609" s="1" t="s">
        <v>57</v>
      </c>
      <c r="P1609" s="1" t="s">
        <v>1079</v>
      </c>
      <c r="Q1609" s="1" t="s">
        <v>1080</v>
      </c>
      <c r="R1609" s="1">
        <v>0.0</v>
      </c>
      <c r="S1609" s="1"/>
    </row>
    <row r="1610" ht="15.75" customHeight="1">
      <c r="A1610" s="1" t="s">
        <v>3841</v>
      </c>
      <c r="B1610" s="1" t="s">
        <v>3842</v>
      </c>
      <c r="C1610" s="1" t="s">
        <v>148</v>
      </c>
      <c r="E1610" s="1">
        <v>19.1385361</v>
      </c>
      <c r="F1610" s="1">
        <v>72.8322479</v>
      </c>
      <c r="G1610" s="1" t="s">
        <v>54</v>
      </c>
      <c r="H1610" s="1" t="s">
        <v>55</v>
      </c>
      <c r="J1610" s="1" t="s">
        <v>56</v>
      </c>
      <c r="K1610" s="1" t="s">
        <v>26</v>
      </c>
      <c r="L1610" s="1" t="s">
        <v>27</v>
      </c>
      <c r="N1610" s="1" t="s">
        <v>143</v>
      </c>
      <c r="O1610" s="1" t="s">
        <v>57</v>
      </c>
      <c r="P1610" s="1" t="s">
        <v>2300</v>
      </c>
      <c r="Q1610" s="1" t="s">
        <v>2301</v>
      </c>
      <c r="R1610" s="1">
        <v>0.0</v>
      </c>
      <c r="S1610" s="1"/>
    </row>
    <row r="1611" ht="15.75" customHeight="1">
      <c r="A1611" s="1" t="s">
        <v>3843</v>
      </c>
      <c r="B1611" s="1" t="s">
        <v>3844</v>
      </c>
      <c r="C1611" s="1" t="s">
        <v>1112</v>
      </c>
      <c r="E1611" s="1">
        <v>13.08088</v>
      </c>
      <c r="F1611" s="1">
        <v>80.19775969999999</v>
      </c>
      <c r="G1611" s="1" t="s">
        <v>54</v>
      </c>
      <c r="H1611" s="1" t="s">
        <v>55</v>
      </c>
      <c r="J1611" s="1" t="s">
        <v>56</v>
      </c>
      <c r="K1611" s="1" t="s">
        <v>26</v>
      </c>
      <c r="L1611" s="1" t="s">
        <v>27</v>
      </c>
      <c r="N1611" s="1" t="s">
        <v>1097</v>
      </c>
      <c r="O1611" s="1" t="s">
        <v>57</v>
      </c>
      <c r="P1611" s="1" t="s">
        <v>3219</v>
      </c>
      <c r="Q1611" s="1" t="s">
        <v>3220</v>
      </c>
      <c r="R1611" s="1">
        <v>2.0</v>
      </c>
      <c r="S1611" s="1"/>
    </row>
    <row r="1612" ht="15.75" customHeight="1">
      <c r="A1612" s="1" t="s">
        <v>3845</v>
      </c>
      <c r="B1612" s="1" t="s">
        <v>3846</v>
      </c>
      <c r="C1612" s="1" t="s">
        <v>3847</v>
      </c>
      <c r="E1612" s="1">
        <v>22.847547</v>
      </c>
      <c r="F1612" s="1">
        <v>88.6623747</v>
      </c>
      <c r="G1612" s="1" t="s">
        <v>54</v>
      </c>
      <c r="H1612" s="1" t="s">
        <v>55</v>
      </c>
      <c r="J1612" s="1" t="s">
        <v>56</v>
      </c>
      <c r="K1612" s="1" t="s">
        <v>26</v>
      </c>
      <c r="L1612" s="1" t="s">
        <v>27</v>
      </c>
      <c r="N1612" s="1" t="s">
        <v>532</v>
      </c>
      <c r="O1612" s="1" t="s">
        <v>57</v>
      </c>
      <c r="P1612" s="1" t="s">
        <v>3131</v>
      </c>
      <c r="Q1612" s="1" t="s">
        <v>3132</v>
      </c>
      <c r="R1612" s="1">
        <v>0.0</v>
      </c>
      <c r="S1612" s="1"/>
    </row>
    <row r="1613" ht="15.75" customHeight="1">
      <c r="A1613" s="1" t="s">
        <v>3848</v>
      </c>
      <c r="B1613" s="1" t="s">
        <v>3849</v>
      </c>
      <c r="C1613" s="1" t="s">
        <v>151</v>
      </c>
      <c r="E1613" s="1">
        <v>18.6787584</v>
      </c>
      <c r="F1613" s="1">
        <v>73.8474585</v>
      </c>
      <c r="G1613" s="1" t="s">
        <v>54</v>
      </c>
      <c r="H1613" s="1" t="s">
        <v>55</v>
      </c>
      <c r="J1613" s="1" t="s">
        <v>56</v>
      </c>
      <c r="K1613" s="1" t="s">
        <v>26</v>
      </c>
      <c r="L1613" s="1" t="s">
        <v>27</v>
      </c>
      <c r="N1613" s="1" t="s">
        <v>143</v>
      </c>
      <c r="O1613" s="1" t="s">
        <v>57</v>
      </c>
      <c r="P1613" s="1" t="s">
        <v>3233</v>
      </c>
      <c r="Q1613" s="1" t="s">
        <v>3234</v>
      </c>
      <c r="R1613" s="1">
        <v>1.0</v>
      </c>
      <c r="S1613" s="1"/>
    </row>
    <row r="1614" ht="15.75" customHeight="1">
      <c r="A1614" s="1" t="s">
        <v>3850</v>
      </c>
      <c r="B1614" s="1" t="s">
        <v>3851</v>
      </c>
      <c r="C1614" s="1" t="s">
        <v>1981</v>
      </c>
      <c r="E1614" s="1">
        <v>18.1778792</v>
      </c>
      <c r="F1614" s="1">
        <v>74.60591269999999</v>
      </c>
      <c r="G1614" s="1" t="s">
        <v>54</v>
      </c>
      <c r="H1614" s="1" t="s">
        <v>55</v>
      </c>
      <c r="J1614" s="1" t="s">
        <v>56</v>
      </c>
      <c r="K1614" s="1" t="s">
        <v>26</v>
      </c>
      <c r="L1614" s="1" t="s">
        <v>27</v>
      </c>
      <c r="N1614" s="1" t="s">
        <v>143</v>
      </c>
      <c r="O1614" s="1" t="s">
        <v>57</v>
      </c>
      <c r="P1614" s="1" t="s">
        <v>2239</v>
      </c>
      <c r="Q1614" s="1" t="s">
        <v>2240</v>
      </c>
      <c r="R1614" s="1">
        <v>0.0</v>
      </c>
      <c r="S1614" s="1"/>
    </row>
    <row r="1615" ht="15.75" customHeight="1">
      <c r="A1615" s="1" t="s">
        <v>3852</v>
      </c>
      <c r="B1615" s="1" t="s">
        <v>3853</v>
      </c>
      <c r="C1615" s="1" t="s">
        <v>737</v>
      </c>
      <c r="E1615" s="1">
        <v>22.7467528</v>
      </c>
      <c r="F1615" s="1">
        <v>75.93566659999999</v>
      </c>
      <c r="G1615" s="1" t="s">
        <v>54</v>
      </c>
      <c r="H1615" s="1" t="s">
        <v>55</v>
      </c>
      <c r="J1615" s="1" t="s">
        <v>56</v>
      </c>
      <c r="K1615" s="1" t="s">
        <v>26</v>
      </c>
      <c r="L1615" s="1" t="s">
        <v>27</v>
      </c>
      <c r="N1615" s="1" t="s">
        <v>732</v>
      </c>
      <c r="O1615" s="1" t="s">
        <v>57</v>
      </c>
      <c r="P1615" s="1" t="s">
        <v>3243</v>
      </c>
      <c r="Q1615" s="1" t="s">
        <v>3244</v>
      </c>
      <c r="R1615" s="1">
        <v>0.0</v>
      </c>
      <c r="S1615" s="1"/>
    </row>
    <row r="1616" ht="15.75" customHeight="1">
      <c r="A1616" s="1" t="s">
        <v>3854</v>
      </c>
      <c r="B1616" s="1" t="s">
        <v>3855</v>
      </c>
      <c r="C1616" s="1" t="s">
        <v>215</v>
      </c>
      <c r="E1616" s="1">
        <v>23.0400705</v>
      </c>
      <c r="F1616" s="1">
        <v>72.531482</v>
      </c>
      <c r="G1616" s="1" t="s">
        <v>54</v>
      </c>
      <c r="H1616" s="1" t="s">
        <v>55</v>
      </c>
      <c r="J1616" s="1" t="s">
        <v>56</v>
      </c>
      <c r="K1616" s="1" t="s">
        <v>26</v>
      </c>
      <c r="L1616" s="1" t="s">
        <v>27</v>
      </c>
      <c r="N1616" s="1" t="s">
        <v>216</v>
      </c>
      <c r="O1616" s="1" t="s">
        <v>57</v>
      </c>
      <c r="P1616" s="1" t="s">
        <v>3830</v>
      </c>
      <c r="Q1616" s="1" t="s">
        <v>3831</v>
      </c>
      <c r="R1616" s="1">
        <v>0.0</v>
      </c>
      <c r="S1616" s="1"/>
    </row>
    <row r="1617" ht="15.75" customHeight="1">
      <c r="A1617" s="1" t="s">
        <v>3856</v>
      </c>
      <c r="B1617" s="1" t="s">
        <v>3857</v>
      </c>
      <c r="C1617" s="1" t="s">
        <v>483</v>
      </c>
      <c r="E1617" s="1">
        <v>18.0205049</v>
      </c>
      <c r="F1617" s="1">
        <v>79.5513737</v>
      </c>
      <c r="G1617" s="1" t="s">
        <v>54</v>
      </c>
      <c r="H1617" s="1" t="s">
        <v>55</v>
      </c>
      <c r="J1617" s="1" t="s">
        <v>56</v>
      </c>
      <c r="K1617" s="1" t="s">
        <v>26</v>
      </c>
      <c r="L1617" s="1" t="s">
        <v>27</v>
      </c>
      <c r="N1617" s="1" t="s">
        <v>186</v>
      </c>
      <c r="O1617" s="1" t="s">
        <v>57</v>
      </c>
      <c r="P1617" s="1" t="s">
        <v>2074</v>
      </c>
      <c r="Q1617" s="1" t="s">
        <v>2075</v>
      </c>
      <c r="R1617" s="1">
        <v>0.0</v>
      </c>
      <c r="S1617" s="1"/>
    </row>
    <row r="1618" ht="15.75" customHeight="1">
      <c r="A1618" s="1" t="s">
        <v>3858</v>
      </c>
      <c r="B1618" s="1" t="s">
        <v>3859</v>
      </c>
      <c r="C1618" s="1" t="s">
        <v>1151</v>
      </c>
      <c r="E1618" s="1">
        <v>9.9189012</v>
      </c>
      <c r="F1618" s="1">
        <v>78.14857119999999</v>
      </c>
      <c r="G1618" s="1" t="s">
        <v>54</v>
      </c>
      <c r="H1618" s="1" t="s">
        <v>55</v>
      </c>
      <c r="J1618" s="1" t="s">
        <v>56</v>
      </c>
      <c r="K1618" s="1" t="s">
        <v>26</v>
      </c>
      <c r="L1618" s="1" t="s">
        <v>27</v>
      </c>
      <c r="N1618" s="1" t="s">
        <v>1097</v>
      </c>
      <c r="O1618" s="1" t="s">
        <v>57</v>
      </c>
      <c r="P1618" s="1" t="s">
        <v>3219</v>
      </c>
      <c r="Q1618" s="1" t="s">
        <v>3220</v>
      </c>
      <c r="R1618" s="1">
        <v>0.0</v>
      </c>
      <c r="S1618" s="1"/>
    </row>
    <row r="1619" ht="15.75" customHeight="1">
      <c r="A1619" s="1" t="s">
        <v>3860</v>
      </c>
      <c r="B1619" s="1" t="s">
        <v>3861</v>
      </c>
      <c r="C1619" s="1" t="s">
        <v>3862</v>
      </c>
      <c r="E1619" s="1">
        <v>12.4558577</v>
      </c>
      <c r="F1619" s="1">
        <v>75.9580951</v>
      </c>
      <c r="G1619" s="1" t="s">
        <v>54</v>
      </c>
      <c r="H1619" s="1" t="s">
        <v>55</v>
      </c>
      <c r="J1619" s="1" t="s">
        <v>56</v>
      </c>
      <c r="K1619" s="1" t="s">
        <v>26</v>
      </c>
      <c r="L1619" s="1" t="s">
        <v>27</v>
      </c>
      <c r="N1619" s="1" t="s">
        <v>743</v>
      </c>
      <c r="O1619" s="1" t="s">
        <v>57</v>
      </c>
      <c r="P1619" s="1" t="s">
        <v>1079</v>
      </c>
      <c r="Q1619" s="1" t="s">
        <v>1080</v>
      </c>
      <c r="R1619" s="1">
        <v>0.0</v>
      </c>
      <c r="S1619" s="1"/>
    </row>
    <row r="1620" ht="15.75" customHeight="1">
      <c r="A1620" s="1" t="s">
        <v>3863</v>
      </c>
      <c r="B1620" s="1" t="s">
        <v>3864</v>
      </c>
      <c r="C1620" s="1" t="s">
        <v>1078</v>
      </c>
      <c r="E1620" s="1">
        <v>12.8969869</v>
      </c>
      <c r="F1620" s="1">
        <v>77.6352007</v>
      </c>
      <c r="G1620" s="1" t="s">
        <v>54</v>
      </c>
      <c r="H1620" s="1" t="s">
        <v>55</v>
      </c>
      <c r="J1620" s="1" t="s">
        <v>56</v>
      </c>
      <c r="K1620" s="1" t="s">
        <v>26</v>
      </c>
      <c r="L1620" s="1" t="s">
        <v>27</v>
      </c>
      <c r="N1620" s="1" t="s">
        <v>743</v>
      </c>
      <c r="O1620" s="1" t="s">
        <v>57</v>
      </c>
      <c r="P1620" s="1" t="s">
        <v>1079</v>
      </c>
      <c r="Q1620" s="1" t="s">
        <v>1080</v>
      </c>
      <c r="R1620" s="1">
        <v>1.0</v>
      </c>
      <c r="S1620" s="1"/>
    </row>
    <row r="1621" ht="15.75" customHeight="1">
      <c r="A1621" s="1" t="s">
        <v>3865</v>
      </c>
      <c r="B1621" s="1" t="s">
        <v>3866</v>
      </c>
      <c r="C1621" s="1" t="s">
        <v>1112</v>
      </c>
      <c r="E1621" s="1">
        <v>12.7483683</v>
      </c>
      <c r="F1621" s="1">
        <v>77.8074508</v>
      </c>
      <c r="G1621" s="1" t="s">
        <v>54</v>
      </c>
      <c r="H1621" s="1" t="s">
        <v>55</v>
      </c>
      <c r="J1621" s="1" t="s">
        <v>56</v>
      </c>
      <c r="K1621" s="1" t="s">
        <v>26</v>
      </c>
      <c r="L1621" s="1" t="s">
        <v>27</v>
      </c>
      <c r="N1621" s="1" t="s">
        <v>1097</v>
      </c>
      <c r="O1621" s="1" t="s">
        <v>57</v>
      </c>
      <c r="P1621" s="1" t="s">
        <v>3219</v>
      </c>
      <c r="Q1621" s="1" t="s">
        <v>3220</v>
      </c>
      <c r="R1621" s="1">
        <v>0.0</v>
      </c>
      <c r="S1621" s="1"/>
    </row>
    <row r="1622" ht="15.75" customHeight="1">
      <c r="A1622" s="1" t="s">
        <v>3867</v>
      </c>
      <c r="B1622" s="1" t="s">
        <v>3868</v>
      </c>
      <c r="C1622" s="1" t="s">
        <v>1138</v>
      </c>
      <c r="E1622" s="1">
        <v>11.0181722</v>
      </c>
      <c r="F1622" s="1">
        <v>76.99066839999999</v>
      </c>
      <c r="G1622" s="1" t="s">
        <v>54</v>
      </c>
      <c r="H1622" s="1" t="s">
        <v>55</v>
      </c>
      <c r="J1622" s="1" t="s">
        <v>56</v>
      </c>
      <c r="K1622" s="1" t="s">
        <v>26</v>
      </c>
      <c r="L1622" s="1" t="s">
        <v>27</v>
      </c>
      <c r="N1622" s="1" t="s">
        <v>1097</v>
      </c>
      <c r="O1622" s="1" t="s">
        <v>57</v>
      </c>
      <c r="P1622" s="1" t="s">
        <v>3219</v>
      </c>
      <c r="Q1622" s="1" t="s">
        <v>3220</v>
      </c>
      <c r="R1622" s="1">
        <v>0.0</v>
      </c>
      <c r="S1622" s="1"/>
    </row>
    <row r="1623" ht="15.75" customHeight="1">
      <c r="A1623" s="1" t="s">
        <v>3869</v>
      </c>
      <c r="B1623" s="1" t="s">
        <v>3870</v>
      </c>
      <c r="C1623" s="1" t="s">
        <v>731</v>
      </c>
      <c r="E1623" s="1">
        <v>26.2015394</v>
      </c>
      <c r="F1623" s="1">
        <v>78.16176159999999</v>
      </c>
      <c r="G1623" s="1" t="s">
        <v>54</v>
      </c>
      <c r="H1623" s="1" t="s">
        <v>55</v>
      </c>
      <c r="J1623" s="1" t="s">
        <v>56</v>
      </c>
      <c r="K1623" s="1" t="s">
        <v>26</v>
      </c>
      <c r="L1623" s="1" t="s">
        <v>27</v>
      </c>
      <c r="N1623" s="1" t="s">
        <v>732</v>
      </c>
      <c r="O1623" s="1" t="s">
        <v>57</v>
      </c>
      <c r="P1623" s="1" t="s">
        <v>3243</v>
      </c>
      <c r="Q1623" s="1" t="s">
        <v>3244</v>
      </c>
      <c r="R1623" s="1">
        <v>0.0</v>
      </c>
      <c r="S1623" s="1"/>
    </row>
    <row r="1624" ht="15.75" customHeight="1">
      <c r="A1624" s="1" t="s">
        <v>3871</v>
      </c>
      <c r="B1624" s="1" t="s">
        <v>3872</v>
      </c>
      <c r="C1624" s="1" t="s">
        <v>2003</v>
      </c>
      <c r="E1624" s="1">
        <v>20.900786</v>
      </c>
      <c r="F1624" s="1">
        <v>77.7481789</v>
      </c>
      <c r="G1624" s="1" t="s">
        <v>54</v>
      </c>
      <c r="H1624" s="1" t="s">
        <v>55</v>
      </c>
      <c r="J1624" s="1" t="s">
        <v>56</v>
      </c>
      <c r="K1624" s="1" t="s">
        <v>26</v>
      </c>
      <c r="L1624" s="1" t="s">
        <v>27</v>
      </c>
      <c r="N1624" s="1" t="s">
        <v>143</v>
      </c>
      <c r="O1624" s="1" t="s">
        <v>57</v>
      </c>
      <c r="P1624" s="1" t="s">
        <v>2239</v>
      </c>
      <c r="Q1624" s="1" t="s">
        <v>2240</v>
      </c>
      <c r="R1624" s="1">
        <v>0.0</v>
      </c>
      <c r="S1624" s="1"/>
    </row>
    <row r="1625" ht="15.75" customHeight="1">
      <c r="A1625" s="1" t="s">
        <v>3873</v>
      </c>
      <c r="B1625" s="1" t="s">
        <v>3874</v>
      </c>
      <c r="C1625" s="1" t="s">
        <v>1716</v>
      </c>
      <c r="E1625" s="1">
        <v>28.3823225</v>
      </c>
      <c r="F1625" s="1">
        <v>77.05202</v>
      </c>
      <c r="G1625" s="1" t="s">
        <v>54</v>
      </c>
      <c r="H1625" s="1" t="s">
        <v>55</v>
      </c>
      <c r="J1625" s="1" t="s">
        <v>56</v>
      </c>
      <c r="K1625" s="1" t="s">
        <v>26</v>
      </c>
      <c r="L1625" s="1" t="s">
        <v>27</v>
      </c>
      <c r="N1625" s="1" t="s">
        <v>163</v>
      </c>
      <c r="O1625" s="1" t="s">
        <v>57</v>
      </c>
      <c r="P1625" s="1" t="s">
        <v>3875</v>
      </c>
      <c r="Q1625" s="1" t="s">
        <v>3876</v>
      </c>
      <c r="R1625" s="1">
        <v>1.0</v>
      </c>
      <c r="S1625" s="1"/>
    </row>
    <row r="1626" ht="15.75" customHeight="1">
      <c r="A1626" s="1" t="s">
        <v>3877</v>
      </c>
      <c r="B1626" s="1" t="s">
        <v>3878</v>
      </c>
      <c r="C1626" s="1" t="s">
        <v>148</v>
      </c>
      <c r="E1626" s="1">
        <v>19.253141</v>
      </c>
      <c r="F1626" s="1">
        <v>73.1375517</v>
      </c>
      <c r="G1626" s="1" t="s">
        <v>54</v>
      </c>
      <c r="H1626" s="1" t="s">
        <v>55</v>
      </c>
      <c r="J1626" s="1" t="s">
        <v>56</v>
      </c>
      <c r="K1626" s="1" t="s">
        <v>26</v>
      </c>
      <c r="L1626" s="1" t="s">
        <v>27</v>
      </c>
      <c r="N1626" s="1" t="s">
        <v>143</v>
      </c>
      <c r="O1626" s="1" t="s">
        <v>57</v>
      </c>
      <c r="P1626" s="1" t="s">
        <v>2300</v>
      </c>
      <c r="Q1626" s="1" t="s">
        <v>2301</v>
      </c>
      <c r="R1626" s="1">
        <v>1.0</v>
      </c>
      <c r="S1626" s="1"/>
    </row>
    <row r="1627" ht="15.75" customHeight="1">
      <c r="A1627" s="1" t="s">
        <v>3879</v>
      </c>
      <c r="B1627" s="1" t="s">
        <v>3880</v>
      </c>
      <c r="C1627" s="1" t="s">
        <v>1988</v>
      </c>
      <c r="E1627" s="1">
        <v>21.237825</v>
      </c>
      <c r="F1627" s="1">
        <v>81.67158859999999</v>
      </c>
      <c r="G1627" s="1" t="s">
        <v>54</v>
      </c>
      <c r="H1627" s="1" t="s">
        <v>55</v>
      </c>
      <c r="J1627" s="1" t="s">
        <v>56</v>
      </c>
      <c r="K1627" s="1" t="s">
        <v>26</v>
      </c>
      <c r="L1627" s="1" t="s">
        <v>27</v>
      </c>
      <c r="N1627" s="1" t="s">
        <v>1989</v>
      </c>
      <c r="O1627" s="1" t="s">
        <v>57</v>
      </c>
      <c r="P1627" s="1" t="s">
        <v>3243</v>
      </c>
      <c r="Q1627" s="1" t="s">
        <v>3244</v>
      </c>
      <c r="R1627" s="1">
        <v>0.0</v>
      </c>
      <c r="S1627" s="1"/>
    </row>
    <row r="1628" ht="15.75" customHeight="1">
      <c r="A1628" s="1" t="s">
        <v>3881</v>
      </c>
      <c r="B1628" s="1" t="s">
        <v>3882</v>
      </c>
      <c r="C1628" s="1" t="s">
        <v>531</v>
      </c>
      <c r="E1628" s="1">
        <v>22.6926129</v>
      </c>
      <c r="F1628" s="1">
        <v>88.46427949999999</v>
      </c>
      <c r="G1628" s="1" t="s">
        <v>54</v>
      </c>
      <c r="H1628" s="1" t="s">
        <v>55</v>
      </c>
      <c r="J1628" s="1" t="s">
        <v>56</v>
      </c>
      <c r="K1628" s="1" t="s">
        <v>26</v>
      </c>
      <c r="L1628" s="1" t="s">
        <v>27</v>
      </c>
      <c r="N1628" s="1" t="s">
        <v>532</v>
      </c>
      <c r="O1628" s="1" t="s">
        <v>57</v>
      </c>
      <c r="P1628" s="1" t="s">
        <v>3135</v>
      </c>
      <c r="Q1628" s="1" t="s">
        <v>3136</v>
      </c>
      <c r="R1628" s="1">
        <v>0.0</v>
      </c>
      <c r="S1628" s="1"/>
    </row>
    <row r="1629" ht="15.75" customHeight="1">
      <c r="A1629" s="1" t="s">
        <v>3883</v>
      </c>
      <c r="B1629" s="1" t="s">
        <v>3884</v>
      </c>
      <c r="C1629" s="1" t="s">
        <v>2094</v>
      </c>
      <c r="E1629" s="1">
        <v>16.7161986</v>
      </c>
      <c r="F1629" s="1">
        <v>74.24088909999999</v>
      </c>
      <c r="G1629" s="1" t="s">
        <v>54</v>
      </c>
      <c r="H1629" s="1" t="s">
        <v>55</v>
      </c>
      <c r="J1629" s="1" t="s">
        <v>56</v>
      </c>
      <c r="K1629" s="1" t="s">
        <v>26</v>
      </c>
      <c r="L1629" s="1" t="s">
        <v>27</v>
      </c>
      <c r="N1629" s="1" t="s">
        <v>143</v>
      </c>
      <c r="O1629" s="1" t="s">
        <v>57</v>
      </c>
      <c r="P1629" s="1" t="s">
        <v>2239</v>
      </c>
      <c r="Q1629" s="1" t="s">
        <v>2240</v>
      </c>
      <c r="R1629" s="1">
        <v>0.0</v>
      </c>
      <c r="S1629" s="1"/>
    </row>
    <row r="1630" ht="15.75" customHeight="1">
      <c r="A1630" s="1" t="s">
        <v>3885</v>
      </c>
      <c r="B1630" s="1" t="s">
        <v>3886</v>
      </c>
      <c r="C1630" s="1" t="s">
        <v>3887</v>
      </c>
      <c r="E1630" s="1">
        <v>17.6889591</v>
      </c>
      <c r="F1630" s="1">
        <v>83.0017649</v>
      </c>
      <c r="G1630" s="1" t="s">
        <v>54</v>
      </c>
      <c r="H1630" s="1" t="s">
        <v>55</v>
      </c>
      <c r="J1630" s="1" t="s">
        <v>56</v>
      </c>
      <c r="K1630" s="1" t="s">
        <v>26</v>
      </c>
      <c r="L1630" s="1" t="s">
        <v>27</v>
      </c>
      <c r="N1630" s="1" t="s">
        <v>464</v>
      </c>
      <c r="O1630" s="1" t="s">
        <v>57</v>
      </c>
      <c r="P1630" s="1" t="s">
        <v>2074</v>
      </c>
      <c r="Q1630" s="1" t="s">
        <v>2075</v>
      </c>
      <c r="R1630" s="1">
        <v>0.0</v>
      </c>
      <c r="S1630" s="1"/>
    </row>
    <row r="1631" ht="15.75" customHeight="1">
      <c r="A1631" s="1" t="s">
        <v>3888</v>
      </c>
      <c r="B1631" s="1" t="s">
        <v>3889</v>
      </c>
      <c r="C1631" s="1" t="s">
        <v>3104</v>
      </c>
      <c r="E1631" s="1">
        <v>26.2336321</v>
      </c>
      <c r="F1631" s="1">
        <v>73.0193807</v>
      </c>
      <c r="G1631" s="1" t="s">
        <v>54</v>
      </c>
      <c r="H1631" s="1" t="s">
        <v>55</v>
      </c>
      <c r="J1631" s="1" t="s">
        <v>56</v>
      </c>
      <c r="K1631" s="1" t="s">
        <v>26</v>
      </c>
      <c r="L1631" s="1" t="s">
        <v>27</v>
      </c>
      <c r="N1631" s="1" t="s">
        <v>849</v>
      </c>
      <c r="O1631" s="1" t="s">
        <v>57</v>
      </c>
      <c r="P1631" s="1" t="s">
        <v>887</v>
      </c>
      <c r="Q1631" s="1" t="s">
        <v>888</v>
      </c>
      <c r="R1631" s="1">
        <v>0.0</v>
      </c>
      <c r="S1631" s="1"/>
    </row>
    <row r="1632" ht="15.75" customHeight="1">
      <c r="A1632" s="1" t="s">
        <v>3890</v>
      </c>
      <c r="B1632" s="1" t="s">
        <v>3891</v>
      </c>
      <c r="C1632" s="1" t="s">
        <v>3892</v>
      </c>
      <c r="E1632" s="1">
        <v>25.906851</v>
      </c>
      <c r="F1632" s="1">
        <v>93.72086159999999</v>
      </c>
      <c r="G1632" s="1" t="s">
        <v>54</v>
      </c>
      <c r="H1632" s="1" t="s">
        <v>55</v>
      </c>
      <c r="J1632" s="1" t="s">
        <v>56</v>
      </c>
      <c r="K1632" s="1" t="s">
        <v>26</v>
      </c>
      <c r="L1632" s="1" t="s">
        <v>27</v>
      </c>
      <c r="N1632" s="1" t="s">
        <v>3893</v>
      </c>
      <c r="O1632" s="1" t="s">
        <v>57</v>
      </c>
      <c r="P1632" s="1" t="s">
        <v>3131</v>
      </c>
      <c r="Q1632" s="1" t="s">
        <v>3132</v>
      </c>
      <c r="R1632" s="1">
        <v>0.0</v>
      </c>
      <c r="S1632" s="1"/>
    </row>
    <row r="1633" ht="15.75" customHeight="1">
      <c r="A1633" s="1" t="s">
        <v>3894</v>
      </c>
      <c r="B1633" s="1" t="s">
        <v>3895</v>
      </c>
      <c r="C1633" s="1" t="s">
        <v>3896</v>
      </c>
      <c r="E1633" s="1">
        <v>21.4928472</v>
      </c>
      <c r="F1633" s="1">
        <v>86.93722179999999</v>
      </c>
      <c r="G1633" s="1" t="s">
        <v>54</v>
      </c>
      <c r="H1633" s="1" t="s">
        <v>55</v>
      </c>
      <c r="J1633" s="1" t="s">
        <v>56</v>
      </c>
      <c r="K1633" s="1" t="s">
        <v>26</v>
      </c>
      <c r="L1633" s="1" t="s">
        <v>27</v>
      </c>
      <c r="N1633" s="1" t="s">
        <v>1874</v>
      </c>
      <c r="O1633" s="1" t="s">
        <v>57</v>
      </c>
      <c r="P1633" s="1" t="s">
        <v>3131</v>
      </c>
      <c r="Q1633" s="1" t="s">
        <v>3132</v>
      </c>
      <c r="R1633" s="1">
        <v>0.0</v>
      </c>
      <c r="S1633" s="1"/>
    </row>
    <row r="1634" ht="15.75" customHeight="1">
      <c r="A1634" s="1" t="s">
        <v>3897</v>
      </c>
      <c r="B1634" s="1" t="s">
        <v>3898</v>
      </c>
      <c r="C1634" s="1" t="s">
        <v>174</v>
      </c>
      <c r="E1634" s="1">
        <v>28.4696711</v>
      </c>
      <c r="F1634" s="1">
        <v>77.0391838</v>
      </c>
      <c r="G1634" s="1" t="s">
        <v>54</v>
      </c>
      <c r="H1634" s="1" t="s">
        <v>55</v>
      </c>
      <c r="J1634" s="1" t="s">
        <v>56</v>
      </c>
      <c r="K1634" s="1" t="s">
        <v>26</v>
      </c>
      <c r="L1634" s="1" t="s">
        <v>27</v>
      </c>
      <c r="N1634" s="1" t="s">
        <v>174</v>
      </c>
      <c r="O1634" s="1" t="s">
        <v>57</v>
      </c>
      <c r="P1634" s="1" t="s">
        <v>3875</v>
      </c>
      <c r="Q1634" s="1" t="s">
        <v>3876</v>
      </c>
      <c r="R1634" s="1">
        <v>3.0</v>
      </c>
      <c r="S1634" s="1"/>
    </row>
    <row r="1635" ht="15.75" customHeight="1">
      <c r="A1635" s="1" t="s">
        <v>3899</v>
      </c>
      <c r="B1635" s="1" t="s">
        <v>3900</v>
      </c>
      <c r="C1635" s="1" t="s">
        <v>1949</v>
      </c>
      <c r="E1635" s="1">
        <v>30.3273769</v>
      </c>
      <c r="F1635" s="1">
        <v>78.032212</v>
      </c>
      <c r="G1635" s="1" t="s">
        <v>54</v>
      </c>
      <c r="H1635" s="1" t="s">
        <v>55</v>
      </c>
      <c r="J1635" s="1" t="s">
        <v>56</v>
      </c>
      <c r="K1635" s="1" t="s">
        <v>26</v>
      </c>
      <c r="L1635" s="1" t="s">
        <v>27</v>
      </c>
      <c r="N1635" s="1" t="s">
        <v>1950</v>
      </c>
      <c r="O1635" s="1" t="s">
        <v>57</v>
      </c>
      <c r="P1635" s="1" t="s">
        <v>887</v>
      </c>
      <c r="Q1635" s="1" t="s">
        <v>888</v>
      </c>
      <c r="R1635" s="1">
        <v>1.0</v>
      </c>
      <c r="S1635" s="1"/>
    </row>
    <row r="1636" ht="15.75" customHeight="1">
      <c r="A1636" s="1" t="s">
        <v>3901</v>
      </c>
      <c r="B1636" s="1" t="s">
        <v>3902</v>
      </c>
      <c r="C1636" s="1" t="s">
        <v>148</v>
      </c>
      <c r="E1636" s="1">
        <v>19.2126939</v>
      </c>
      <c r="F1636" s="1">
        <v>72.84845469999999</v>
      </c>
      <c r="G1636" s="1" t="s">
        <v>54</v>
      </c>
      <c r="H1636" s="1" t="s">
        <v>55</v>
      </c>
      <c r="J1636" s="1" t="s">
        <v>56</v>
      </c>
      <c r="K1636" s="1" t="s">
        <v>26</v>
      </c>
      <c r="L1636" s="1" t="s">
        <v>27</v>
      </c>
      <c r="N1636" s="1" t="s">
        <v>143</v>
      </c>
      <c r="O1636" s="1" t="s">
        <v>57</v>
      </c>
      <c r="P1636" s="1" t="s">
        <v>2300</v>
      </c>
      <c r="Q1636" s="1" t="s">
        <v>2301</v>
      </c>
      <c r="R1636" s="1">
        <v>0.0</v>
      </c>
      <c r="S1636" s="1"/>
    </row>
    <row r="1637" ht="15.75" customHeight="1">
      <c r="A1637" s="1" t="s">
        <v>3903</v>
      </c>
      <c r="B1637" s="1" t="s">
        <v>3904</v>
      </c>
      <c r="C1637" s="1" t="s">
        <v>148</v>
      </c>
      <c r="E1637" s="1">
        <v>19.2218639</v>
      </c>
      <c r="F1637" s="1">
        <v>72.97717229999999</v>
      </c>
      <c r="G1637" s="1" t="s">
        <v>54</v>
      </c>
      <c r="H1637" s="1" t="s">
        <v>55</v>
      </c>
      <c r="J1637" s="1" t="s">
        <v>56</v>
      </c>
      <c r="K1637" s="1" t="s">
        <v>26</v>
      </c>
      <c r="L1637" s="1" t="s">
        <v>27</v>
      </c>
      <c r="N1637" s="1" t="s">
        <v>143</v>
      </c>
      <c r="O1637" s="1" t="s">
        <v>57</v>
      </c>
      <c r="P1637" s="1" t="s">
        <v>2300</v>
      </c>
      <c r="Q1637" s="1" t="s">
        <v>2301</v>
      </c>
      <c r="R1637" s="1">
        <v>2.0</v>
      </c>
      <c r="S1637" s="1"/>
    </row>
    <row r="1638" ht="15.75" customHeight="1">
      <c r="A1638" s="1" t="s">
        <v>3905</v>
      </c>
      <c r="B1638" s="1" t="s">
        <v>3906</v>
      </c>
      <c r="C1638" s="1" t="s">
        <v>3026</v>
      </c>
      <c r="E1638" s="1">
        <v>30.3694669</v>
      </c>
      <c r="F1638" s="1">
        <v>76.7867029</v>
      </c>
      <c r="G1638" s="1" t="s">
        <v>54</v>
      </c>
      <c r="H1638" s="1" t="s">
        <v>55</v>
      </c>
      <c r="J1638" s="1" t="s">
        <v>56</v>
      </c>
      <c r="K1638" s="1" t="s">
        <v>26</v>
      </c>
      <c r="L1638" s="1" t="s">
        <v>27</v>
      </c>
      <c r="N1638" s="1" t="s">
        <v>163</v>
      </c>
      <c r="O1638" s="1" t="s">
        <v>57</v>
      </c>
      <c r="P1638" s="1" t="s">
        <v>973</v>
      </c>
      <c r="Q1638" s="1" t="s">
        <v>974</v>
      </c>
      <c r="R1638" s="1">
        <v>0.0</v>
      </c>
      <c r="S1638" s="1"/>
    </row>
    <row r="1639" ht="15.75" customHeight="1">
      <c r="A1639" s="1" t="s">
        <v>3907</v>
      </c>
      <c r="B1639" s="1" t="s">
        <v>3908</v>
      </c>
      <c r="C1639" s="1" t="s">
        <v>3188</v>
      </c>
      <c r="E1639" s="1">
        <v>29.9723721</v>
      </c>
      <c r="F1639" s="1">
        <v>76.83943909999999</v>
      </c>
      <c r="G1639" s="1" t="s">
        <v>54</v>
      </c>
      <c r="H1639" s="1" t="s">
        <v>55</v>
      </c>
      <c r="J1639" s="1" t="s">
        <v>56</v>
      </c>
      <c r="K1639" s="1" t="s">
        <v>26</v>
      </c>
      <c r="L1639" s="1" t="s">
        <v>27</v>
      </c>
      <c r="N1639" s="1" t="s">
        <v>163</v>
      </c>
      <c r="O1639" s="1" t="s">
        <v>57</v>
      </c>
      <c r="P1639" s="1" t="s">
        <v>973</v>
      </c>
      <c r="Q1639" s="1" t="s">
        <v>974</v>
      </c>
      <c r="R1639" s="1">
        <v>0.0</v>
      </c>
      <c r="S1639" s="1"/>
    </row>
    <row r="1640" ht="15.75" customHeight="1">
      <c r="A1640" s="1" t="s">
        <v>3909</v>
      </c>
      <c r="B1640" s="1" t="s">
        <v>3910</v>
      </c>
      <c r="C1640" s="1" t="s">
        <v>1078</v>
      </c>
      <c r="E1640" s="1">
        <v>12.9362998</v>
      </c>
      <c r="F1640" s="1">
        <v>77.62787349999999</v>
      </c>
      <c r="G1640" s="1" t="s">
        <v>54</v>
      </c>
      <c r="H1640" s="1" t="s">
        <v>55</v>
      </c>
      <c r="J1640" s="1" t="s">
        <v>56</v>
      </c>
      <c r="K1640" s="1" t="s">
        <v>26</v>
      </c>
      <c r="L1640" s="1" t="s">
        <v>27</v>
      </c>
      <c r="N1640" s="1" t="s">
        <v>743</v>
      </c>
      <c r="O1640" s="1" t="s">
        <v>57</v>
      </c>
      <c r="P1640" s="1" t="s">
        <v>1079</v>
      </c>
      <c r="Q1640" s="1" t="s">
        <v>1080</v>
      </c>
      <c r="R1640" s="1">
        <v>5.0</v>
      </c>
      <c r="S1640" s="1"/>
    </row>
    <row r="1641" ht="15.75" customHeight="1">
      <c r="A1641" s="1" t="s">
        <v>3911</v>
      </c>
      <c r="B1641" s="1" t="s">
        <v>3912</v>
      </c>
      <c r="C1641" s="1" t="s">
        <v>3683</v>
      </c>
      <c r="E1641" s="1">
        <v>28.3550488</v>
      </c>
      <c r="F1641" s="1">
        <v>79.41635459999999</v>
      </c>
      <c r="G1641" s="1" t="s">
        <v>54</v>
      </c>
      <c r="H1641" s="1" t="s">
        <v>55</v>
      </c>
      <c r="J1641" s="1" t="s">
        <v>56</v>
      </c>
      <c r="K1641" s="1" t="s">
        <v>26</v>
      </c>
      <c r="L1641" s="1" t="s">
        <v>27</v>
      </c>
      <c r="N1641" s="1" t="s">
        <v>28</v>
      </c>
      <c r="O1641" s="1" t="s">
        <v>57</v>
      </c>
      <c r="P1641" s="1" t="s">
        <v>3468</v>
      </c>
      <c r="Q1641" s="1" t="s">
        <v>3469</v>
      </c>
      <c r="R1641" s="1">
        <v>0.0</v>
      </c>
      <c r="S1641" s="1"/>
    </row>
    <row r="1642" ht="15.75" customHeight="1">
      <c r="A1642" s="1" t="s">
        <v>3913</v>
      </c>
      <c r="B1642" s="1" t="s">
        <v>3914</v>
      </c>
      <c r="C1642" s="1" t="s">
        <v>446</v>
      </c>
      <c r="E1642" s="1">
        <v>22.3261101</v>
      </c>
      <c r="F1642" s="1">
        <v>73.20221049999999</v>
      </c>
      <c r="G1642" s="1" t="s">
        <v>54</v>
      </c>
      <c r="H1642" s="1" t="s">
        <v>55</v>
      </c>
      <c r="J1642" s="1" t="s">
        <v>56</v>
      </c>
      <c r="K1642" s="1" t="s">
        <v>26</v>
      </c>
      <c r="L1642" s="1" t="s">
        <v>27</v>
      </c>
      <c r="N1642" s="1" t="s">
        <v>216</v>
      </c>
      <c r="O1642" s="1" t="s">
        <v>57</v>
      </c>
      <c r="P1642" s="1" t="s">
        <v>3342</v>
      </c>
      <c r="Q1642" s="1" t="s">
        <v>3343</v>
      </c>
      <c r="R1642" s="1">
        <v>0.0</v>
      </c>
      <c r="S1642" s="1"/>
    </row>
    <row r="1643" ht="15.75" customHeight="1">
      <c r="A1643" s="1" t="s">
        <v>3915</v>
      </c>
      <c r="B1643" s="1" t="s">
        <v>3916</v>
      </c>
      <c r="C1643" s="1" t="s">
        <v>3197</v>
      </c>
      <c r="E1643" s="1">
        <v>24.5443247</v>
      </c>
      <c r="F1643" s="1">
        <v>81.3065831</v>
      </c>
      <c r="G1643" s="1" t="s">
        <v>54</v>
      </c>
      <c r="H1643" s="1" t="s">
        <v>55</v>
      </c>
      <c r="J1643" s="1" t="s">
        <v>56</v>
      </c>
      <c r="K1643" s="1" t="s">
        <v>26</v>
      </c>
      <c r="L1643" s="1" t="s">
        <v>27</v>
      </c>
      <c r="N1643" s="1" t="s">
        <v>28</v>
      </c>
      <c r="O1643" s="1" t="s">
        <v>57</v>
      </c>
      <c r="P1643" s="1" t="s">
        <v>3243</v>
      </c>
      <c r="Q1643" s="1" t="s">
        <v>3244</v>
      </c>
      <c r="R1643" s="1">
        <v>0.0</v>
      </c>
      <c r="S1643" s="1"/>
    </row>
    <row r="1644" ht="15.75" customHeight="1">
      <c r="A1644" s="1" t="s">
        <v>3917</v>
      </c>
      <c r="B1644" s="1" t="s">
        <v>3918</v>
      </c>
      <c r="C1644" s="1" t="s">
        <v>162</v>
      </c>
      <c r="E1644" s="1">
        <v>28.386974</v>
      </c>
      <c r="F1644" s="1">
        <v>77.2989655</v>
      </c>
      <c r="G1644" s="1" t="s">
        <v>54</v>
      </c>
      <c r="H1644" s="1" t="s">
        <v>55</v>
      </c>
      <c r="J1644" s="1" t="s">
        <v>56</v>
      </c>
      <c r="K1644" s="1" t="s">
        <v>26</v>
      </c>
      <c r="L1644" s="1" t="s">
        <v>27</v>
      </c>
      <c r="N1644" s="1" t="s">
        <v>163</v>
      </c>
      <c r="O1644" s="1" t="s">
        <v>57</v>
      </c>
      <c r="P1644" s="1" t="s">
        <v>3919</v>
      </c>
      <c r="Q1644" s="1" t="s">
        <v>3920</v>
      </c>
      <c r="R1644" s="1">
        <v>1.0</v>
      </c>
      <c r="S1644" s="1"/>
    </row>
    <row r="1645" ht="15.75" customHeight="1">
      <c r="A1645" s="1" t="s">
        <v>3921</v>
      </c>
      <c r="B1645" s="1" t="s">
        <v>3922</v>
      </c>
      <c r="C1645" s="1" t="s">
        <v>1315</v>
      </c>
      <c r="E1645" s="1">
        <v>16.7470648</v>
      </c>
      <c r="F1645" s="1">
        <v>77.9876645</v>
      </c>
      <c r="G1645" s="1" t="s">
        <v>54</v>
      </c>
      <c r="H1645" s="1" t="s">
        <v>55</v>
      </c>
      <c r="J1645" s="1" t="s">
        <v>56</v>
      </c>
      <c r="K1645" s="1" t="s">
        <v>26</v>
      </c>
      <c r="L1645" s="1" t="s">
        <v>27</v>
      </c>
      <c r="N1645" s="1" t="s">
        <v>186</v>
      </c>
      <c r="O1645" s="1" t="s">
        <v>57</v>
      </c>
      <c r="P1645" s="1" t="s">
        <v>2074</v>
      </c>
      <c r="Q1645" s="1" t="s">
        <v>2075</v>
      </c>
      <c r="R1645" s="1">
        <v>0.0</v>
      </c>
      <c r="S1645" s="1"/>
    </row>
    <row r="1646" ht="15.75" customHeight="1">
      <c r="A1646" s="1" t="s">
        <v>3923</v>
      </c>
      <c r="B1646" s="1" t="s">
        <v>3924</v>
      </c>
      <c r="C1646" s="1" t="s">
        <v>2398</v>
      </c>
      <c r="E1646" s="1">
        <v>10.0207583</v>
      </c>
      <c r="F1646" s="1">
        <v>77.4799469</v>
      </c>
      <c r="G1646" s="1" t="s">
        <v>54</v>
      </c>
      <c r="H1646" s="1" t="s">
        <v>55</v>
      </c>
      <c r="J1646" s="1" t="s">
        <v>56</v>
      </c>
      <c r="K1646" s="1" t="s">
        <v>26</v>
      </c>
      <c r="L1646" s="1" t="s">
        <v>27</v>
      </c>
      <c r="N1646" s="1" t="s">
        <v>1097</v>
      </c>
      <c r="O1646" s="1" t="s">
        <v>57</v>
      </c>
      <c r="P1646" s="1" t="s">
        <v>3219</v>
      </c>
      <c r="Q1646" s="1" t="s">
        <v>3220</v>
      </c>
      <c r="R1646" s="1">
        <v>0.0</v>
      </c>
      <c r="S1646" s="1"/>
    </row>
    <row r="1647" ht="15.75" customHeight="1">
      <c r="A1647" s="1" t="s">
        <v>3925</v>
      </c>
      <c r="B1647" s="1" t="s">
        <v>3926</v>
      </c>
      <c r="C1647" s="1" t="s">
        <v>1978</v>
      </c>
      <c r="E1647" s="1">
        <v>19.9285314</v>
      </c>
      <c r="F1647" s="1">
        <v>73.8332494</v>
      </c>
      <c r="G1647" s="1" t="s">
        <v>54</v>
      </c>
      <c r="H1647" s="1" t="s">
        <v>55</v>
      </c>
      <c r="J1647" s="1" t="s">
        <v>56</v>
      </c>
      <c r="K1647" s="1" t="s">
        <v>26</v>
      </c>
      <c r="L1647" s="1" t="s">
        <v>27</v>
      </c>
      <c r="N1647" s="1" t="s">
        <v>143</v>
      </c>
      <c r="O1647" s="1" t="s">
        <v>57</v>
      </c>
      <c r="P1647" s="1" t="s">
        <v>2239</v>
      </c>
      <c r="Q1647" s="1" t="s">
        <v>2240</v>
      </c>
      <c r="R1647" s="1">
        <v>0.0</v>
      </c>
      <c r="S1647" s="1"/>
    </row>
    <row r="1648" ht="15.75" customHeight="1">
      <c r="A1648" s="1" t="s">
        <v>3927</v>
      </c>
      <c r="B1648" s="1" t="s">
        <v>3928</v>
      </c>
      <c r="C1648" s="1" t="s">
        <v>3929</v>
      </c>
      <c r="E1648" s="1">
        <v>13.3249822</v>
      </c>
      <c r="F1648" s="1">
        <v>75.7730658</v>
      </c>
      <c r="G1648" s="1" t="s">
        <v>54</v>
      </c>
      <c r="H1648" s="1" t="s">
        <v>55</v>
      </c>
      <c r="J1648" s="1" t="s">
        <v>56</v>
      </c>
      <c r="K1648" s="1" t="s">
        <v>26</v>
      </c>
      <c r="L1648" s="1" t="s">
        <v>27</v>
      </c>
      <c r="N1648" s="1" t="s">
        <v>743</v>
      </c>
      <c r="O1648" s="1" t="s">
        <v>57</v>
      </c>
      <c r="P1648" s="1" t="s">
        <v>1079</v>
      </c>
      <c r="Q1648" s="1" t="s">
        <v>1080</v>
      </c>
      <c r="R1648" s="1">
        <v>0.0</v>
      </c>
      <c r="S1648" s="1"/>
    </row>
    <row r="1649" ht="15.75" customHeight="1">
      <c r="A1649" s="1" t="s">
        <v>3930</v>
      </c>
      <c r="B1649" s="1" t="s">
        <v>3931</v>
      </c>
      <c r="C1649" s="1" t="s">
        <v>3932</v>
      </c>
      <c r="E1649" s="1">
        <v>25.4488798</v>
      </c>
      <c r="F1649" s="1">
        <v>78.5682033</v>
      </c>
      <c r="G1649" s="1" t="s">
        <v>54</v>
      </c>
      <c r="H1649" s="1" t="s">
        <v>55</v>
      </c>
      <c r="J1649" s="1" t="s">
        <v>56</v>
      </c>
      <c r="K1649" s="1" t="s">
        <v>26</v>
      </c>
      <c r="L1649" s="1" t="s">
        <v>27</v>
      </c>
      <c r="N1649" s="1" t="s">
        <v>28</v>
      </c>
      <c r="O1649" s="1" t="s">
        <v>57</v>
      </c>
      <c r="P1649" s="1" t="s">
        <v>3468</v>
      </c>
      <c r="Q1649" s="1" t="s">
        <v>3469</v>
      </c>
      <c r="R1649" s="1">
        <v>0.0</v>
      </c>
      <c r="S1649" s="1"/>
    </row>
    <row r="1650" ht="15.75" customHeight="1">
      <c r="A1650" s="1" t="s">
        <v>3933</v>
      </c>
      <c r="B1650" s="1" t="s">
        <v>3934</v>
      </c>
      <c r="C1650" s="1" t="s">
        <v>151</v>
      </c>
      <c r="E1650" s="1">
        <v>18.5910192</v>
      </c>
      <c r="F1650" s="1">
        <v>73.76649669999999</v>
      </c>
      <c r="G1650" s="1" t="s">
        <v>54</v>
      </c>
      <c r="H1650" s="1" t="s">
        <v>55</v>
      </c>
      <c r="J1650" s="1" t="s">
        <v>56</v>
      </c>
      <c r="K1650" s="1" t="s">
        <v>26</v>
      </c>
      <c r="L1650" s="1" t="s">
        <v>27</v>
      </c>
      <c r="N1650" s="1" t="s">
        <v>143</v>
      </c>
      <c r="O1650" s="1" t="s">
        <v>57</v>
      </c>
      <c r="P1650" s="1" t="s">
        <v>3233</v>
      </c>
      <c r="Q1650" s="1" t="s">
        <v>3234</v>
      </c>
      <c r="R1650" s="1">
        <v>1.0</v>
      </c>
      <c r="S1650" s="1"/>
    </row>
    <row r="1651" ht="15.75" customHeight="1">
      <c r="A1651" s="1" t="s">
        <v>3935</v>
      </c>
      <c r="B1651" s="1" t="s">
        <v>3936</v>
      </c>
      <c r="C1651" s="1" t="s">
        <v>911</v>
      </c>
      <c r="E1651" s="1">
        <v>28.1917037</v>
      </c>
      <c r="F1651" s="1">
        <v>76.8136541</v>
      </c>
      <c r="G1651" s="1" t="s">
        <v>54</v>
      </c>
      <c r="H1651" s="1" t="s">
        <v>55</v>
      </c>
      <c r="J1651" s="1" t="s">
        <v>56</v>
      </c>
      <c r="K1651" s="1" t="s">
        <v>26</v>
      </c>
      <c r="L1651" s="1" t="s">
        <v>27</v>
      </c>
      <c r="N1651" s="1" t="s">
        <v>849</v>
      </c>
      <c r="O1651" s="1" t="s">
        <v>57</v>
      </c>
      <c r="P1651" s="1" t="s">
        <v>887</v>
      </c>
      <c r="Q1651" s="1" t="s">
        <v>888</v>
      </c>
      <c r="R1651" s="1">
        <v>0.0</v>
      </c>
      <c r="S1651" s="1"/>
    </row>
    <row r="1652" ht="15.75" customHeight="1">
      <c r="A1652" s="1" t="s">
        <v>3937</v>
      </c>
      <c r="B1652" s="1" t="s">
        <v>3938</v>
      </c>
      <c r="C1652" s="1" t="s">
        <v>2125</v>
      </c>
      <c r="E1652" s="1">
        <v>22.6241258</v>
      </c>
      <c r="F1652" s="1">
        <v>88.3536144</v>
      </c>
      <c r="G1652" s="1" t="s">
        <v>54</v>
      </c>
      <c r="H1652" s="1" t="s">
        <v>55</v>
      </c>
      <c r="J1652" s="1" t="s">
        <v>56</v>
      </c>
      <c r="K1652" s="1" t="s">
        <v>26</v>
      </c>
      <c r="L1652" s="1" t="s">
        <v>27</v>
      </c>
      <c r="N1652" s="1" t="s">
        <v>532</v>
      </c>
      <c r="O1652" s="1" t="s">
        <v>57</v>
      </c>
      <c r="P1652" s="1" t="s">
        <v>3131</v>
      </c>
      <c r="Q1652" s="1" t="s">
        <v>3132</v>
      </c>
      <c r="R1652" s="1">
        <v>0.0</v>
      </c>
      <c r="S1652" s="1"/>
    </row>
    <row r="1653" ht="15.75" customHeight="1">
      <c r="A1653" s="1" t="s">
        <v>3939</v>
      </c>
      <c r="B1653" s="1" t="s">
        <v>3940</v>
      </c>
      <c r="C1653" s="1" t="s">
        <v>758</v>
      </c>
      <c r="E1653" s="1">
        <v>23.250215</v>
      </c>
      <c r="F1653" s="1">
        <v>77.4668774</v>
      </c>
      <c r="G1653" s="1" t="s">
        <v>54</v>
      </c>
      <c r="H1653" s="1" t="s">
        <v>55</v>
      </c>
      <c r="J1653" s="1" t="s">
        <v>56</v>
      </c>
      <c r="K1653" s="1" t="s">
        <v>26</v>
      </c>
      <c r="L1653" s="1" t="s">
        <v>27</v>
      </c>
      <c r="N1653" s="1" t="s">
        <v>732</v>
      </c>
      <c r="O1653" s="1" t="s">
        <v>57</v>
      </c>
      <c r="P1653" s="1" t="s">
        <v>3243</v>
      </c>
      <c r="Q1653" s="1" t="s">
        <v>3244</v>
      </c>
      <c r="R1653" s="1">
        <v>0.0</v>
      </c>
      <c r="S1653" s="1"/>
    </row>
    <row r="1654" ht="15.75" customHeight="1">
      <c r="A1654" s="1" t="s">
        <v>3941</v>
      </c>
      <c r="B1654" s="1" t="s">
        <v>3942</v>
      </c>
      <c r="C1654" s="1" t="s">
        <v>148</v>
      </c>
      <c r="E1654" s="1">
        <v>19.1385361</v>
      </c>
      <c r="F1654" s="1">
        <v>72.8322479</v>
      </c>
      <c r="G1654" s="1" t="s">
        <v>54</v>
      </c>
      <c r="H1654" s="1" t="s">
        <v>55</v>
      </c>
      <c r="J1654" s="1" t="s">
        <v>56</v>
      </c>
      <c r="K1654" s="1" t="s">
        <v>26</v>
      </c>
      <c r="L1654" s="1" t="s">
        <v>27</v>
      </c>
      <c r="N1654" s="1" t="s">
        <v>143</v>
      </c>
      <c r="O1654" s="1" t="s">
        <v>57</v>
      </c>
      <c r="P1654" s="1" t="s">
        <v>2300</v>
      </c>
      <c r="Q1654" s="1" t="s">
        <v>2301</v>
      </c>
      <c r="R1654" s="1">
        <v>1.0</v>
      </c>
      <c r="S1654" s="1"/>
    </row>
    <row r="1655" ht="15.75" customHeight="1">
      <c r="A1655" s="1" t="s">
        <v>3943</v>
      </c>
      <c r="B1655" s="1" t="s">
        <v>3944</v>
      </c>
      <c r="C1655" s="1" t="s">
        <v>3945</v>
      </c>
      <c r="E1655" s="1">
        <v>17.6037717</v>
      </c>
      <c r="F1655" s="1">
        <v>78.0840176</v>
      </c>
      <c r="G1655" s="1" t="s">
        <v>54</v>
      </c>
      <c r="H1655" s="1" t="s">
        <v>55</v>
      </c>
      <c r="J1655" s="1" t="s">
        <v>56</v>
      </c>
      <c r="K1655" s="1" t="s">
        <v>26</v>
      </c>
      <c r="L1655" s="1" t="s">
        <v>27</v>
      </c>
      <c r="N1655" s="1" t="s">
        <v>186</v>
      </c>
      <c r="O1655" s="1" t="s">
        <v>57</v>
      </c>
      <c r="P1655" s="1" t="s">
        <v>2074</v>
      </c>
      <c r="Q1655" s="1" t="s">
        <v>2075</v>
      </c>
      <c r="R1655" s="1">
        <v>0.0</v>
      </c>
      <c r="S1655" s="1"/>
    </row>
    <row r="1656" ht="15.75" customHeight="1">
      <c r="A1656" s="1" t="s">
        <v>3946</v>
      </c>
      <c r="B1656" s="1" t="s">
        <v>3947</v>
      </c>
      <c r="C1656" s="1" t="s">
        <v>148</v>
      </c>
      <c r="E1656" s="1">
        <v>19.0424609</v>
      </c>
      <c r="F1656" s="1">
        <v>73.0771986</v>
      </c>
      <c r="G1656" s="1" t="s">
        <v>54</v>
      </c>
      <c r="H1656" s="1" t="s">
        <v>55</v>
      </c>
      <c r="J1656" s="1" t="s">
        <v>56</v>
      </c>
      <c r="K1656" s="1" t="s">
        <v>26</v>
      </c>
      <c r="L1656" s="1" t="s">
        <v>27</v>
      </c>
      <c r="N1656" s="1" t="s">
        <v>143</v>
      </c>
      <c r="O1656" s="1" t="s">
        <v>57</v>
      </c>
      <c r="P1656" s="1" t="s">
        <v>2300</v>
      </c>
      <c r="Q1656" s="1" t="s">
        <v>2301</v>
      </c>
      <c r="R1656" s="1">
        <v>1.0</v>
      </c>
      <c r="S1656" s="1"/>
    </row>
    <row r="1657" ht="15.75" customHeight="1">
      <c r="A1657" s="1" t="s">
        <v>3948</v>
      </c>
      <c r="B1657" s="1" t="s">
        <v>3949</v>
      </c>
      <c r="C1657" s="1" t="s">
        <v>1078</v>
      </c>
      <c r="E1657" s="1">
        <v>13.0913658</v>
      </c>
      <c r="F1657" s="1">
        <v>77.4078552</v>
      </c>
      <c r="G1657" s="1" t="s">
        <v>54</v>
      </c>
      <c r="H1657" s="1" t="s">
        <v>55</v>
      </c>
      <c r="J1657" s="1" t="s">
        <v>56</v>
      </c>
      <c r="K1657" s="1" t="s">
        <v>26</v>
      </c>
      <c r="L1657" s="1" t="s">
        <v>27</v>
      </c>
      <c r="N1657" s="1" t="s">
        <v>743</v>
      </c>
      <c r="O1657" s="1" t="s">
        <v>57</v>
      </c>
      <c r="P1657" s="1" t="s">
        <v>1079</v>
      </c>
      <c r="Q1657" s="1" t="s">
        <v>1080</v>
      </c>
      <c r="R1657" s="1">
        <v>2.0</v>
      </c>
      <c r="S1657" s="1"/>
    </row>
    <row r="1658" ht="15.75" customHeight="1">
      <c r="A1658" s="1" t="s">
        <v>3950</v>
      </c>
      <c r="B1658" s="1" t="s">
        <v>3951</v>
      </c>
      <c r="C1658" s="1" t="s">
        <v>185</v>
      </c>
      <c r="E1658" s="1">
        <v>17.430344</v>
      </c>
      <c r="F1658" s="1">
        <v>78.5533353</v>
      </c>
      <c r="G1658" s="1" t="s">
        <v>54</v>
      </c>
      <c r="H1658" s="1" t="s">
        <v>55</v>
      </c>
      <c r="J1658" s="1" t="s">
        <v>56</v>
      </c>
      <c r="K1658" s="1" t="s">
        <v>26</v>
      </c>
      <c r="L1658" s="1" t="s">
        <v>27</v>
      </c>
      <c r="N1658" s="1" t="s">
        <v>186</v>
      </c>
      <c r="O1658" s="1" t="s">
        <v>57</v>
      </c>
      <c r="P1658" s="1" t="s">
        <v>2074</v>
      </c>
      <c r="Q1658" s="1" t="s">
        <v>2075</v>
      </c>
      <c r="R1658" s="1">
        <v>0.0</v>
      </c>
      <c r="S1658" s="1"/>
    </row>
    <row r="1659" ht="15.75" customHeight="1">
      <c r="A1659" s="1" t="s">
        <v>3952</v>
      </c>
      <c r="B1659" s="1" t="s">
        <v>3953</v>
      </c>
      <c r="C1659" s="1" t="s">
        <v>185</v>
      </c>
      <c r="E1659" s="1">
        <v>17.3680388</v>
      </c>
      <c r="F1659" s="1">
        <v>78.5396485</v>
      </c>
      <c r="G1659" s="1" t="s">
        <v>54</v>
      </c>
      <c r="H1659" s="1" t="s">
        <v>55</v>
      </c>
      <c r="J1659" s="1" t="s">
        <v>56</v>
      </c>
      <c r="K1659" s="1" t="s">
        <v>26</v>
      </c>
      <c r="L1659" s="1" t="s">
        <v>27</v>
      </c>
      <c r="N1659" s="1" t="s">
        <v>186</v>
      </c>
      <c r="O1659" s="1" t="s">
        <v>57</v>
      </c>
      <c r="P1659" s="1" t="s">
        <v>2074</v>
      </c>
      <c r="Q1659" s="1" t="s">
        <v>2075</v>
      </c>
      <c r="R1659" s="1">
        <v>2.0</v>
      </c>
      <c r="S1659" s="1"/>
    </row>
    <row r="1660" ht="15.75" customHeight="1">
      <c r="A1660" s="1" t="s">
        <v>3954</v>
      </c>
      <c r="B1660" s="1" t="s">
        <v>3955</v>
      </c>
      <c r="C1660" s="1" t="s">
        <v>3956</v>
      </c>
      <c r="E1660" s="1">
        <v>16.5470813</v>
      </c>
      <c r="F1660" s="1">
        <v>81.517218</v>
      </c>
      <c r="G1660" s="1" t="s">
        <v>54</v>
      </c>
      <c r="H1660" s="1" t="s">
        <v>55</v>
      </c>
      <c r="J1660" s="1" t="s">
        <v>56</v>
      </c>
      <c r="K1660" s="1" t="s">
        <v>26</v>
      </c>
      <c r="L1660" s="1" t="s">
        <v>27</v>
      </c>
      <c r="N1660" s="1" t="s">
        <v>464</v>
      </c>
      <c r="O1660" s="1" t="s">
        <v>57</v>
      </c>
      <c r="P1660" s="1" t="s">
        <v>2074</v>
      </c>
      <c r="Q1660" s="1" t="s">
        <v>2075</v>
      </c>
      <c r="R1660" s="1">
        <v>0.0</v>
      </c>
      <c r="S1660" s="1"/>
    </row>
    <row r="1661" ht="15.75" customHeight="1">
      <c r="A1661" s="1" t="s">
        <v>3957</v>
      </c>
      <c r="B1661" s="1" t="s">
        <v>3958</v>
      </c>
      <c r="C1661" s="1" t="s">
        <v>3104</v>
      </c>
      <c r="E1661" s="1">
        <v>26.280446</v>
      </c>
      <c r="F1661" s="1">
        <v>73.0192917</v>
      </c>
      <c r="G1661" s="1" t="s">
        <v>54</v>
      </c>
      <c r="H1661" s="1" t="s">
        <v>55</v>
      </c>
      <c r="J1661" s="1" t="s">
        <v>56</v>
      </c>
      <c r="K1661" s="1" t="s">
        <v>26</v>
      </c>
      <c r="L1661" s="1" t="s">
        <v>27</v>
      </c>
      <c r="N1661" s="1" t="s">
        <v>849</v>
      </c>
      <c r="O1661" s="1" t="s">
        <v>57</v>
      </c>
      <c r="P1661" s="1" t="s">
        <v>850</v>
      </c>
      <c r="Q1661" s="1" t="s">
        <v>851</v>
      </c>
      <c r="R1661" s="1">
        <v>0.0</v>
      </c>
      <c r="S1661" s="1"/>
    </row>
    <row r="1662" ht="15.75" customHeight="1">
      <c r="A1662" s="1" t="s">
        <v>3959</v>
      </c>
      <c r="B1662" s="1" t="s">
        <v>3960</v>
      </c>
      <c r="C1662" s="1" t="s">
        <v>3961</v>
      </c>
      <c r="E1662" s="1">
        <v>21.4907518</v>
      </c>
      <c r="F1662" s="1">
        <v>83.98526939999999</v>
      </c>
      <c r="G1662" s="1" t="s">
        <v>54</v>
      </c>
      <c r="H1662" s="1" t="s">
        <v>55</v>
      </c>
      <c r="J1662" s="1" t="s">
        <v>56</v>
      </c>
      <c r="K1662" s="1" t="s">
        <v>26</v>
      </c>
      <c r="L1662" s="1" t="s">
        <v>27</v>
      </c>
      <c r="N1662" s="1" t="s">
        <v>1874</v>
      </c>
      <c r="O1662" s="1" t="s">
        <v>57</v>
      </c>
      <c r="P1662" s="1" t="s">
        <v>3131</v>
      </c>
      <c r="Q1662" s="1" t="s">
        <v>3132</v>
      </c>
      <c r="R1662" s="1">
        <v>0.0</v>
      </c>
      <c r="S1662" s="1"/>
    </row>
    <row r="1663" ht="15.75" customHeight="1">
      <c r="A1663" s="1" t="s">
        <v>3962</v>
      </c>
      <c r="B1663" s="1" t="s">
        <v>3963</v>
      </c>
      <c r="C1663" s="1" t="s">
        <v>1188</v>
      </c>
      <c r="E1663" s="1">
        <v>17.2514764</v>
      </c>
      <c r="F1663" s="1">
        <v>80.1479896</v>
      </c>
      <c r="G1663" s="1" t="s">
        <v>54</v>
      </c>
      <c r="H1663" s="1" t="s">
        <v>55</v>
      </c>
      <c r="J1663" s="1" t="s">
        <v>56</v>
      </c>
      <c r="K1663" s="1" t="s">
        <v>26</v>
      </c>
      <c r="L1663" s="1" t="s">
        <v>27</v>
      </c>
      <c r="N1663" s="1" t="s">
        <v>186</v>
      </c>
      <c r="O1663" s="1" t="s">
        <v>57</v>
      </c>
      <c r="P1663" s="1" t="s">
        <v>2074</v>
      </c>
      <c r="Q1663" s="1" t="s">
        <v>2075</v>
      </c>
      <c r="R1663" s="1">
        <v>0.0</v>
      </c>
      <c r="S1663" s="1"/>
    </row>
    <row r="1664" ht="15.75" customHeight="1">
      <c r="A1664" s="1" t="s">
        <v>3964</v>
      </c>
      <c r="B1664" s="1" t="s">
        <v>3965</v>
      </c>
      <c r="C1664" s="1" t="s">
        <v>3966</v>
      </c>
      <c r="E1664" s="1">
        <v>23.6645794</v>
      </c>
      <c r="F1664" s="1">
        <v>86.1474219</v>
      </c>
      <c r="G1664" s="1" t="s">
        <v>54</v>
      </c>
      <c r="H1664" s="1" t="s">
        <v>55</v>
      </c>
      <c r="J1664" s="1" t="s">
        <v>56</v>
      </c>
      <c r="K1664" s="1" t="s">
        <v>26</v>
      </c>
      <c r="L1664" s="1" t="s">
        <v>27</v>
      </c>
      <c r="N1664" s="1" t="s">
        <v>506</v>
      </c>
      <c r="O1664" s="1" t="s">
        <v>57</v>
      </c>
      <c r="P1664" s="1" t="s">
        <v>3253</v>
      </c>
      <c r="Q1664" s="1" t="s">
        <v>3254</v>
      </c>
      <c r="R1664" s="1">
        <v>0.0</v>
      </c>
      <c r="S1664" s="1"/>
    </row>
    <row r="1665" ht="15.75" customHeight="1">
      <c r="A1665" s="1" t="s">
        <v>3967</v>
      </c>
      <c r="B1665" s="1" t="s">
        <v>3968</v>
      </c>
      <c r="C1665" s="1" t="s">
        <v>3969</v>
      </c>
      <c r="E1665" s="1">
        <v>27.4716977</v>
      </c>
      <c r="F1665" s="1">
        <v>94.91295079999999</v>
      </c>
      <c r="G1665" s="1" t="s">
        <v>54</v>
      </c>
      <c r="H1665" s="1" t="s">
        <v>55</v>
      </c>
      <c r="J1665" s="1" t="s">
        <v>56</v>
      </c>
      <c r="K1665" s="1" t="s">
        <v>26</v>
      </c>
      <c r="L1665" s="1" t="s">
        <v>27</v>
      </c>
      <c r="N1665" s="1" t="s">
        <v>1036</v>
      </c>
      <c r="O1665" s="1" t="s">
        <v>57</v>
      </c>
      <c r="P1665" s="1" t="s">
        <v>3131</v>
      </c>
      <c r="Q1665" s="1" t="s">
        <v>3132</v>
      </c>
      <c r="R1665" s="1">
        <v>0.0</v>
      </c>
      <c r="S1665" s="1"/>
    </row>
    <row r="1666" ht="15.75" customHeight="1">
      <c r="A1666" s="1" t="s">
        <v>3970</v>
      </c>
      <c r="B1666" s="1" t="s">
        <v>3971</v>
      </c>
      <c r="C1666" s="1" t="s">
        <v>531</v>
      </c>
      <c r="E1666" s="1">
        <v>22.37335</v>
      </c>
      <c r="F1666" s="1">
        <v>88.42474750000001</v>
      </c>
      <c r="G1666" s="1" t="s">
        <v>54</v>
      </c>
      <c r="H1666" s="1" t="s">
        <v>55</v>
      </c>
      <c r="J1666" s="1" t="s">
        <v>56</v>
      </c>
      <c r="K1666" s="1" t="s">
        <v>26</v>
      </c>
      <c r="L1666" s="1" t="s">
        <v>27</v>
      </c>
      <c r="N1666" s="1" t="s">
        <v>532</v>
      </c>
      <c r="O1666" s="1" t="s">
        <v>57</v>
      </c>
      <c r="P1666" s="1" t="s">
        <v>3135</v>
      </c>
      <c r="Q1666" s="1" t="s">
        <v>3136</v>
      </c>
      <c r="R1666" s="1">
        <v>0.0</v>
      </c>
      <c r="S1666" s="1"/>
    </row>
    <row r="1667" ht="15.75" customHeight="1">
      <c r="A1667" s="1" t="s">
        <v>3972</v>
      </c>
      <c r="B1667" s="1" t="s">
        <v>3973</v>
      </c>
      <c r="C1667" s="1" t="s">
        <v>1112</v>
      </c>
      <c r="E1667" s="1">
        <v>13.114786</v>
      </c>
      <c r="F1667" s="1">
        <v>80.103098</v>
      </c>
      <c r="G1667" s="1" t="s">
        <v>54</v>
      </c>
      <c r="H1667" s="1" t="s">
        <v>55</v>
      </c>
      <c r="J1667" s="1" t="s">
        <v>56</v>
      </c>
      <c r="K1667" s="1" t="s">
        <v>26</v>
      </c>
      <c r="L1667" s="1" t="s">
        <v>27</v>
      </c>
      <c r="N1667" s="1" t="s">
        <v>1097</v>
      </c>
      <c r="O1667" s="1" t="s">
        <v>57</v>
      </c>
      <c r="P1667" s="1" t="s">
        <v>3219</v>
      </c>
      <c r="Q1667" s="1" t="s">
        <v>3220</v>
      </c>
      <c r="R1667" s="1">
        <v>0.0</v>
      </c>
      <c r="S1667" s="1"/>
    </row>
    <row r="1668" ht="15.75" customHeight="1">
      <c r="A1668" s="1" t="s">
        <v>3974</v>
      </c>
      <c r="B1668" s="1" t="s">
        <v>3975</v>
      </c>
      <c r="C1668" s="1" t="s">
        <v>1078</v>
      </c>
      <c r="E1668" s="1">
        <v>13.0318242</v>
      </c>
      <c r="F1668" s="1">
        <v>77.569766</v>
      </c>
      <c r="G1668" s="1" t="s">
        <v>54</v>
      </c>
      <c r="H1668" s="1" t="s">
        <v>55</v>
      </c>
      <c r="J1668" s="1" t="s">
        <v>56</v>
      </c>
      <c r="K1668" s="1" t="s">
        <v>26</v>
      </c>
      <c r="L1668" s="1" t="s">
        <v>27</v>
      </c>
      <c r="N1668" s="1" t="s">
        <v>743</v>
      </c>
      <c r="O1668" s="1" t="s">
        <v>57</v>
      </c>
      <c r="P1668" s="1" t="s">
        <v>1079</v>
      </c>
      <c r="Q1668" s="1" t="s">
        <v>1080</v>
      </c>
      <c r="R1668" s="1">
        <v>2.0</v>
      </c>
      <c r="S1668" s="1"/>
    </row>
    <row r="1669" ht="15.75" customHeight="1">
      <c r="A1669" s="1" t="s">
        <v>3976</v>
      </c>
      <c r="B1669" s="1" t="s">
        <v>3977</v>
      </c>
      <c r="C1669" s="1" t="s">
        <v>1078</v>
      </c>
      <c r="E1669" s="1">
        <v>12.8652373</v>
      </c>
      <c r="F1669" s="1">
        <v>77.65624950000002</v>
      </c>
      <c r="G1669" s="1" t="s">
        <v>54</v>
      </c>
      <c r="H1669" s="1" t="s">
        <v>55</v>
      </c>
      <c r="J1669" s="1" t="s">
        <v>56</v>
      </c>
      <c r="K1669" s="1" t="s">
        <v>26</v>
      </c>
      <c r="L1669" s="1" t="s">
        <v>27</v>
      </c>
      <c r="N1669" s="1" t="s">
        <v>743</v>
      </c>
      <c r="O1669" s="1" t="s">
        <v>57</v>
      </c>
      <c r="P1669" s="1" t="s">
        <v>1079</v>
      </c>
      <c r="Q1669" s="1" t="s">
        <v>1080</v>
      </c>
      <c r="R1669" s="1">
        <v>1.0</v>
      </c>
      <c r="S1669" s="1"/>
    </row>
    <row r="1670" ht="15.75" customHeight="1">
      <c r="A1670" s="1" t="s">
        <v>3978</v>
      </c>
      <c r="B1670" s="1" t="s">
        <v>3979</v>
      </c>
      <c r="C1670" s="1" t="s">
        <v>3980</v>
      </c>
      <c r="E1670" s="1">
        <v>23.581698</v>
      </c>
      <c r="F1670" s="1">
        <v>72.963696</v>
      </c>
      <c r="G1670" s="1" t="s">
        <v>54</v>
      </c>
      <c r="H1670" s="1" t="s">
        <v>55</v>
      </c>
      <c r="J1670" s="1" t="s">
        <v>56</v>
      </c>
      <c r="K1670" s="1" t="s">
        <v>26</v>
      </c>
      <c r="L1670" s="1" t="s">
        <v>27</v>
      </c>
      <c r="N1670" s="1" t="s">
        <v>216</v>
      </c>
      <c r="O1670" s="1" t="s">
        <v>57</v>
      </c>
      <c r="P1670" s="1" t="s">
        <v>3342</v>
      </c>
      <c r="Q1670" s="1" t="s">
        <v>3343</v>
      </c>
      <c r="R1670" s="1">
        <v>0.0</v>
      </c>
      <c r="S1670" s="1"/>
    </row>
    <row r="1671" ht="15.75" customHeight="1">
      <c r="A1671" s="1" t="s">
        <v>3981</v>
      </c>
      <c r="B1671" s="1" t="s">
        <v>3982</v>
      </c>
      <c r="C1671" s="1" t="s">
        <v>3185</v>
      </c>
      <c r="E1671" s="1">
        <v>28.8942711</v>
      </c>
      <c r="F1671" s="1">
        <v>76.597745</v>
      </c>
      <c r="G1671" s="1" t="s">
        <v>54</v>
      </c>
      <c r="H1671" s="1" t="s">
        <v>55</v>
      </c>
      <c r="J1671" s="1" t="s">
        <v>56</v>
      </c>
      <c r="K1671" s="1" t="s">
        <v>26</v>
      </c>
      <c r="L1671" s="1" t="s">
        <v>27</v>
      </c>
      <c r="N1671" s="1" t="s">
        <v>163</v>
      </c>
      <c r="O1671" s="1" t="s">
        <v>57</v>
      </c>
      <c r="P1671" s="1" t="s">
        <v>938</v>
      </c>
      <c r="Q1671" s="1" t="s">
        <v>939</v>
      </c>
      <c r="R1671" s="1">
        <v>0.0</v>
      </c>
      <c r="S1671" s="1"/>
    </row>
    <row r="1672" ht="15.75" customHeight="1">
      <c r="A1672" s="1" t="s">
        <v>3983</v>
      </c>
      <c r="B1672" s="1" t="s">
        <v>3984</v>
      </c>
      <c r="C1672" s="1" t="s">
        <v>848</v>
      </c>
      <c r="E1672" s="1">
        <v>26.9440954</v>
      </c>
      <c r="F1672" s="1">
        <v>75.744194</v>
      </c>
      <c r="G1672" s="1" t="s">
        <v>54</v>
      </c>
      <c r="H1672" s="1" t="s">
        <v>55</v>
      </c>
      <c r="J1672" s="1" t="s">
        <v>56</v>
      </c>
      <c r="K1672" s="1" t="s">
        <v>26</v>
      </c>
      <c r="L1672" s="1" t="s">
        <v>27</v>
      </c>
      <c r="N1672" s="1" t="s">
        <v>849</v>
      </c>
      <c r="O1672" s="1" t="s">
        <v>57</v>
      </c>
      <c r="P1672" s="1" t="s">
        <v>850</v>
      </c>
      <c r="Q1672" s="1" t="s">
        <v>851</v>
      </c>
      <c r="R1672" s="1">
        <v>0.0</v>
      </c>
      <c r="S1672" s="1"/>
    </row>
    <row r="1673" ht="15.75" customHeight="1">
      <c r="A1673" s="1" t="s">
        <v>3985</v>
      </c>
      <c r="B1673" s="1" t="s">
        <v>3986</v>
      </c>
      <c r="C1673" s="1" t="s">
        <v>483</v>
      </c>
      <c r="E1673" s="1">
        <v>18.0045627</v>
      </c>
      <c r="F1673" s="1">
        <v>79.5629362</v>
      </c>
      <c r="G1673" s="1" t="s">
        <v>54</v>
      </c>
      <c r="H1673" s="1" t="s">
        <v>55</v>
      </c>
      <c r="J1673" s="1" t="s">
        <v>56</v>
      </c>
      <c r="K1673" s="1" t="s">
        <v>26</v>
      </c>
      <c r="L1673" s="1" t="s">
        <v>27</v>
      </c>
      <c r="N1673" s="1" t="s">
        <v>186</v>
      </c>
      <c r="O1673" s="1" t="s">
        <v>57</v>
      </c>
      <c r="P1673" s="1" t="s">
        <v>2074</v>
      </c>
      <c r="Q1673" s="1" t="s">
        <v>2075</v>
      </c>
      <c r="R1673" s="1">
        <v>0.0</v>
      </c>
      <c r="S1673" s="1"/>
    </row>
    <row r="1674" ht="15.75" customHeight="1">
      <c r="A1674" s="1" t="s">
        <v>3987</v>
      </c>
      <c r="B1674" s="1" t="s">
        <v>3988</v>
      </c>
      <c r="C1674" s="1" t="s">
        <v>3989</v>
      </c>
      <c r="E1674" s="1">
        <v>22.1198361</v>
      </c>
      <c r="F1674" s="1">
        <v>84.037452</v>
      </c>
      <c r="G1674" s="1" t="s">
        <v>54</v>
      </c>
      <c r="H1674" s="1" t="s">
        <v>55</v>
      </c>
      <c r="J1674" s="1" t="s">
        <v>56</v>
      </c>
      <c r="K1674" s="1" t="s">
        <v>26</v>
      </c>
      <c r="L1674" s="1" t="s">
        <v>27</v>
      </c>
      <c r="N1674" s="1" t="s">
        <v>1874</v>
      </c>
      <c r="O1674" s="1" t="s">
        <v>57</v>
      </c>
      <c r="P1674" s="1" t="s">
        <v>3131</v>
      </c>
      <c r="Q1674" s="1" t="s">
        <v>3132</v>
      </c>
      <c r="R1674" s="1">
        <v>0.0</v>
      </c>
      <c r="S1674" s="1"/>
    </row>
    <row r="1675" ht="15.75" customHeight="1">
      <c r="A1675" s="1" t="s">
        <v>3990</v>
      </c>
      <c r="B1675" s="1" t="s">
        <v>3991</v>
      </c>
      <c r="C1675" s="1" t="s">
        <v>3992</v>
      </c>
      <c r="E1675" s="1">
        <v>19.31391</v>
      </c>
      <c r="F1675" s="1">
        <v>84.78683280000001</v>
      </c>
      <c r="G1675" s="1" t="s">
        <v>54</v>
      </c>
      <c r="H1675" s="1" t="s">
        <v>55</v>
      </c>
      <c r="J1675" s="1" t="s">
        <v>56</v>
      </c>
      <c r="K1675" s="1" t="s">
        <v>26</v>
      </c>
      <c r="L1675" s="1" t="s">
        <v>27</v>
      </c>
      <c r="N1675" s="1" t="s">
        <v>1874</v>
      </c>
      <c r="O1675" s="1" t="s">
        <v>57</v>
      </c>
      <c r="P1675" s="1" t="s">
        <v>3131</v>
      </c>
      <c r="Q1675" s="1" t="s">
        <v>3132</v>
      </c>
      <c r="R1675" s="1">
        <v>0.0</v>
      </c>
      <c r="S1675" s="1"/>
    </row>
    <row r="1676" ht="15.75" customHeight="1">
      <c r="A1676" s="1" t="s">
        <v>3993</v>
      </c>
      <c r="B1676" s="1" t="s">
        <v>3994</v>
      </c>
      <c r="C1676" s="1" t="s">
        <v>3995</v>
      </c>
      <c r="E1676" s="1">
        <v>20.8379462</v>
      </c>
      <c r="F1676" s="1">
        <v>85.08870519999999</v>
      </c>
      <c r="G1676" s="1" t="s">
        <v>54</v>
      </c>
      <c r="H1676" s="1" t="s">
        <v>55</v>
      </c>
      <c r="J1676" s="1" t="s">
        <v>56</v>
      </c>
      <c r="K1676" s="1" t="s">
        <v>26</v>
      </c>
      <c r="L1676" s="1" t="s">
        <v>27</v>
      </c>
      <c r="N1676" s="1" t="s">
        <v>1874</v>
      </c>
      <c r="O1676" s="1" t="s">
        <v>57</v>
      </c>
      <c r="P1676" s="1" t="s">
        <v>3131</v>
      </c>
      <c r="Q1676" s="1" t="s">
        <v>3132</v>
      </c>
      <c r="R1676" s="1">
        <v>0.0</v>
      </c>
      <c r="S1676" s="1"/>
    </row>
    <row r="1677" ht="15.75" customHeight="1">
      <c r="A1677" s="1" t="s">
        <v>3996</v>
      </c>
      <c r="B1677" s="1" t="s">
        <v>3997</v>
      </c>
      <c r="C1677" s="1" t="s">
        <v>1053</v>
      </c>
      <c r="E1677" s="1">
        <v>26.6302334</v>
      </c>
      <c r="F1677" s="1">
        <v>92.7970308</v>
      </c>
      <c r="G1677" s="1" t="s">
        <v>54</v>
      </c>
      <c r="H1677" s="1" t="s">
        <v>55</v>
      </c>
      <c r="J1677" s="1" t="s">
        <v>56</v>
      </c>
      <c r="K1677" s="1" t="s">
        <v>26</v>
      </c>
      <c r="L1677" s="1" t="s">
        <v>27</v>
      </c>
      <c r="N1677" s="1" t="s">
        <v>1036</v>
      </c>
      <c r="O1677" s="1" t="s">
        <v>57</v>
      </c>
      <c r="P1677" s="1" t="s">
        <v>3131</v>
      </c>
      <c r="Q1677" s="1" t="s">
        <v>3132</v>
      </c>
      <c r="R1677" s="1">
        <v>0.0</v>
      </c>
      <c r="S1677" s="1"/>
    </row>
    <row r="1678" ht="15.75" customHeight="1">
      <c r="A1678" s="1" t="s">
        <v>3998</v>
      </c>
      <c r="B1678" s="1" t="s">
        <v>3999</v>
      </c>
      <c r="C1678" s="1" t="s">
        <v>4000</v>
      </c>
      <c r="E1678" s="1">
        <v>23.1182271</v>
      </c>
      <c r="F1678" s="1">
        <v>83.1929555</v>
      </c>
      <c r="G1678" s="1" t="s">
        <v>54</v>
      </c>
      <c r="H1678" s="1" t="s">
        <v>55</v>
      </c>
      <c r="J1678" s="1" t="s">
        <v>56</v>
      </c>
      <c r="K1678" s="1" t="s">
        <v>26</v>
      </c>
      <c r="L1678" s="1" t="s">
        <v>27</v>
      </c>
      <c r="N1678" s="1" t="s">
        <v>1989</v>
      </c>
      <c r="O1678" s="1" t="s">
        <v>57</v>
      </c>
      <c r="P1678" s="1" t="s">
        <v>3243</v>
      </c>
      <c r="Q1678" s="1" t="s">
        <v>3244</v>
      </c>
      <c r="R1678" s="1">
        <v>0.0</v>
      </c>
      <c r="S1678" s="1"/>
    </row>
    <row r="1679" ht="15.75" customHeight="1">
      <c r="A1679" s="1" t="s">
        <v>4001</v>
      </c>
      <c r="B1679" s="1" t="s">
        <v>4002</v>
      </c>
      <c r="C1679" s="1" t="s">
        <v>1078</v>
      </c>
      <c r="E1679" s="1">
        <v>12.96116</v>
      </c>
      <c r="F1679" s="1">
        <v>77.5099975</v>
      </c>
      <c r="G1679" s="1" t="s">
        <v>54</v>
      </c>
      <c r="H1679" s="1" t="s">
        <v>55</v>
      </c>
      <c r="J1679" s="1" t="s">
        <v>56</v>
      </c>
      <c r="K1679" s="1" t="s">
        <v>26</v>
      </c>
      <c r="L1679" s="1" t="s">
        <v>27</v>
      </c>
      <c r="N1679" s="1" t="s">
        <v>743</v>
      </c>
      <c r="O1679" s="1" t="s">
        <v>57</v>
      </c>
      <c r="P1679" s="1" t="s">
        <v>1079</v>
      </c>
      <c r="Q1679" s="1" t="s">
        <v>1080</v>
      </c>
      <c r="R1679" s="1">
        <v>2.0</v>
      </c>
      <c r="S1679" s="1"/>
    </row>
    <row r="1680" ht="15.75" customHeight="1">
      <c r="A1680" s="1" t="s">
        <v>4003</v>
      </c>
      <c r="B1680" s="1" t="s">
        <v>4004</v>
      </c>
      <c r="C1680" s="1" t="s">
        <v>2083</v>
      </c>
      <c r="E1680" s="1">
        <v>16.8604214</v>
      </c>
      <c r="F1680" s="1">
        <v>74.569846</v>
      </c>
      <c r="G1680" s="1" t="s">
        <v>54</v>
      </c>
      <c r="H1680" s="1" t="s">
        <v>55</v>
      </c>
      <c r="J1680" s="1" t="s">
        <v>56</v>
      </c>
      <c r="K1680" s="1" t="s">
        <v>26</v>
      </c>
      <c r="L1680" s="1" t="s">
        <v>27</v>
      </c>
      <c r="N1680" s="1" t="s">
        <v>143</v>
      </c>
      <c r="O1680" s="1" t="s">
        <v>57</v>
      </c>
      <c r="P1680" s="1" t="s">
        <v>2239</v>
      </c>
      <c r="Q1680" s="1" t="s">
        <v>2240</v>
      </c>
      <c r="R1680" s="1">
        <v>0.0</v>
      </c>
      <c r="S1680" s="1"/>
    </row>
    <row r="1681" ht="15.75" customHeight="1">
      <c r="A1681" s="1" t="s">
        <v>4005</v>
      </c>
      <c r="B1681" s="1" t="s">
        <v>4006</v>
      </c>
      <c r="C1681" s="1" t="s">
        <v>4007</v>
      </c>
      <c r="E1681" s="1">
        <v>29.2393563</v>
      </c>
      <c r="F1681" s="1">
        <v>79.5340248</v>
      </c>
      <c r="G1681" s="1" t="s">
        <v>54</v>
      </c>
      <c r="H1681" s="1" t="s">
        <v>55</v>
      </c>
      <c r="J1681" s="1" t="s">
        <v>56</v>
      </c>
      <c r="K1681" s="1" t="s">
        <v>26</v>
      </c>
      <c r="L1681" s="1" t="s">
        <v>27</v>
      </c>
      <c r="N1681" s="1" t="s">
        <v>1950</v>
      </c>
      <c r="O1681" s="1" t="s">
        <v>57</v>
      </c>
      <c r="P1681" s="1" t="s">
        <v>850</v>
      </c>
      <c r="Q1681" s="1" t="s">
        <v>851</v>
      </c>
      <c r="R1681" s="1">
        <v>0.0</v>
      </c>
      <c r="S1681" s="1"/>
    </row>
    <row r="1682" ht="15.75" customHeight="1">
      <c r="A1682" s="1" t="s">
        <v>4008</v>
      </c>
      <c r="B1682" s="1" t="s">
        <v>4009</v>
      </c>
      <c r="C1682" s="1" t="s">
        <v>617</v>
      </c>
      <c r="E1682" s="1">
        <v>26.90451</v>
      </c>
      <c r="F1682" s="1">
        <v>80.96120239999999</v>
      </c>
      <c r="G1682" s="1" t="s">
        <v>54</v>
      </c>
      <c r="H1682" s="1" t="s">
        <v>55</v>
      </c>
      <c r="J1682" s="1" t="s">
        <v>56</v>
      </c>
      <c r="K1682" s="1" t="s">
        <v>26</v>
      </c>
      <c r="L1682" s="1" t="s">
        <v>27</v>
      </c>
      <c r="N1682" s="1" t="s">
        <v>28</v>
      </c>
      <c r="O1682" s="1" t="s">
        <v>57</v>
      </c>
      <c r="P1682" s="1" t="s">
        <v>733</v>
      </c>
      <c r="Q1682" s="1" t="s">
        <v>734</v>
      </c>
      <c r="R1682" s="1">
        <v>3.0</v>
      </c>
      <c r="S1682" s="1"/>
    </row>
    <row r="1683" ht="15.75" customHeight="1">
      <c r="A1683" s="1" t="s">
        <v>4010</v>
      </c>
      <c r="B1683" s="1" t="s">
        <v>4011</v>
      </c>
      <c r="C1683" s="1" t="s">
        <v>148</v>
      </c>
      <c r="E1683" s="1">
        <v>19.464337</v>
      </c>
      <c r="F1683" s="1">
        <v>72.805313</v>
      </c>
      <c r="G1683" s="1" t="s">
        <v>54</v>
      </c>
      <c r="H1683" s="1" t="s">
        <v>55</v>
      </c>
      <c r="J1683" s="1" t="s">
        <v>56</v>
      </c>
      <c r="K1683" s="1" t="s">
        <v>26</v>
      </c>
      <c r="L1683" s="1" t="s">
        <v>27</v>
      </c>
      <c r="N1683" s="1" t="s">
        <v>143</v>
      </c>
      <c r="O1683" s="1" t="s">
        <v>57</v>
      </c>
      <c r="P1683" s="1" t="s">
        <v>2300</v>
      </c>
      <c r="Q1683" s="1" t="s">
        <v>2301</v>
      </c>
      <c r="R1683" s="1">
        <v>0.0</v>
      </c>
      <c r="S1683" s="1"/>
    </row>
    <row r="1684" ht="15.75" customHeight="1">
      <c r="A1684" s="1" t="s">
        <v>4012</v>
      </c>
      <c r="B1684" s="1" t="s">
        <v>4013</v>
      </c>
      <c r="C1684" s="1" t="s">
        <v>737</v>
      </c>
      <c r="E1684" s="1">
        <v>22.741611</v>
      </c>
      <c r="F1684" s="1">
        <v>75.892524</v>
      </c>
      <c r="G1684" s="1" t="s">
        <v>54</v>
      </c>
      <c r="H1684" s="1" t="s">
        <v>55</v>
      </c>
      <c r="J1684" s="1" t="s">
        <v>56</v>
      </c>
      <c r="K1684" s="1" t="s">
        <v>26</v>
      </c>
      <c r="L1684" s="1" t="s">
        <v>27</v>
      </c>
      <c r="N1684" s="1" t="s">
        <v>732</v>
      </c>
      <c r="O1684" s="1" t="s">
        <v>57</v>
      </c>
      <c r="P1684" s="1" t="s">
        <v>3243</v>
      </c>
      <c r="Q1684" s="1" t="s">
        <v>3244</v>
      </c>
      <c r="R1684" s="1">
        <v>7.0</v>
      </c>
      <c r="S1684" s="1"/>
    </row>
    <row r="1685" ht="15.75" customHeight="1">
      <c r="A1685" s="1" t="s">
        <v>4014</v>
      </c>
      <c r="B1685" s="1" t="s">
        <v>4015</v>
      </c>
      <c r="C1685" s="1" t="s">
        <v>148</v>
      </c>
      <c r="E1685" s="1">
        <v>19.1180257</v>
      </c>
      <c r="F1685" s="1">
        <v>72.9968031</v>
      </c>
      <c r="G1685" s="1" t="s">
        <v>54</v>
      </c>
      <c r="H1685" s="1" t="s">
        <v>55</v>
      </c>
      <c r="J1685" s="1" t="s">
        <v>56</v>
      </c>
      <c r="K1685" s="1" t="s">
        <v>26</v>
      </c>
      <c r="L1685" s="1" t="s">
        <v>27</v>
      </c>
      <c r="N1685" s="1" t="s">
        <v>143</v>
      </c>
      <c r="O1685" s="1" t="s">
        <v>57</v>
      </c>
      <c r="P1685" s="1" t="s">
        <v>2300</v>
      </c>
      <c r="Q1685" s="1" t="s">
        <v>2301</v>
      </c>
      <c r="R1685" s="1">
        <v>1.0</v>
      </c>
      <c r="S1685" s="1"/>
    </row>
    <row r="1686" ht="15.75" customHeight="1">
      <c r="A1686" s="1" t="s">
        <v>4016</v>
      </c>
      <c r="B1686" s="1" t="s">
        <v>4017</v>
      </c>
      <c r="C1686" s="1" t="s">
        <v>151</v>
      </c>
      <c r="E1686" s="1">
        <v>18.5996622</v>
      </c>
      <c r="F1686" s="1">
        <v>73.7924116</v>
      </c>
      <c r="G1686" s="1" t="s">
        <v>54</v>
      </c>
      <c r="H1686" s="1" t="s">
        <v>55</v>
      </c>
      <c r="J1686" s="1" t="s">
        <v>56</v>
      </c>
      <c r="K1686" s="1" t="s">
        <v>26</v>
      </c>
      <c r="L1686" s="1" t="s">
        <v>27</v>
      </c>
      <c r="N1686" s="1" t="s">
        <v>143</v>
      </c>
      <c r="O1686" s="1" t="s">
        <v>57</v>
      </c>
      <c r="P1686" s="1" t="s">
        <v>3233</v>
      </c>
      <c r="Q1686" s="1" t="s">
        <v>3234</v>
      </c>
      <c r="R1686" s="1">
        <v>1.0</v>
      </c>
      <c r="S1686" s="1"/>
    </row>
    <row r="1687" ht="15.75" customHeight="1">
      <c r="A1687" s="1" t="s">
        <v>4018</v>
      </c>
      <c r="B1687" s="1" t="s">
        <v>4019</v>
      </c>
      <c r="C1687" s="1" t="s">
        <v>4020</v>
      </c>
      <c r="E1687" s="1">
        <v>21.846674</v>
      </c>
      <c r="F1687" s="1">
        <v>84.0128585</v>
      </c>
      <c r="G1687" s="1" t="s">
        <v>54</v>
      </c>
      <c r="H1687" s="1" t="s">
        <v>55</v>
      </c>
      <c r="J1687" s="1" t="s">
        <v>56</v>
      </c>
      <c r="K1687" s="1" t="s">
        <v>26</v>
      </c>
      <c r="L1687" s="1" t="s">
        <v>27</v>
      </c>
      <c r="N1687" s="1" t="s">
        <v>1874</v>
      </c>
      <c r="O1687" s="1" t="s">
        <v>57</v>
      </c>
      <c r="P1687" s="1" t="s">
        <v>3131</v>
      </c>
      <c r="Q1687" s="1" t="s">
        <v>3132</v>
      </c>
      <c r="R1687" s="1">
        <v>0.0</v>
      </c>
      <c r="S1687" s="1"/>
    </row>
    <row r="1688" ht="15.75" customHeight="1">
      <c r="A1688" s="1" t="s">
        <v>4021</v>
      </c>
      <c r="B1688" s="1" t="s">
        <v>4022</v>
      </c>
      <c r="C1688" s="1" t="s">
        <v>4023</v>
      </c>
      <c r="E1688" s="1">
        <v>28.9967954</v>
      </c>
      <c r="F1688" s="1">
        <v>77.0267229</v>
      </c>
      <c r="G1688" s="1" t="s">
        <v>54</v>
      </c>
      <c r="H1688" s="1" t="s">
        <v>55</v>
      </c>
      <c r="J1688" s="1" t="s">
        <v>56</v>
      </c>
      <c r="K1688" s="1" t="s">
        <v>26</v>
      </c>
      <c r="L1688" s="1" t="s">
        <v>27</v>
      </c>
      <c r="N1688" s="1" t="s">
        <v>163</v>
      </c>
      <c r="O1688" s="1" t="s">
        <v>57</v>
      </c>
      <c r="P1688" s="1" t="s">
        <v>973</v>
      </c>
      <c r="Q1688" s="1" t="s">
        <v>974</v>
      </c>
      <c r="R1688" s="1">
        <v>1.0</v>
      </c>
      <c r="S1688" s="1"/>
    </row>
    <row r="1689" ht="15.75" customHeight="1">
      <c r="A1689" s="1" t="s">
        <v>4024</v>
      </c>
      <c r="B1689" s="1" t="s">
        <v>4025</v>
      </c>
      <c r="C1689" s="1" t="s">
        <v>1112</v>
      </c>
      <c r="E1689" s="1">
        <v>13.099121</v>
      </c>
      <c r="F1689" s="1">
        <v>80.1835328</v>
      </c>
      <c r="G1689" s="1" t="s">
        <v>54</v>
      </c>
      <c r="H1689" s="1" t="s">
        <v>55</v>
      </c>
      <c r="J1689" s="1" t="s">
        <v>56</v>
      </c>
      <c r="K1689" s="1" t="s">
        <v>26</v>
      </c>
      <c r="L1689" s="1" t="s">
        <v>27</v>
      </c>
      <c r="N1689" s="1" t="s">
        <v>1097</v>
      </c>
      <c r="O1689" s="1" t="s">
        <v>57</v>
      </c>
      <c r="P1689" s="1" t="s">
        <v>3219</v>
      </c>
      <c r="Q1689" s="1" t="s">
        <v>3220</v>
      </c>
      <c r="R1689" s="1">
        <v>0.0</v>
      </c>
      <c r="S1689" s="1"/>
    </row>
    <row r="1690" ht="15.75" customHeight="1">
      <c r="A1690" s="1" t="s">
        <v>4026</v>
      </c>
      <c r="B1690" s="1" t="s">
        <v>4027</v>
      </c>
      <c r="C1690" s="1" t="s">
        <v>151</v>
      </c>
      <c r="E1690" s="1">
        <v>18.458019</v>
      </c>
      <c r="F1690" s="1">
        <v>73.808061</v>
      </c>
      <c r="G1690" s="1" t="s">
        <v>54</v>
      </c>
      <c r="H1690" s="1" t="s">
        <v>55</v>
      </c>
      <c r="J1690" s="1" t="s">
        <v>56</v>
      </c>
      <c r="K1690" s="1" t="s">
        <v>26</v>
      </c>
      <c r="L1690" s="1" t="s">
        <v>27</v>
      </c>
      <c r="N1690" s="1" t="s">
        <v>143</v>
      </c>
      <c r="O1690" s="1" t="s">
        <v>57</v>
      </c>
      <c r="P1690" s="1" t="s">
        <v>3233</v>
      </c>
      <c r="Q1690" s="1" t="s">
        <v>3234</v>
      </c>
      <c r="R1690" s="1">
        <v>2.0</v>
      </c>
      <c r="S1690" s="1"/>
    </row>
    <row r="1691" ht="15.75" customHeight="1">
      <c r="A1691" s="1" t="s">
        <v>4028</v>
      </c>
      <c r="B1691" s="1" t="s">
        <v>4029</v>
      </c>
      <c r="C1691" s="1" t="s">
        <v>1138</v>
      </c>
      <c r="E1691" s="1">
        <v>11.0555796</v>
      </c>
      <c r="F1691" s="1">
        <v>76.9939902</v>
      </c>
      <c r="G1691" s="1" t="s">
        <v>54</v>
      </c>
      <c r="H1691" s="1" t="s">
        <v>55</v>
      </c>
      <c r="J1691" s="1" t="s">
        <v>56</v>
      </c>
      <c r="K1691" s="1" t="s">
        <v>26</v>
      </c>
      <c r="L1691" s="1" t="s">
        <v>27</v>
      </c>
      <c r="N1691" s="1" t="s">
        <v>1097</v>
      </c>
      <c r="O1691" s="1" t="s">
        <v>57</v>
      </c>
      <c r="P1691" s="1" t="s">
        <v>3219</v>
      </c>
      <c r="Q1691" s="1" t="s">
        <v>3220</v>
      </c>
      <c r="R1691" s="1">
        <v>0.0</v>
      </c>
      <c r="S1691" s="1"/>
    </row>
    <row r="1692" ht="15.75" customHeight="1">
      <c r="A1692" s="1" t="s">
        <v>4030</v>
      </c>
      <c r="B1692" s="1" t="s">
        <v>4031</v>
      </c>
      <c r="C1692" s="1" t="s">
        <v>1078</v>
      </c>
      <c r="E1692" s="1">
        <v>12.522694</v>
      </c>
      <c r="F1692" s="1">
        <v>78.218722</v>
      </c>
      <c r="G1692" s="1" t="s">
        <v>54</v>
      </c>
      <c r="H1692" s="1" t="s">
        <v>55</v>
      </c>
      <c r="J1692" s="1" t="s">
        <v>56</v>
      </c>
      <c r="K1692" s="1" t="s">
        <v>26</v>
      </c>
      <c r="L1692" s="1" t="s">
        <v>27</v>
      </c>
      <c r="N1692" s="1" t="s">
        <v>743</v>
      </c>
      <c r="O1692" s="1" t="s">
        <v>57</v>
      </c>
      <c r="P1692" s="1" t="s">
        <v>3219</v>
      </c>
      <c r="Q1692" s="1" t="s">
        <v>3220</v>
      </c>
      <c r="R1692" s="1">
        <v>0.0</v>
      </c>
      <c r="S1692" s="1"/>
    </row>
    <row r="1693" ht="15.75" customHeight="1">
      <c r="A1693" s="1" t="s">
        <v>4032</v>
      </c>
      <c r="B1693" s="1" t="s">
        <v>4033</v>
      </c>
      <c r="C1693" s="1" t="s">
        <v>21</v>
      </c>
      <c r="E1693" s="1">
        <v>28.604328</v>
      </c>
      <c r="F1693" s="1">
        <v>77.449634</v>
      </c>
      <c r="G1693" s="1" t="s">
        <v>54</v>
      </c>
      <c r="H1693" s="1" t="s">
        <v>55</v>
      </c>
      <c r="J1693" s="1" t="s">
        <v>56</v>
      </c>
      <c r="K1693" s="1" t="s">
        <v>26</v>
      </c>
      <c r="L1693" s="1" t="s">
        <v>27</v>
      </c>
      <c r="N1693" s="1" t="s">
        <v>28</v>
      </c>
      <c r="O1693" s="1" t="s">
        <v>57</v>
      </c>
      <c r="P1693" s="1" t="s">
        <v>3297</v>
      </c>
      <c r="Q1693" s="1" t="s">
        <v>3298</v>
      </c>
      <c r="R1693" s="1">
        <v>1.0</v>
      </c>
      <c r="S1693" s="1"/>
    </row>
    <row r="1694" ht="15.75" customHeight="1">
      <c r="A1694" s="1" t="s">
        <v>4034</v>
      </c>
      <c r="B1694" s="1" t="s">
        <v>4035</v>
      </c>
      <c r="C1694" s="1" t="s">
        <v>259</v>
      </c>
      <c r="E1694" s="1">
        <v>28.4946232</v>
      </c>
      <c r="F1694" s="1">
        <v>77.0876464</v>
      </c>
      <c r="G1694" s="1" t="s">
        <v>54</v>
      </c>
      <c r="H1694" s="1" t="s">
        <v>55</v>
      </c>
      <c r="J1694" s="1" t="s">
        <v>56</v>
      </c>
      <c r="K1694" s="1" t="s">
        <v>26</v>
      </c>
      <c r="L1694" s="1" t="s">
        <v>27</v>
      </c>
      <c r="N1694" s="1" t="s">
        <v>163</v>
      </c>
      <c r="O1694" s="1" t="s">
        <v>57</v>
      </c>
      <c r="P1694" s="1" t="s">
        <v>3875</v>
      </c>
      <c r="Q1694" s="1" t="s">
        <v>3876</v>
      </c>
      <c r="R1694" s="1">
        <v>2.0</v>
      </c>
      <c r="S1694" s="1"/>
    </row>
    <row r="1695" ht="15.75" customHeight="1">
      <c r="A1695" s="1" t="s">
        <v>4036</v>
      </c>
      <c r="B1695" s="1" t="s">
        <v>4037</v>
      </c>
      <c r="C1695" s="1" t="s">
        <v>914</v>
      </c>
      <c r="E1695" s="1">
        <v>25.1371098</v>
      </c>
      <c r="F1695" s="1">
        <v>75.85506699999999</v>
      </c>
      <c r="G1695" s="1" t="s">
        <v>54</v>
      </c>
      <c r="H1695" s="1" t="s">
        <v>55</v>
      </c>
      <c r="J1695" s="1" t="s">
        <v>56</v>
      </c>
      <c r="K1695" s="1" t="s">
        <v>26</v>
      </c>
      <c r="L1695" s="1" t="s">
        <v>27</v>
      </c>
      <c r="N1695" s="1" t="s">
        <v>849</v>
      </c>
      <c r="O1695" s="1" t="s">
        <v>57</v>
      </c>
      <c r="P1695" s="1" t="s">
        <v>887</v>
      </c>
      <c r="Q1695" s="1" t="s">
        <v>888</v>
      </c>
      <c r="R1695" s="1">
        <v>0.0</v>
      </c>
      <c r="S1695" s="1"/>
    </row>
    <row r="1696" ht="15.75" customHeight="1">
      <c r="A1696" s="1" t="s">
        <v>4038</v>
      </c>
      <c r="B1696" s="1" t="s">
        <v>4039</v>
      </c>
      <c r="C1696" s="1" t="s">
        <v>4040</v>
      </c>
      <c r="E1696" s="1">
        <v>26.7592187</v>
      </c>
      <c r="F1696" s="1">
        <v>82.13994439999999</v>
      </c>
      <c r="G1696" s="1" t="s">
        <v>54</v>
      </c>
      <c r="H1696" s="1" t="s">
        <v>55</v>
      </c>
      <c r="J1696" s="1" t="s">
        <v>56</v>
      </c>
      <c r="K1696" s="1" t="s">
        <v>26</v>
      </c>
      <c r="L1696" s="1" t="s">
        <v>27</v>
      </c>
      <c r="N1696" s="1" t="s">
        <v>28</v>
      </c>
      <c r="O1696" s="1" t="s">
        <v>57</v>
      </c>
      <c r="P1696" s="1" t="s">
        <v>733</v>
      </c>
      <c r="Q1696" s="1" t="s">
        <v>734</v>
      </c>
      <c r="R1696" s="1">
        <v>0.0</v>
      </c>
      <c r="S1696" s="1"/>
    </row>
    <row r="1697" ht="15.75" customHeight="1">
      <c r="A1697" s="1" t="s">
        <v>4041</v>
      </c>
      <c r="B1697" s="1" t="s">
        <v>4042</v>
      </c>
      <c r="C1697" s="1" t="s">
        <v>185</v>
      </c>
      <c r="E1697" s="1">
        <v>17.3903446</v>
      </c>
      <c r="F1697" s="1">
        <v>78.4904574</v>
      </c>
      <c r="G1697" s="1" t="s">
        <v>54</v>
      </c>
      <c r="H1697" s="1" t="s">
        <v>55</v>
      </c>
      <c r="J1697" s="1" t="s">
        <v>56</v>
      </c>
      <c r="K1697" s="1" t="s">
        <v>26</v>
      </c>
      <c r="L1697" s="1" t="s">
        <v>27</v>
      </c>
      <c r="N1697" s="1" t="s">
        <v>186</v>
      </c>
      <c r="O1697" s="1" t="s">
        <v>57</v>
      </c>
      <c r="P1697" s="1" t="s">
        <v>2074</v>
      </c>
      <c r="Q1697" s="1" t="s">
        <v>2075</v>
      </c>
      <c r="R1697" s="1">
        <v>0.0</v>
      </c>
      <c r="S1697" s="1"/>
    </row>
    <row r="1698" ht="15.75" customHeight="1">
      <c r="A1698" s="1" t="s">
        <v>4043</v>
      </c>
      <c r="B1698" s="1" t="s">
        <v>4044</v>
      </c>
      <c r="C1698" s="1" t="s">
        <v>497</v>
      </c>
      <c r="E1698" s="1">
        <v>25.6036095</v>
      </c>
      <c r="F1698" s="1">
        <v>85.15451759999999</v>
      </c>
      <c r="G1698" s="1" t="s">
        <v>54</v>
      </c>
      <c r="H1698" s="1" t="s">
        <v>55</v>
      </c>
      <c r="J1698" s="1" t="s">
        <v>56</v>
      </c>
      <c r="K1698" s="1" t="s">
        <v>26</v>
      </c>
      <c r="L1698" s="1" t="s">
        <v>27</v>
      </c>
      <c r="N1698" s="1" t="s">
        <v>498</v>
      </c>
      <c r="O1698" s="1" t="s">
        <v>57</v>
      </c>
      <c r="P1698" s="1" t="s">
        <v>3253</v>
      </c>
      <c r="Q1698" s="1" t="s">
        <v>3254</v>
      </c>
      <c r="R1698" s="1">
        <v>0.0</v>
      </c>
      <c r="S1698" s="1"/>
    </row>
    <row r="1699" ht="15.75" customHeight="1">
      <c r="A1699" s="1" t="s">
        <v>4045</v>
      </c>
      <c r="B1699" s="1" t="s">
        <v>4046</v>
      </c>
      <c r="C1699" s="1" t="s">
        <v>4047</v>
      </c>
      <c r="E1699" s="1">
        <v>16.8663205</v>
      </c>
      <c r="F1699" s="1">
        <v>79.558436</v>
      </c>
      <c r="G1699" s="1" t="s">
        <v>54</v>
      </c>
      <c r="H1699" s="1" t="s">
        <v>55</v>
      </c>
      <c r="J1699" s="1" t="s">
        <v>56</v>
      </c>
      <c r="K1699" s="1" t="s">
        <v>26</v>
      </c>
      <c r="L1699" s="1" t="s">
        <v>27</v>
      </c>
      <c r="N1699" s="1" t="s">
        <v>186</v>
      </c>
      <c r="O1699" s="1" t="s">
        <v>57</v>
      </c>
      <c r="P1699" s="1" t="s">
        <v>2074</v>
      </c>
      <c r="Q1699" s="1" t="s">
        <v>2075</v>
      </c>
      <c r="R1699" s="1">
        <v>0.0</v>
      </c>
      <c r="S1699" s="1"/>
    </row>
    <row r="1700" ht="15.75" customHeight="1">
      <c r="A1700" s="1" t="s">
        <v>4048</v>
      </c>
      <c r="B1700" s="1" t="s">
        <v>4049</v>
      </c>
      <c r="C1700" s="1" t="s">
        <v>215</v>
      </c>
      <c r="E1700" s="1">
        <v>23.0574796</v>
      </c>
      <c r="F1700" s="1">
        <v>72.5208925</v>
      </c>
      <c r="G1700" s="1" t="s">
        <v>54</v>
      </c>
      <c r="H1700" s="1" t="s">
        <v>55</v>
      </c>
      <c r="J1700" s="1" t="s">
        <v>56</v>
      </c>
      <c r="K1700" s="1" t="s">
        <v>26</v>
      </c>
      <c r="L1700" s="1" t="s">
        <v>27</v>
      </c>
      <c r="N1700" s="1" t="s">
        <v>216</v>
      </c>
      <c r="O1700" s="1" t="s">
        <v>57</v>
      </c>
      <c r="P1700" s="1" t="s">
        <v>3830</v>
      </c>
      <c r="Q1700" s="1" t="s">
        <v>3831</v>
      </c>
      <c r="R1700" s="1">
        <v>0.0</v>
      </c>
      <c r="S1700" s="1"/>
    </row>
    <row r="1701" ht="15.75" customHeight="1">
      <c r="A1701" s="1" t="s">
        <v>4050</v>
      </c>
      <c r="B1701" s="1" t="s">
        <v>4051</v>
      </c>
      <c r="C1701" s="1" t="s">
        <v>1078</v>
      </c>
      <c r="E1701" s="1">
        <v>13.0443598</v>
      </c>
      <c r="F1701" s="1">
        <v>77.510222</v>
      </c>
      <c r="G1701" s="1" t="s">
        <v>54</v>
      </c>
      <c r="H1701" s="1" t="s">
        <v>55</v>
      </c>
      <c r="J1701" s="1" t="s">
        <v>56</v>
      </c>
      <c r="K1701" s="1" t="s">
        <v>26</v>
      </c>
      <c r="L1701" s="1" t="s">
        <v>27</v>
      </c>
      <c r="N1701" s="1" t="s">
        <v>743</v>
      </c>
      <c r="O1701" s="1" t="s">
        <v>57</v>
      </c>
      <c r="P1701" s="1" t="s">
        <v>1079</v>
      </c>
      <c r="Q1701" s="1" t="s">
        <v>1080</v>
      </c>
      <c r="R1701" s="1">
        <v>3.0</v>
      </c>
      <c r="S1701" s="1"/>
    </row>
    <row r="1702" ht="15.75" customHeight="1">
      <c r="A1702" s="1" t="s">
        <v>4052</v>
      </c>
      <c r="B1702" s="1" t="s">
        <v>4053</v>
      </c>
      <c r="C1702" s="1" t="s">
        <v>1516</v>
      </c>
      <c r="E1702" s="1">
        <v>22.2792833</v>
      </c>
      <c r="F1702" s="1">
        <v>70.777456</v>
      </c>
      <c r="G1702" s="1" t="s">
        <v>54</v>
      </c>
      <c r="H1702" s="1" t="s">
        <v>55</v>
      </c>
      <c r="J1702" s="1" t="s">
        <v>56</v>
      </c>
      <c r="K1702" s="1" t="s">
        <v>26</v>
      </c>
      <c r="L1702" s="1" t="s">
        <v>27</v>
      </c>
      <c r="N1702" s="1" t="s">
        <v>216</v>
      </c>
      <c r="O1702" s="1" t="s">
        <v>57</v>
      </c>
      <c r="P1702" s="1" t="s">
        <v>3342</v>
      </c>
      <c r="Q1702" s="1" t="s">
        <v>3343</v>
      </c>
      <c r="R1702" s="1">
        <v>0.0</v>
      </c>
      <c r="S1702" s="1"/>
    </row>
    <row r="1703" ht="15.75" customHeight="1">
      <c r="A1703" s="1" t="s">
        <v>4054</v>
      </c>
      <c r="B1703" s="1" t="s">
        <v>4055</v>
      </c>
      <c r="C1703" s="1" t="s">
        <v>1588</v>
      </c>
      <c r="E1703" s="1">
        <v>21.703676</v>
      </c>
      <c r="F1703" s="1">
        <v>72.9966731</v>
      </c>
      <c r="G1703" s="1" t="s">
        <v>54</v>
      </c>
      <c r="H1703" s="1" t="s">
        <v>55</v>
      </c>
      <c r="J1703" s="1" t="s">
        <v>56</v>
      </c>
      <c r="K1703" s="1" t="s">
        <v>26</v>
      </c>
      <c r="L1703" s="1" t="s">
        <v>27</v>
      </c>
      <c r="N1703" s="1" t="s">
        <v>216</v>
      </c>
      <c r="O1703" s="1" t="s">
        <v>57</v>
      </c>
      <c r="P1703" s="1" t="s">
        <v>3342</v>
      </c>
      <c r="Q1703" s="1" t="s">
        <v>3343</v>
      </c>
      <c r="R1703" s="1">
        <v>0.0</v>
      </c>
      <c r="S1703" s="1"/>
    </row>
    <row r="1704" ht="15.75" customHeight="1">
      <c r="A1704" s="1" t="s">
        <v>4056</v>
      </c>
      <c r="B1704" s="1" t="s">
        <v>4057</v>
      </c>
      <c r="C1704" s="1" t="s">
        <v>2461</v>
      </c>
      <c r="E1704" s="1">
        <v>11.1037564</v>
      </c>
      <c r="F1704" s="1">
        <v>77.3457098</v>
      </c>
      <c r="G1704" s="1" t="s">
        <v>54</v>
      </c>
      <c r="H1704" s="1" t="s">
        <v>55</v>
      </c>
      <c r="J1704" s="1" t="s">
        <v>56</v>
      </c>
      <c r="K1704" s="1" t="s">
        <v>26</v>
      </c>
      <c r="L1704" s="1" t="s">
        <v>27</v>
      </c>
      <c r="N1704" s="1" t="s">
        <v>464</v>
      </c>
      <c r="O1704" s="1" t="s">
        <v>57</v>
      </c>
      <c r="P1704" s="1" t="s">
        <v>3219</v>
      </c>
      <c r="Q1704" s="1" t="s">
        <v>3220</v>
      </c>
      <c r="R1704" s="1">
        <v>0.0</v>
      </c>
      <c r="S1704" s="1"/>
    </row>
    <row r="1705" ht="15.75" customHeight="1">
      <c r="A1705" s="1" t="s">
        <v>4058</v>
      </c>
      <c r="B1705" s="1" t="s">
        <v>4059</v>
      </c>
      <c r="C1705" s="1" t="s">
        <v>4060</v>
      </c>
      <c r="E1705" s="1">
        <v>20.7390848</v>
      </c>
      <c r="F1705" s="1">
        <v>78.6018133</v>
      </c>
      <c r="G1705" s="1" t="s">
        <v>54</v>
      </c>
      <c r="H1705" s="1" t="s">
        <v>55</v>
      </c>
      <c r="J1705" s="1" t="s">
        <v>56</v>
      </c>
      <c r="K1705" s="1" t="s">
        <v>26</v>
      </c>
      <c r="L1705" s="1" t="s">
        <v>27</v>
      </c>
      <c r="N1705" s="1" t="s">
        <v>143</v>
      </c>
      <c r="O1705" s="1" t="s">
        <v>57</v>
      </c>
      <c r="P1705" s="1" t="s">
        <v>2239</v>
      </c>
      <c r="Q1705" s="1" t="s">
        <v>2240</v>
      </c>
      <c r="R1705" s="1">
        <v>0.0</v>
      </c>
      <c r="S1705" s="1"/>
    </row>
    <row r="1706" ht="15.75" customHeight="1">
      <c r="A1706" s="1" t="s">
        <v>4061</v>
      </c>
      <c r="B1706" s="1" t="s">
        <v>4062</v>
      </c>
      <c r="C1706" s="1" t="s">
        <v>4063</v>
      </c>
      <c r="E1706" s="1">
        <v>26.804185</v>
      </c>
      <c r="F1706" s="1">
        <v>84.521906</v>
      </c>
      <c r="G1706" s="1" t="s">
        <v>54</v>
      </c>
      <c r="H1706" s="1" t="s">
        <v>55</v>
      </c>
      <c r="J1706" s="1" t="s">
        <v>56</v>
      </c>
      <c r="K1706" s="1" t="s">
        <v>26</v>
      </c>
      <c r="L1706" s="1" t="s">
        <v>27</v>
      </c>
      <c r="N1706" s="1" t="s">
        <v>498</v>
      </c>
      <c r="O1706" s="1" t="s">
        <v>57</v>
      </c>
      <c r="P1706" s="1" t="s">
        <v>4064</v>
      </c>
      <c r="Q1706" s="1" t="s">
        <v>4065</v>
      </c>
      <c r="R1706" s="1">
        <v>0.0</v>
      </c>
      <c r="S1706" s="1"/>
    </row>
    <row r="1707" ht="15.75" customHeight="1">
      <c r="A1707" s="1" t="s">
        <v>4066</v>
      </c>
      <c r="B1707" s="1" t="s">
        <v>4067</v>
      </c>
      <c r="C1707" s="1" t="s">
        <v>1968</v>
      </c>
      <c r="E1707" s="1">
        <v>20.4521058</v>
      </c>
      <c r="F1707" s="1">
        <v>85.8920773</v>
      </c>
      <c r="G1707" s="1" t="s">
        <v>54</v>
      </c>
      <c r="H1707" s="1" t="s">
        <v>55</v>
      </c>
      <c r="J1707" s="1" t="s">
        <v>56</v>
      </c>
      <c r="K1707" s="1" t="s">
        <v>26</v>
      </c>
      <c r="L1707" s="1" t="s">
        <v>27</v>
      </c>
      <c r="N1707" s="1" t="s">
        <v>1874</v>
      </c>
      <c r="O1707" s="1" t="s">
        <v>57</v>
      </c>
      <c r="P1707" s="1" t="s">
        <v>3265</v>
      </c>
      <c r="Q1707" s="1" t="s">
        <v>3266</v>
      </c>
      <c r="R1707" s="1">
        <v>0.0</v>
      </c>
      <c r="S1707" s="1"/>
    </row>
    <row r="1708" ht="15.75" customHeight="1">
      <c r="A1708" s="1" t="s">
        <v>4068</v>
      </c>
      <c r="B1708" s="1" t="s">
        <v>4069</v>
      </c>
      <c r="C1708" s="1" t="s">
        <v>151</v>
      </c>
      <c r="E1708" s="1">
        <v>18.5187325</v>
      </c>
      <c r="F1708" s="1">
        <v>73.9362118</v>
      </c>
      <c r="G1708" s="1" t="s">
        <v>54</v>
      </c>
      <c r="H1708" s="1" t="s">
        <v>55</v>
      </c>
      <c r="J1708" s="1" t="s">
        <v>56</v>
      </c>
      <c r="K1708" s="1" t="s">
        <v>26</v>
      </c>
      <c r="L1708" s="1" t="s">
        <v>27</v>
      </c>
      <c r="N1708" s="1" t="s">
        <v>143</v>
      </c>
      <c r="O1708" s="1" t="s">
        <v>57</v>
      </c>
      <c r="P1708" s="1" t="s">
        <v>3233</v>
      </c>
      <c r="Q1708" s="1" t="s">
        <v>3234</v>
      </c>
      <c r="R1708" s="1">
        <v>1.0</v>
      </c>
      <c r="S1708" s="1"/>
    </row>
    <row r="1709" ht="15.75" customHeight="1">
      <c r="A1709" s="1" t="s">
        <v>4070</v>
      </c>
      <c r="B1709" s="1" t="s">
        <v>4071</v>
      </c>
      <c r="C1709" s="1" t="s">
        <v>467</v>
      </c>
      <c r="E1709" s="1">
        <v>16.493276</v>
      </c>
      <c r="F1709" s="1">
        <v>80.663759</v>
      </c>
      <c r="G1709" s="1" t="s">
        <v>54</v>
      </c>
      <c r="H1709" s="1" t="s">
        <v>55</v>
      </c>
      <c r="J1709" s="1" t="s">
        <v>56</v>
      </c>
      <c r="K1709" s="1" t="s">
        <v>26</v>
      </c>
      <c r="L1709" s="1" t="s">
        <v>27</v>
      </c>
      <c r="N1709" s="1" t="s">
        <v>464</v>
      </c>
      <c r="O1709" s="1" t="s">
        <v>57</v>
      </c>
      <c r="P1709" s="1" t="s">
        <v>2074</v>
      </c>
      <c r="Q1709" s="1" t="s">
        <v>2075</v>
      </c>
      <c r="R1709" s="1">
        <v>0.0</v>
      </c>
      <c r="S1709" s="1"/>
    </row>
    <row r="1710" ht="15.75" customHeight="1">
      <c r="A1710" s="1" t="s">
        <v>4072</v>
      </c>
      <c r="B1710" s="1" t="s">
        <v>4073</v>
      </c>
      <c r="C1710" s="1" t="s">
        <v>1104</v>
      </c>
      <c r="E1710" s="1">
        <v>13.3381014</v>
      </c>
      <c r="F1710" s="1">
        <v>77.1048435</v>
      </c>
      <c r="G1710" s="1" t="s">
        <v>54</v>
      </c>
      <c r="H1710" s="1" t="s">
        <v>55</v>
      </c>
      <c r="J1710" s="1" t="s">
        <v>56</v>
      </c>
      <c r="K1710" s="1" t="s">
        <v>26</v>
      </c>
      <c r="L1710" s="1" t="s">
        <v>27</v>
      </c>
      <c r="N1710" s="1" t="s">
        <v>743</v>
      </c>
      <c r="O1710" s="1" t="s">
        <v>57</v>
      </c>
      <c r="P1710" s="1" t="s">
        <v>1079</v>
      </c>
      <c r="Q1710" s="1" t="s">
        <v>1080</v>
      </c>
      <c r="R1710" s="1">
        <v>0.0</v>
      </c>
      <c r="S1710" s="1"/>
    </row>
    <row r="1711" ht="15.75" customHeight="1">
      <c r="A1711" s="1" t="s">
        <v>4074</v>
      </c>
      <c r="B1711" s="1" t="s">
        <v>4075</v>
      </c>
      <c r="C1711" s="1" t="s">
        <v>488</v>
      </c>
      <c r="E1711" s="1">
        <v>16.9980478</v>
      </c>
      <c r="F1711" s="1">
        <v>82.24341869999999</v>
      </c>
      <c r="G1711" s="1" t="s">
        <v>54</v>
      </c>
      <c r="H1711" s="1" t="s">
        <v>55</v>
      </c>
      <c r="J1711" s="1" t="s">
        <v>56</v>
      </c>
      <c r="K1711" s="1" t="s">
        <v>26</v>
      </c>
      <c r="L1711" s="1" t="s">
        <v>27</v>
      </c>
      <c r="N1711" s="1" t="s">
        <v>464</v>
      </c>
      <c r="O1711" s="1" t="s">
        <v>57</v>
      </c>
      <c r="P1711" s="1" t="s">
        <v>2074</v>
      </c>
      <c r="Q1711" s="1" t="s">
        <v>2075</v>
      </c>
      <c r="R1711" s="1">
        <v>0.0</v>
      </c>
      <c r="S1711" s="1"/>
    </row>
    <row r="1712" ht="15.75" customHeight="1">
      <c r="A1712" s="1" t="s">
        <v>4076</v>
      </c>
      <c r="B1712" s="1" t="s">
        <v>4077</v>
      </c>
      <c r="C1712" s="1" t="s">
        <v>174</v>
      </c>
      <c r="E1712" s="1">
        <v>28.6316612</v>
      </c>
      <c r="F1712" s="1">
        <v>77.068194</v>
      </c>
      <c r="G1712" s="1" t="s">
        <v>54</v>
      </c>
      <c r="H1712" s="1" t="s">
        <v>55</v>
      </c>
      <c r="J1712" s="1" t="s">
        <v>56</v>
      </c>
      <c r="K1712" s="1" t="s">
        <v>26</v>
      </c>
      <c r="L1712" s="1" t="s">
        <v>27</v>
      </c>
      <c r="N1712" s="1" t="s">
        <v>174</v>
      </c>
      <c r="O1712" s="1" t="s">
        <v>57</v>
      </c>
      <c r="P1712" s="1" t="s">
        <v>1749</v>
      </c>
      <c r="Q1712" s="1" t="s">
        <v>1750</v>
      </c>
      <c r="R1712" s="1">
        <v>1.0</v>
      </c>
      <c r="S1712" s="1"/>
    </row>
    <row r="1713" ht="15.75" customHeight="1">
      <c r="A1713" s="1" t="s">
        <v>4078</v>
      </c>
      <c r="B1713" s="1" t="s">
        <v>4079</v>
      </c>
      <c r="C1713" s="1" t="s">
        <v>1957</v>
      </c>
      <c r="E1713" s="1">
        <v>29.9234418</v>
      </c>
      <c r="F1713" s="1">
        <v>78.117464</v>
      </c>
      <c r="G1713" s="1" t="s">
        <v>54</v>
      </c>
      <c r="H1713" s="1" t="s">
        <v>55</v>
      </c>
      <c r="J1713" s="1" t="s">
        <v>56</v>
      </c>
      <c r="K1713" s="1" t="s">
        <v>26</v>
      </c>
      <c r="L1713" s="1" t="s">
        <v>27</v>
      </c>
      <c r="N1713" s="1" t="s">
        <v>1950</v>
      </c>
      <c r="O1713" s="1" t="s">
        <v>57</v>
      </c>
      <c r="P1713" s="1" t="s">
        <v>887</v>
      </c>
      <c r="Q1713" s="1" t="s">
        <v>888</v>
      </c>
      <c r="R1713" s="1">
        <v>0.0</v>
      </c>
      <c r="S1713" s="1"/>
    </row>
    <row r="1714" ht="15.75" customHeight="1">
      <c r="A1714" s="1" t="s">
        <v>4080</v>
      </c>
      <c r="B1714" s="1" t="s">
        <v>4081</v>
      </c>
      <c r="C1714" s="1" t="s">
        <v>4082</v>
      </c>
      <c r="E1714" s="1">
        <v>28.1950063</v>
      </c>
      <c r="F1714" s="1">
        <v>76.6210127</v>
      </c>
      <c r="G1714" s="1" t="s">
        <v>54</v>
      </c>
      <c r="H1714" s="1" t="s">
        <v>55</v>
      </c>
      <c r="J1714" s="1" t="s">
        <v>56</v>
      </c>
      <c r="K1714" s="1" t="s">
        <v>26</v>
      </c>
      <c r="L1714" s="1" t="s">
        <v>27</v>
      </c>
      <c r="N1714" s="1" t="s">
        <v>163</v>
      </c>
      <c r="O1714" s="1" t="s">
        <v>57</v>
      </c>
      <c r="P1714" s="1" t="s">
        <v>973</v>
      </c>
      <c r="Q1714" s="1" t="s">
        <v>974</v>
      </c>
      <c r="R1714" s="1">
        <v>0.0</v>
      </c>
      <c r="S1714" s="1"/>
    </row>
    <row r="1715" ht="15.75" customHeight="1">
      <c r="A1715" s="1" t="s">
        <v>4083</v>
      </c>
      <c r="B1715" s="1" t="s">
        <v>4084</v>
      </c>
      <c r="C1715" s="1" t="s">
        <v>4085</v>
      </c>
      <c r="E1715" s="1">
        <v>16.6786208</v>
      </c>
      <c r="F1715" s="1">
        <v>74.4657759</v>
      </c>
      <c r="G1715" s="1" t="s">
        <v>54</v>
      </c>
      <c r="H1715" s="1" t="s">
        <v>55</v>
      </c>
      <c r="J1715" s="1" t="s">
        <v>56</v>
      </c>
      <c r="K1715" s="1" t="s">
        <v>26</v>
      </c>
      <c r="L1715" s="1" t="s">
        <v>27</v>
      </c>
      <c r="N1715" s="1" t="s">
        <v>143</v>
      </c>
      <c r="O1715" s="1" t="s">
        <v>57</v>
      </c>
      <c r="P1715" s="1" t="s">
        <v>2239</v>
      </c>
      <c r="Q1715" s="1" t="s">
        <v>2240</v>
      </c>
      <c r="R1715" s="1">
        <v>0.0</v>
      </c>
      <c r="S1715" s="1"/>
    </row>
    <row r="1716" ht="15.75" customHeight="1">
      <c r="A1716" s="1" t="s">
        <v>4086</v>
      </c>
      <c r="B1716" s="1" t="s">
        <v>4087</v>
      </c>
      <c r="C1716" s="1" t="s">
        <v>1107</v>
      </c>
      <c r="E1716" s="1">
        <v>15.350263</v>
      </c>
      <c r="F1716" s="1">
        <v>75.11246009999999</v>
      </c>
      <c r="G1716" s="1" t="s">
        <v>54</v>
      </c>
      <c r="H1716" s="1" t="s">
        <v>55</v>
      </c>
      <c r="J1716" s="1" t="s">
        <v>56</v>
      </c>
      <c r="K1716" s="1" t="s">
        <v>26</v>
      </c>
      <c r="L1716" s="1" t="s">
        <v>27</v>
      </c>
      <c r="N1716" s="1" t="s">
        <v>743</v>
      </c>
      <c r="O1716" s="1" t="s">
        <v>57</v>
      </c>
      <c r="P1716" s="1" t="s">
        <v>1079</v>
      </c>
      <c r="Q1716" s="1" t="s">
        <v>1080</v>
      </c>
      <c r="R1716" s="1">
        <v>0.0</v>
      </c>
      <c r="S1716" s="1"/>
    </row>
    <row r="1717" ht="15.75" customHeight="1">
      <c r="A1717" s="1" t="s">
        <v>4088</v>
      </c>
      <c r="B1717" s="1" t="s">
        <v>4089</v>
      </c>
      <c r="C1717" s="1" t="s">
        <v>1048</v>
      </c>
      <c r="E1717" s="1">
        <v>23.6828073</v>
      </c>
      <c r="F1717" s="1">
        <v>86.983774</v>
      </c>
      <c r="G1717" s="1" t="s">
        <v>54</v>
      </c>
      <c r="H1717" s="1" t="s">
        <v>55</v>
      </c>
      <c r="J1717" s="1" t="s">
        <v>56</v>
      </c>
      <c r="K1717" s="1" t="s">
        <v>26</v>
      </c>
      <c r="L1717" s="1" t="s">
        <v>27</v>
      </c>
      <c r="N1717" s="1" t="s">
        <v>532</v>
      </c>
      <c r="O1717" s="1" t="s">
        <v>57</v>
      </c>
      <c r="P1717" s="1" t="s">
        <v>3131</v>
      </c>
      <c r="Q1717" s="1" t="s">
        <v>3132</v>
      </c>
      <c r="R1717" s="1">
        <v>0.0</v>
      </c>
      <c r="S1717" s="1"/>
    </row>
    <row r="1718" ht="15.75" customHeight="1">
      <c r="A1718" s="1" t="s">
        <v>4090</v>
      </c>
      <c r="B1718" s="1" t="s">
        <v>4091</v>
      </c>
      <c r="C1718" s="1" t="s">
        <v>531</v>
      </c>
      <c r="E1718" s="1">
        <v>22.451754</v>
      </c>
      <c r="F1718" s="1">
        <v>88.389656</v>
      </c>
      <c r="G1718" s="1" t="s">
        <v>54</v>
      </c>
      <c r="H1718" s="1" t="s">
        <v>55</v>
      </c>
      <c r="J1718" s="1" t="s">
        <v>56</v>
      </c>
      <c r="K1718" s="1" t="s">
        <v>26</v>
      </c>
      <c r="L1718" s="1" t="s">
        <v>27</v>
      </c>
      <c r="N1718" s="1" t="s">
        <v>532</v>
      </c>
      <c r="O1718" s="1" t="s">
        <v>57</v>
      </c>
      <c r="P1718" s="1" t="s">
        <v>3135</v>
      </c>
      <c r="Q1718" s="1" t="s">
        <v>3136</v>
      </c>
      <c r="R1718" s="1">
        <v>0.0</v>
      </c>
      <c r="S1718" s="1"/>
    </row>
    <row r="1719" ht="15.75" customHeight="1">
      <c r="A1719" s="1" t="s">
        <v>4092</v>
      </c>
      <c r="B1719" s="1" t="s">
        <v>4093</v>
      </c>
      <c r="C1719" s="1" t="s">
        <v>3734</v>
      </c>
      <c r="E1719" s="1">
        <v>15.8717063</v>
      </c>
      <c r="F1719" s="1">
        <v>74.5120314</v>
      </c>
      <c r="G1719" s="1" t="s">
        <v>54</v>
      </c>
      <c r="H1719" s="1" t="s">
        <v>55</v>
      </c>
      <c r="J1719" s="1" t="s">
        <v>56</v>
      </c>
      <c r="K1719" s="1" t="s">
        <v>26</v>
      </c>
      <c r="L1719" s="1" t="s">
        <v>27</v>
      </c>
      <c r="N1719" s="1" t="s">
        <v>743</v>
      </c>
      <c r="O1719" s="1" t="s">
        <v>57</v>
      </c>
      <c r="P1719" s="1" t="s">
        <v>1079</v>
      </c>
      <c r="Q1719" s="1" t="s">
        <v>1080</v>
      </c>
      <c r="R1719" s="1">
        <v>0.0</v>
      </c>
      <c r="S1719" s="1"/>
    </row>
    <row r="1720" ht="15.75" customHeight="1">
      <c r="A1720" s="1" t="s">
        <v>4094</v>
      </c>
      <c r="B1720" s="1" t="s">
        <v>4095</v>
      </c>
      <c r="C1720" s="1" t="s">
        <v>937</v>
      </c>
      <c r="E1720" s="1">
        <v>28.7066494</v>
      </c>
      <c r="F1720" s="1">
        <v>77.184349</v>
      </c>
      <c r="G1720" s="1" t="s">
        <v>54</v>
      </c>
      <c r="H1720" s="1" t="s">
        <v>55</v>
      </c>
      <c r="J1720" s="1" t="s">
        <v>56</v>
      </c>
      <c r="K1720" s="1" t="s">
        <v>26</v>
      </c>
      <c r="L1720" s="1" t="s">
        <v>27</v>
      </c>
      <c r="N1720" s="1" t="s">
        <v>123</v>
      </c>
      <c r="O1720" s="1" t="s">
        <v>57</v>
      </c>
      <c r="P1720" s="1" t="s">
        <v>938</v>
      </c>
      <c r="Q1720" s="1" t="s">
        <v>939</v>
      </c>
      <c r="R1720" s="1">
        <v>0.0</v>
      </c>
      <c r="S1720" s="1"/>
    </row>
    <row r="1721" ht="15.75" customHeight="1">
      <c r="A1721" s="1" t="s">
        <v>4096</v>
      </c>
      <c r="B1721" s="1" t="s">
        <v>4097</v>
      </c>
      <c r="C1721" s="1" t="s">
        <v>1138</v>
      </c>
      <c r="E1721" s="1">
        <v>11.0744675</v>
      </c>
      <c r="F1721" s="1">
        <v>76.9415097</v>
      </c>
      <c r="G1721" s="1" t="s">
        <v>54</v>
      </c>
      <c r="H1721" s="1" t="s">
        <v>55</v>
      </c>
      <c r="J1721" s="1" t="s">
        <v>56</v>
      </c>
      <c r="K1721" s="1" t="s">
        <v>26</v>
      </c>
      <c r="L1721" s="1" t="s">
        <v>27</v>
      </c>
      <c r="N1721" s="1" t="s">
        <v>1097</v>
      </c>
      <c r="O1721" s="1" t="s">
        <v>57</v>
      </c>
      <c r="P1721" s="1" t="s">
        <v>3219</v>
      </c>
      <c r="Q1721" s="1" t="s">
        <v>3220</v>
      </c>
      <c r="R1721" s="1">
        <v>0.0</v>
      </c>
      <c r="S1721" s="1"/>
    </row>
    <row r="1722" ht="15.75" customHeight="1">
      <c r="A1722" s="1" t="s">
        <v>4098</v>
      </c>
      <c r="B1722" s="1" t="s">
        <v>4099</v>
      </c>
      <c r="C1722" s="1" t="s">
        <v>185</v>
      </c>
      <c r="E1722" s="1">
        <v>17.4048134</v>
      </c>
      <c r="F1722" s="1">
        <v>78.515006</v>
      </c>
      <c r="G1722" s="1" t="s">
        <v>54</v>
      </c>
      <c r="H1722" s="1" t="s">
        <v>55</v>
      </c>
      <c r="J1722" s="1" t="s">
        <v>56</v>
      </c>
      <c r="K1722" s="1" t="s">
        <v>26</v>
      </c>
      <c r="L1722" s="1" t="s">
        <v>27</v>
      </c>
      <c r="N1722" s="1" t="s">
        <v>186</v>
      </c>
      <c r="O1722" s="1" t="s">
        <v>57</v>
      </c>
      <c r="P1722" s="1" t="s">
        <v>2074</v>
      </c>
      <c r="Q1722" s="1" t="s">
        <v>2075</v>
      </c>
      <c r="R1722" s="1">
        <v>0.0</v>
      </c>
      <c r="S1722" s="1"/>
    </row>
    <row r="1723" ht="15.75" customHeight="1">
      <c r="A1723" s="1" t="s">
        <v>4100</v>
      </c>
      <c r="B1723" s="1" t="s">
        <v>4101</v>
      </c>
      <c r="C1723" s="1" t="s">
        <v>2000</v>
      </c>
      <c r="E1723" s="1">
        <v>18.3903027</v>
      </c>
      <c r="F1723" s="1">
        <v>76.5609089</v>
      </c>
      <c r="G1723" s="1" t="s">
        <v>54</v>
      </c>
      <c r="H1723" s="1" t="s">
        <v>55</v>
      </c>
      <c r="J1723" s="1" t="s">
        <v>56</v>
      </c>
      <c r="K1723" s="1" t="s">
        <v>26</v>
      </c>
      <c r="L1723" s="1" t="s">
        <v>27</v>
      </c>
      <c r="N1723" s="1" t="s">
        <v>143</v>
      </c>
      <c r="O1723" s="1" t="s">
        <v>57</v>
      </c>
      <c r="P1723" s="1" t="s">
        <v>2239</v>
      </c>
      <c r="Q1723" s="1" t="s">
        <v>2240</v>
      </c>
      <c r="R1723" s="1">
        <v>0.0</v>
      </c>
      <c r="S1723" s="1"/>
    </row>
    <row r="1724" ht="15.75" customHeight="1">
      <c r="A1724" s="1" t="s">
        <v>4102</v>
      </c>
      <c r="B1724" s="1" t="s">
        <v>4103</v>
      </c>
      <c r="C1724" s="1" t="s">
        <v>4104</v>
      </c>
      <c r="E1724" s="1">
        <v>24.8857049</v>
      </c>
      <c r="F1724" s="1">
        <v>74.6331426</v>
      </c>
      <c r="G1724" s="1" t="s">
        <v>54</v>
      </c>
      <c r="H1724" s="1" t="s">
        <v>55</v>
      </c>
      <c r="J1724" s="1" t="s">
        <v>56</v>
      </c>
      <c r="K1724" s="1" t="s">
        <v>26</v>
      </c>
      <c r="L1724" s="1" t="s">
        <v>27</v>
      </c>
      <c r="N1724" s="1" t="s">
        <v>464</v>
      </c>
      <c r="O1724" s="1" t="s">
        <v>57</v>
      </c>
      <c r="P1724" s="1" t="s">
        <v>887</v>
      </c>
      <c r="Q1724" s="1" t="s">
        <v>888</v>
      </c>
      <c r="R1724" s="1">
        <v>0.0</v>
      </c>
      <c r="S1724" s="1"/>
    </row>
    <row r="1725" ht="15.75" customHeight="1">
      <c r="A1725" s="1" t="s">
        <v>4105</v>
      </c>
      <c r="B1725" s="1" t="s">
        <v>4106</v>
      </c>
      <c r="C1725" s="1" t="s">
        <v>4107</v>
      </c>
      <c r="E1725" s="1">
        <v>15.1531055</v>
      </c>
      <c r="F1725" s="1">
        <v>76.9060228</v>
      </c>
      <c r="G1725" s="1" t="s">
        <v>54</v>
      </c>
      <c r="H1725" s="1" t="s">
        <v>55</v>
      </c>
      <c r="J1725" s="1" t="s">
        <v>56</v>
      </c>
      <c r="K1725" s="1" t="s">
        <v>26</v>
      </c>
      <c r="L1725" s="1" t="s">
        <v>27</v>
      </c>
      <c r="N1725" s="1" t="s">
        <v>743</v>
      </c>
      <c r="O1725" s="1" t="s">
        <v>57</v>
      </c>
      <c r="P1725" s="1" t="s">
        <v>1079</v>
      </c>
      <c r="Q1725" s="1" t="s">
        <v>1080</v>
      </c>
      <c r="R1725" s="1">
        <v>0.0</v>
      </c>
      <c r="S1725" s="1"/>
    </row>
    <row r="1726" ht="15.75" customHeight="1">
      <c r="A1726" s="1" t="s">
        <v>4108</v>
      </c>
      <c r="B1726" s="1" t="s">
        <v>4109</v>
      </c>
      <c r="C1726" s="1" t="s">
        <v>4110</v>
      </c>
      <c r="E1726" s="1">
        <v>25.627351</v>
      </c>
      <c r="F1726" s="1">
        <v>88.13081100000001</v>
      </c>
      <c r="G1726" s="1" t="s">
        <v>54</v>
      </c>
      <c r="H1726" s="1" t="s">
        <v>55</v>
      </c>
      <c r="J1726" s="1" t="s">
        <v>56</v>
      </c>
      <c r="K1726" s="1" t="s">
        <v>26</v>
      </c>
      <c r="L1726" s="1" t="s">
        <v>27</v>
      </c>
      <c r="N1726" s="1" t="s">
        <v>532</v>
      </c>
      <c r="O1726" s="1" t="s">
        <v>57</v>
      </c>
      <c r="P1726" s="1" t="s">
        <v>3131</v>
      </c>
      <c r="Q1726" s="1" t="s">
        <v>3132</v>
      </c>
      <c r="R1726" s="1">
        <v>0.0</v>
      </c>
      <c r="S1726" s="1"/>
    </row>
    <row r="1727" ht="15.75" customHeight="1">
      <c r="A1727" s="1" t="s">
        <v>4111</v>
      </c>
      <c r="B1727" s="1" t="s">
        <v>4112</v>
      </c>
      <c r="C1727" s="1" t="s">
        <v>3033</v>
      </c>
      <c r="E1727" s="1">
        <v>30.6359544</v>
      </c>
      <c r="F1727" s="1">
        <v>76.7607115</v>
      </c>
      <c r="G1727" s="1" t="s">
        <v>54</v>
      </c>
      <c r="H1727" s="1" t="s">
        <v>55</v>
      </c>
      <c r="J1727" s="1" t="s">
        <v>56</v>
      </c>
      <c r="K1727" s="1" t="s">
        <v>26</v>
      </c>
      <c r="L1727" s="1" t="s">
        <v>27</v>
      </c>
      <c r="N1727" s="1" t="s">
        <v>123</v>
      </c>
      <c r="O1727" s="1" t="s">
        <v>57</v>
      </c>
      <c r="P1727" s="1" t="s">
        <v>938</v>
      </c>
      <c r="Q1727" s="1" t="s">
        <v>939</v>
      </c>
      <c r="R1727" s="1">
        <v>0.0</v>
      </c>
      <c r="S1727" s="1"/>
    </row>
    <row r="1728" ht="15.75" customHeight="1">
      <c r="A1728" s="1" t="s">
        <v>4113</v>
      </c>
      <c r="B1728" s="1" t="s">
        <v>4114</v>
      </c>
      <c r="C1728" s="1" t="s">
        <v>174</v>
      </c>
      <c r="E1728" s="1">
        <v>28.6319867</v>
      </c>
      <c r="F1728" s="1">
        <v>77.0847234</v>
      </c>
      <c r="G1728" s="1" t="s">
        <v>54</v>
      </c>
      <c r="H1728" s="1" t="s">
        <v>55</v>
      </c>
      <c r="J1728" s="1" t="s">
        <v>56</v>
      </c>
      <c r="K1728" s="1" t="s">
        <v>26</v>
      </c>
      <c r="L1728" s="1" t="s">
        <v>27</v>
      </c>
      <c r="N1728" s="1" t="s">
        <v>174</v>
      </c>
      <c r="O1728" s="1" t="s">
        <v>57</v>
      </c>
      <c r="P1728" s="1" t="s">
        <v>1749</v>
      </c>
      <c r="Q1728" s="1" t="s">
        <v>1750</v>
      </c>
      <c r="R1728" s="1">
        <v>1.0</v>
      </c>
      <c r="S1728" s="1"/>
    </row>
    <row r="1729" ht="15.75" customHeight="1">
      <c r="A1729" s="1" t="s">
        <v>4115</v>
      </c>
      <c r="B1729" s="1" t="s">
        <v>4116</v>
      </c>
      <c r="C1729" s="1" t="s">
        <v>21</v>
      </c>
      <c r="E1729" s="1">
        <v>28.457496</v>
      </c>
      <c r="F1729" s="1">
        <v>77.49909099999999</v>
      </c>
      <c r="G1729" s="1" t="s">
        <v>54</v>
      </c>
      <c r="H1729" s="1" t="s">
        <v>55</v>
      </c>
      <c r="J1729" s="1" t="s">
        <v>56</v>
      </c>
      <c r="K1729" s="1" t="s">
        <v>26</v>
      </c>
      <c r="L1729" s="1" t="s">
        <v>27</v>
      </c>
      <c r="N1729" s="1" t="s">
        <v>28</v>
      </c>
      <c r="O1729" s="1" t="s">
        <v>57</v>
      </c>
      <c r="P1729" s="1" t="s">
        <v>2167</v>
      </c>
      <c r="Q1729" s="1" t="s">
        <v>2168</v>
      </c>
      <c r="R1729" s="1">
        <v>1.0</v>
      </c>
      <c r="S1729" s="1"/>
    </row>
    <row r="1730" ht="15.75" customHeight="1">
      <c r="A1730" s="1" t="s">
        <v>4117</v>
      </c>
      <c r="B1730" s="1" t="s">
        <v>4118</v>
      </c>
      <c r="C1730" s="1" t="s">
        <v>242</v>
      </c>
      <c r="E1730" s="1">
        <v>21.1938358</v>
      </c>
      <c r="F1730" s="1">
        <v>72.7982942</v>
      </c>
      <c r="G1730" s="1" t="s">
        <v>54</v>
      </c>
      <c r="H1730" s="1" t="s">
        <v>55</v>
      </c>
      <c r="J1730" s="1" t="s">
        <v>56</v>
      </c>
      <c r="K1730" s="1" t="s">
        <v>26</v>
      </c>
      <c r="L1730" s="1" t="s">
        <v>27</v>
      </c>
      <c r="N1730" s="1" t="s">
        <v>216</v>
      </c>
      <c r="O1730" s="1" t="s">
        <v>57</v>
      </c>
      <c r="P1730" s="1" t="s">
        <v>3342</v>
      </c>
      <c r="Q1730" s="1" t="s">
        <v>3343</v>
      </c>
      <c r="R1730" s="1">
        <v>7.0</v>
      </c>
      <c r="S1730" s="1"/>
    </row>
    <row r="1731" ht="15.75" customHeight="1">
      <c r="A1731" s="1" t="s">
        <v>4119</v>
      </c>
      <c r="B1731" s="1" t="s">
        <v>4120</v>
      </c>
      <c r="C1731" s="1" t="s">
        <v>4121</v>
      </c>
      <c r="E1731" s="1">
        <v>30.6392032</v>
      </c>
      <c r="F1731" s="1">
        <v>76.82246649999999</v>
      </c>
      <c r="G1731" s="1" t="s">
        <v>54</v>
      </c>
      <c r="H1731" s="1" t="s">
        <v>55</v>
      </c>
      <c r="J1731" s="1" t="s">
        <v>56</v>
      </c>
      <c r="K1731" s="1" t="s">
        <v>26</v>
      </c>
      <c r="L1731" s="1" t="s">
        <v>27</v>
      </c>
      <c r="N1731" s="1" t="s">
        <v>123</v>
      </c>
      <c r="O1731" s="1" t="s">
        <v>57</v>
      </c>
      <c r="P1731" s="1" t="s">
        <v>938</v>
      </c>
      <c r="Q1731" s="1" t="s">
        <v>939</v>
      </c>
      <c r="R1731" s="1">
        <v>0.0</v>
      </c>
      <c r="S1731" s="1"/>
    </row>
    <row r="1732" ht="15.75" customHeight="1">
      <c r="A1732" s="1" t="s">
        <v>4122</v>
      </c>
      <c r="B1732" s="1" t="s">
        <v>4123</v>
      </c>
      <c r="C1732" s="1" t="s">
        <v>1078</v>
      </c>
      <c r="E1732" s="1">
        <v>13.001282</v>
      </c>
      <c r="F1732" s="1">
        <v>77.63266100000001</v>
      </c>
      <c r="G1732" s="1" t="s">
        <v>54</v>
      </c>
      <c r="H1732" s="1" t="s">
        <v>55</v>
      </c>
      <c r="J1732" s="1" t="s">
        <v>56</v>
      </c>
      <c r="K1732" s="1" t="s">
        <v>26</v>
      </c>
      <c r="L1732" s="1" t="s">
        <v>27</v>
      </c>
      <c r="N1732" s="1" t="s">
        <v>743</v>
      </c>
      <c r="O1732" s="1" t="s">
        <v>57</v>
      </c>
      <c r="P1732" s="1" t="s">
        <v>1079</v>
      </c>
      <c r="Q1732" s="1" t="s">
        <v>1080</v>
      </c>
      <c r="R1732" s="1">
        <v>1.0</v>
      </c>
      <c r="S1732" s="1"/>
    </row>
    <row r="1733" ht="15.75" customHeight="1">
      <c r="A1733" s="1" t="s">
        <v>4124</v>
      </c>
      <c r="B1733" s="1" t="s">
        <v>4125</v>
      </c>
      <c r="C1733" s="1" t="s">
        <v>1307</v>
      </c>
      <c r="E1733" s="1">
        <v>13.0119901</v>
      </c>
      <c r="F1733" s="1">
        <v>76.1058863</v>
      </c>
      <c r="G1733" s="1" t="s">
        <v>54</v>
      </c>
      <c r="H1733" s="1" t="s">
        <v>55</v>
      </c>
      <c r="J1733" s="1" t="s">
        <v>56</v>
      </c>
      <c r="K1733" s="1" t="s">
        <v>26</v>
      </c>
      <c r="L1733" s="1" t="s">
        <v>27</v>
      </c>
      <c r="N1733" s="1" t="s">
        <v>743</v>
      </c>
      <c r="O1733" s="1" t="s">
        <v>57</v>
      </c>
      <c r="P1733" s="1" t="s">
        <v>1079</v>
      </c>
      <c r="Q1733" s="1" t="s">
        <v>1080</v>
      </c>
      <c r="R1733" s="1">
        <v>0.0</v>
      </c>
      <c r="S1733" s="1"/>
    </row>
    <row r="1734" ht="15.75" customHeight="1">
      <c r="A1734" s="1" t="s">
        <v>4126</v>
      </c>
      <c r="B1734" s="1" t="s">
        <v>4127</v>
      </c>
      <c r="C1734" s="1" t="s">
        <v>3157</v>
      </c>
      <c r="E1734" s="1">
        <v>23.222645</v>
      </c>
      <c r="F1734" s="1">
        <v>87.882572</v>
      </c>
      <c r="G1734" s="1" t="s">
        <v>54</v>
      </c>
      <c r="H1734" s="1" t="s">
        <v>55</v>
      </c>
      <c r="J1734" s="1" t="s">
        <v>56</v>
      </c>
      <c r="K1734" s="1" t="s">
        <v>26</v>
      </c>
      <c r="L1734" s="1" t="s">
        <v>27</v>
      </c>
      <c r="N1734" s="1" t="s">
        <v>532</v>
      </c>
      <c r="O1734" s="1" t="s">
        <v>57</v>
      </c>
      <c r="P1734" s="1" t="s">
        <v>3131</v>
      </c>
      <c r="Q1734" s="1" t="s">
        <v>3132</v>
      </c>
      <c r="R1734" s="1">
        <v>0.0</v>
      </c>
      <c r="S1734" s="1"/>
    </row>
    <row r="1735" ht="15.75" customHeight="1">
      <c r="A1735" s="1" t="s">
        <v>4128</v>
      </c>
      <c r="B1735" s="1" t="s">
        <v>4129</v>
      </c>
      <c r="C1735" s="1" t="s">
        <v>2022</v>
      </c>
      <c r="E1735" s="1">
        <v>21.1348527</v>
      </c>
      <c r="F1735" s="1">
        <v>79.119297</v>
      </c>
      <c r="G1735" s="1" t="s">
        <v>54</v>
      </c>
      <c r="H1735" s="1" t="s">
        <v>55</v>
      </c>
      <c r="J1735" s="1" t="s">
        <v>56</v>
      </c>
      <c r="K1735" s="1" t="s">
        <v>26</v>
      </c>
      <c r="L1735" s="1" t="s">
        <v>27</v>
      </c>
      <c r="N1735" s="1" t="s">
        <v>143</v>
      </c>
      <c r="O1735" s="1" t="s">
        <v>57</v>
      </c>
      <c r="P1735" s="1" t="s">
        <v>2239</v>
      </c>
      <c r="Q1735" s="1" t="s">
        <v>2240</v>
      </c>
      <c r="R1735" s="1">
        <v>0.0</v>
      </c>
      <c r="S1735" s="1"/>
    </row>
    <row r="1736" ht="15.75" customHeight="1">
      <c r="A1736" s="1" t="s">
        <v>4130</v>
      </c>
      <c r="B1736" s="1" t="s">
        <v>4131</v>
      </c>
      <c r="C1736" s="1" t="s">
        <v>4132</v>
      </c>
      <c r="E1736" s="1">
        <v>26.3285894</v>
      </c>
      <c r="F1736" s="1">
        <v>89.4466327</v>
      </c>
      <c r="G1736" s="1" t="s">
        <v>54</v>
      </c>
      <c r="H1736" s="1" t="s">
        <v>55</v>
      </c>
      <c r="J1736" s="1" t="s">
        <v>56</v>
      </c>
      <c r="K1736" s="1" t="s">
        <v>26</v>
      </c>
      <c r="L1736" s="1" t="s">
        <v>27</v>
      </c>
      <c r="N1736" s="1" t="s">
        <v>532</v>
      </c>
      <c r="O1736" s="1" t="s">
        <v>57</v>
      </c>
      <c r="P1736" s="1" t="s">
        <v>3131</v>
      </c>
      <c r="Q1736" s="1" t="s">
        <v>3132</v>
      </c>
      <c r="R1736" s="1">
        <v>0.0</v>
      </c>
      <c r="S1736" s="1"/>
    </row>
    <row r="1737" ht="15.75" customHeight="1">
      <c r="A1737" s="1" t="s">
        <v>4133</v>
      </c>
      <c r="B1737" s="1" t="s">
        <v>4134</v>
      </c>
      <c r="C1737" s="1" t="s">
        <v>185</v>
      </c>
      <c r="E1737" s="1">
        <v>17.3376128</v>
      </c>
      <c r="F1737" s="1">
        <v>78.5722586</v>
      </c>
      <c r="G1737" s="1" t="s">
        <v>54</v>
      </c>
      <c r="H1737" s="1" t="s">
        <v>55</v>
      </c>
      <c r="J1737" s="1" t="s">
        <v>56</v>
      </c>
      <c r="K1737" s="1" t="s">
        <v>26</v>
      </c>
      <c r="L1737" s="1" t="s">
        <v>27</v>
      </c>
      <c r="N1737" s="1" t="s">
        <v>186</v>
      </c>
      <c r="O1737" s="1" t="s">
        <v>57</v>
      </c>
      <c r="P1737" s="1" t="s">
        <v>2074</v>
      </c>
      <c r="Q1737" s="1" t="s">
        <v>2075</v>
      </c>
      <c r="R1737" s="1">
        <v>0.0</v>
      </c>
      <c r="S1737" s="1"/>
    </row>
    <row r="1738" ht="15.75" customHeight="1">
      <c r="A1738" s="1" t="s">
        <v>4135</v>
      </c>
      <c r="B1738" s="1" t="s">
        <v>4136</v>
      </c>
      <c r="C1738" s="1" t="s">
        <v>4137</v>
      </c>
      <c r="E1738" s="1">
        <v>26.2137757</v>
      </c>
      <c r="F1738" s="1">
        <v>84.362179</v>
      </c>
      <c r="G1738" s="1" t="s">
        <v>54</v>
      </c>
      <c r="H1738" s="1" t="s">
        <v>55</v>
      </c>
      <c r="J1738" s="1" t="s">
        <v>56</v>
      </c>
      <c r="K1738" s="1" t="s">
        <v>26</v>
      </c>
      <c r="L1738" s="1" t="s">
        <v>27</v>
      </c>
      <c r="N1738" s="1" t="s">
        <v>498</v>
      </c>
      <c r="O1738" s="1" t="s">
        <v>57</v>
      </c>
      <c r="P1738" s="1" t="s">
        <v>3253</v>
      </c>
      <c r="Q1738" s="1" t="s">
        <v>3254</v>
      </c>
      <c r="R1738" s="1">
        <v>0.0</v>
      </c>
      <c r="S1738" s="1"/>
    </row>
    <row r="1739" ht="15.75" customHeight="1">
      <c r="A1739" s="1" t="s">
        <v>4138</v>
      </c>
      <c r="B1739" s="1" t="s">
        <v>4139</v>
      </c>
      <c r="C1739" s="1" t="s">
        <v>4140</v>
      </c>
      <c r="E1739" s="1">
        <v>21.342907</v>
      </c>
      <c r="F1739" s="1">
        <v>83.61150099999999</v>
      </c>
      <c r="G1739" s="1" t="s">
        <v>54</v>
      </c>
      <c r="H1739" s="1" t="s">
        <v>55</v>
      </c>
      <c r="J1739" s="1" t="s">
        <v>56</v>
      </c>
      <c r="K1739" s="1" t="s">
        <v>26</v>
      </c>
      <c r="L1739" s="1" t="s">
        <v>27</v>
      </c>
      <c r="N1739" s="1" t="s">
        <v>1874</v>
      </c>
      <c r="O1739" s="1" t="s">
        <v>57</v>
      </c>
      <c r="P1739" s="1" t="s">
        <v>3131</v>
      </c>
      <c r="Q1739" s="1" t="s">
        <v>3132</v>
      </c>
      <c r="R1739" s="1">
        <v>0.0</v>
      </c>
      <c r="S1739" s="1"/>
    </row>
    <row r="1740" ht="15.75" customHeight="1">
      <c r="A1740" s="1" t="s">
        <v>4141</v>
      </c>
      <c r="B1740" s="1" t="s">
        <v>4142</v>
      </c>
      <c r="C1740" s="1" t="s">
        <v>746</v>
      </c>
      <c r="E1740" s="1">
        <v>25.3106262</v>
      </c>
      <c r="F1740" s="1">
        <v>82.9894952</v>
      </c>
      <c r="G1740" s="1" t="s">
        <v>54</v>
      </c>
      <c r="H1740" s="1" t="s">
        <v>55</v>
      </c>
      <c r="J1740" s="1" t="s">
        <v>56</v>
      </c>
      <c r="K1740" s="1" t="s">
        <v>26</v>
      </c>
      <c r="L1740" s="1" t="s">
        <v>27</v>
      </c>
      <c r="N1740" s="1" t="s">
        <v>28</v>
      </c>
      <c r="O1740" s="1" t="s">
        <v>57</v>
      </c>
      <c r="P1740" s="1" t="s">
        <v>747</v>
      </c>
      <c r="Q1740" s="1" t="s">
        <v>748</v>
      </c>
      <c r="R1740" s="1">
        <v>0.0</v>
      </c>
      <c r="S1740" s="1"/>
    </row>
    <row r="1741" ht="15.75" customHeight="1">
      <c r="A1741" s="1" t="s">
        <v>4143</v>
      </c>
      <c r="B1741" s="1" t="s">
        <v>4144</v>
      </c>
      <c r="C1741" s="1" t="s">
        <v>1786</v>
      </c>
      <c r="E1741" s="1">
        <v>20.2565404</v>
      </c>
      <c r="F1741" s="1">
        <v>85.8331063</v>
      </c>
      <c r="G1741" s="1" t="s">
        <v>54</v>
      </c>
      <c r="H1741" s="1" t="s">
        <v>55</v>
      </c>
      <c r="J1741" s="1" t="s">
        <v>56</v>
      </c>
      <c r="K1741" s="1" t="s">
        <v>26</v>
      </c>
      <c r="L1741" s="1" t="s">
        <v>27</v>
      </c>
      <c r="N1741" s="1" t="s">
        <v>1874</v>
      </c>
      <c r="O1741" s="1" t="s">
        <v>57</v>
      </c>
      <c r="P1741" s="1" t="s">
        <v>3131</v>
      </c>
      <c r="Q1741" s="1" t="s">
        <v>3132</v>
      </c>
      <c r="R1741" s="1">
        <v>0.0</v>
      </c>
      <c r="S1741" s="1"/>
    </row>
    <row r="1742" ht="15.75" customHeight="1">
      <c r="A1742" s="1" t="s">
        <v>4145</v>
      </c>
      <c r="B1742" s="1" t="s">
        <v>4146</v>
      </c>
      <c r="C1742" s="1" t="s">
        <v>848</v>
      </c>
      <c r="E1742" s="1">
        <v>26.8030159</v>
      </c>
      <c r="F1742" s="1">
        <v>75.8096087</v>
      </c>
      <c r="G1742" s="1" t="s">
        <v>54</v>
      </c>
      <c r="H1742" s="1" t="s">
        <v>55</v>
      </c>
      <c r="J1742" s="1" t="s">
        <v>56</v>
      </c>
      <c r="K1742" s="1" t="s">
        <v>26</v>
      </c>
      <c r="L1742" s="1" t="s">
        <v>27</v>
      </c>
      <c r="N1742" s="1" t="s">
        <v>849</v>
      </c>
      <c r="O1742" s="1" t="s">
        <v>57</v>
      </c>
      <c r="P1742" s="1" t="s">
        <v>887</v>
      </c>
      <c r="Q1742" s="1" t="s">
        <v>888</v>
      </c>
      <c r="R1742" s="1">
        <v>0.0</v>
      </c>
      <c r="S1742" s="1"/>
    </row>
    <row r="1743" ht="15.75" customHeight="1">
      <c r="A1743" s="1" t="s">
        <v>4147</v>
      </c>
      <c r="B1743" s="1" t="s">
        <v>4148</v>
      </c>
      <c r="C1743" s="1" t="s">
        <v>174</v>
      </c>
      <c r="E1743" s="1">
        <v>28.6839135</v>
      </c>
      <c r="F1743" s="1">
        <v>77.2044851</v>
      </c>
      <c r="G1743" s="1" t="s">
        <v>54</v>
      </c>
      <c r="H1743" s="1" t="s">
        <v>55</v>
      </c>
      <c r="J1743" s="1" t="s">
        <v>56</v>
      </c>
      <c r="K1743" s="1" t="s">
        <v>26</v>
      </c>
      <c r="L1743" s="1" t="s">
        <v>27</v>
      </c>
      <c r="N1743" s="1" t="s">
        <v>174</v>
      </c>
      <c r="O1743" s="1" t="s">
        <v>57</v>
      </c>
      <c r="P1743" s="1" t="s">
        <v>1749</v>
      </c>
      <c r="Q1743" s="1" t="s">
        <v>1750</v>
      </c>
      <c r="R1743" s="1">
        <v>2.0</v>
      </c>
      <c r="S1743" s="1"/>
    </row>
    <row r="1744" ht="15.75" customHeight="1">
      <c r="A1744" s="1" t="s">
        <v>4149</v>
      </c>
      <c r="B1744" s="1" t="s">
        <v>4150</v>
      </c>
      <c r="C1744" s="1" t="s">
        <v>463</v>
      </c>
      <c r="E1744" s="1">
        <v>13.6221052</v>
      </c>
      <c r="F1744" s="1">
        <v>79.4121294</v>
      </c>
      <c r="G1744" s="1" t="s">
        <v>54</v>
      </c>
      <c r="H1744" s="1" t="s">
        <v>55</v>
      </c>
      <c r="J1744" s="1" t="s">
        <v>56</v>
      </c>
      <c r="K1744" s="1" t="s">
        <v>26</v>
      </c>
      <c r="L1744" s="1" t="s">
        <v>27</v>
      </c>
      <c r="N1744" s="1" t="s">
        <v>464</v>
      </c>
      <c r="O1744" s="1" t="s">
        <v>57</v>
      </c>
      <c r="P1744" s="1" t="s">
        <v>2074</v>
      </c>
      <c r="Q1744" s="1" t="s">
        <v>2075</v>
      </c>
      <c r="R1744" s="1">
        <v>0.0</v>
      </c>
      <c r="S1744" s="1"/>
    </row>
    <row r="1745" ht="15.75" customHeight="1">
      <c r="A1745" s="1" t="s">
        <v>4151</v>
      </c>
      <c r="B1745" s="1" t="s">
        <v>4152</v>
      </c>
      <c r="C1745" s="1" t="s">
        <v>1537</v>
      </c>
      <c r="E1745" s="1">
        <v>22.5417406</v>
      </c>
      <c r="F1745" s="1">
        <v>72.9471844</v>
      </c>
      <c r="G1745" s="1" t="s">
        <v>54</v>
      </c>
      <c r="H1745" s="1" t="s">
        <v>55</v>
      </c>
      <c r="J1745" s="1" t="s">
        <v>56</v>
      </c>
      <c r="K1745" s="1" t="s">
        <v>26</v>
      </c>
      <c r="L1745" s="1" t="s">
        <v>27</v>
      </c>
      <c r="N1745" s="1" t="s">
        <v>216</v>
      </c>
      <c r="O1745" s="1" t="s">
        <v>57</v>
      </c>
      <c r="P1745" s="1" t="s">
        <v>3342</v>
      </c>
      <c r="Q1745" s="1" t="s">
        <v>3343</v>
      </c>
      <c r="R1745" s="1">
        <v>0.0</v>
      </c>
      <c r="S1745" s="1"/>
    </row>
    <row r="1746" ht="15.75" customHeight="1">
      <c r="A1746" s="1" t="s">
        <v>4153</v>
      </c>
      <c r="B1746" s="1" t="s">
        <v>4154</v>
      </c>
      <c r="C1746" s="1" t="s">
        <v>1384</v>
      </c>
      <c r="E1746" s="1">
        <v>10.827189</v>
      </c>
      <c r="F1746" s="1">
        <v>78.6843772</v>
      </c>
      <c r="G1746" s="1" t="s">
        <v>54</v>
      </c>
      <c r="H1746" s="1" t="s">
        <v>55</v>
      </c>
      <c r="J1746" s="1" t="s">
        <v>56</v>
      </c>
      <c r="K1746" s="1" t="s">
        <v>26</v>
      </c>
      <c r="L1746" s="1" t="s">
        <v>27</v>
      </c>
      <c r="N1746" s="1" t="s">
        <v>1097</v>
      </c>
      <c r="O1746" s="1" t="s">
        <v>57</v>
      </c>
      <c r="P1746" s="1" t="s">
        <v>3219</v>
      </c>
      <c r="Q1746" s="1" t="s">
        <v>3220</v>
      </c>
      <c r="R1746" s="1">
        <v>0.0</v>
      </c>
      <c r="S1746" s="1"/>
    </row>
    <row r="1747" ht="15.75" customHeight="1">
      <c r="A1747" s="1" t="s">
        <v>4155</v>
      </c>
      <c r="B1747" s="1" t="s">
        <v>4156</v>
      </c>
      <c r="C1747" s="1" t="s">
        <v>1375</v>
      </c>
      <c r="E1747" s="1">
        <v>15.8246575</v>
      </c>
      <c r="F1747" s="1">
        <v>78.04070229999999</v>
      </c>
      <c r="G1747" s="1" t="s">
        <v>54</v>
      </c>
      <c r="H1747" s="1" t="s">
        <v>55</v>
      </c>
      <c r="J1747" s="1" t="s">
        <v>56</v>
      </c>
      <c r="K1747" s="1" t="s">
        <v>26</v>
      </c>
      <c r="L1747" s="1" t="s">
        <v>27</v>
      </c>
      <c r="N1747" s="1" t="s">
        <v>464</v>
      </c>
      <c r="O1747" s="1" t="s">
        <v>57</v>
      </c>
      <c r="P1747" s="1" t="s">
        <v>2074</v>
      </c>
      <c r="Q1747" s="1" t="s">
        <v>2075</v>
      </c>
      <c r="R1747" s="1">
        <v>0.0</v>
      </c>
      <c r="S1747" s="1"/>
    </row>
    <row r="1748" ht="15.75" customHeight="1">
      <c r="A1748" s="1" t="s">
        <v>4157</v>
      </c>
      <c r="B1748" s="1" t="s">
        <v>4158</v>
      </c>
      <c r="C1748" s="1" t="s">
        <v>1078</v>
      </c>
      <c r="E1748" s="1">
        <v>12.9887938</v>
      </c>
      <c r="F1748" s="1">
        <v>77.592863</v>
      </c>
      <c r="G1748" s="1" t="s">
        <v>54</v>
      </c>
      <c r="H1748" s="1" t="s">
        <v>55</v>
      </c>
      <c r="J1748" s="1" t="s">
        <v>56</v>
      </c>
      <c r="K1748" s="1" t="s">
        <v>26</v>
      </c>
      <c r="L1748" s="1" t="s">
        <v>27</v>
      </c>
      <c r="N1748" s="1" t="s">
        <v>743</v>
      </c>
      <c r="O1748" s="1" t="s">
        <v>57</v>
      </c>
      <c r="P1748" s="1" t="s">
        <v>1079</v>
      </c>
      <c r="Q1748" s="1" t="s">
        <v>1080</v>
      </c>
      <c r="R1748" s="1">
        <v>0.0</v>
      </c>
      <c r="S1748" s="1"/>
    </row>
    <row r="1749" ht="15.75" customHeight="1">
      <c r="A1749" s="1" t="s">
        <v>4159</v>
      </c>
      <c r="B1749" s="1" t="s">
        <v>4160</v>
      </c>
      <c r="C1749" s="1" t="s">
        <v>4161</v>
      </c>
      <c r="E1749" s="1">
        <v>19.6585622</v>
      </c>
      <c r="F1749" s="1">
        <v>78.52394939999999</v>
      </c>
      <c r="G1749" s="1" t="s">
        <v>54</v>
      </c>
      <c r="H1749" s="1" t="s">
        <v>55</v>
      </c>
      <c r="J1749" s="1" t="s">
        <v>56</v>
      </c>
      <c r="K1749" s="1" t="s">
        <v>26</v>
      </c>
      <c r="L1749" s="1" t="s">
        <v>27</v>
      </c>
      <c r="N1749" s="1" t="s">
        <v>186</v>
      </c>
      <c r="O1749" s="1" t="s">
        <v>57</v>
      </c>
      <c r="P1749" s="1" t="s">
        <v>2074</v>
      </c>
      <c r="Q1749" s="1" t="s">
        <v>2075</v>
      </c>
      <c r="R1749" s="1">
        <v>0.0</v>
      </c>
      <c r="S1749" s="1"/>
    </row>
    <row r="1750" ht="15.75" customHeight="1">
      <c r="A1750" s="1" t="s">
        <v>4162</v>
      </c>
      <c r="B1750" s="1" t="s">
        <v>4163</v>
      </c>
      <c r="C1750" s="1" t="s">
        <v>1096</v>
      </c>
      <c r="E1750" s="1">
        <v>11.6630967</v>
      </c>
      <c r="F1750" s="1">
        <v>78.1474332</v>
      </c>
      <c r="G1750" s="1" t="s">
        <v>54</v>
      </c>
      <c r="H1750" s="1" t="s">
        <v>55</v>
      </c>
      <c r="J1750" s="1" t="s">
        <v>56</v>
      </c>
      <c r="K1750" s="1" t="s">
        <v>26</v>
      </c>
      <c r="L1750" s="1" t="s">
        <v>27</v>
      </c>
      <c r="N1750" s="1" t="s">
        <v>1097</v>
      </c>
      <c r="O1750" s="1" t="s">
        <v>57</v>
      </c>
      <c r="P1750" s="1" t="s">
        <v>3219</v>
      </c>
      <c r="Q1750" s="1" t="s">
        <v>3220</v>
      </c>
      <c r="R1750" s="1">
        <v>0.0</v>
      </c>
      <c r="S1750" s="1"/>
    </row>
    <row r="1751" ht="15.75" customHeight="1">
      <c r="A1751" s="1" t="s">
        <v>4164</v>
      </c>
      <c r="B1751" s="1" t="s">
        <v>4165</v>
      </c>
      <c r="C1751" s="1" t="s">
        <v>215</v>
      </c>
      <c r="E1751" s="1">
        <v>23.0223698</v>
      </c>
      <c r="F1751" s="1">
        <v>72.5378796</v>
      </c>
      <c r="G1751" s="1" t="s">
        <v>54</v>
      </c>
      <c r="H1751" s="1" t="s">
        <v>55</v>
      </c>
      <c r="J1751" s="1" t="s">
        <v>56</v>
      </c>
      <c r="K1751" s="1" t="s">
        <v>26</v>
      </c>
      <c r="L1751" s="1" t="s">
        <v>27</v>
      </c>
      <c r="N1751" s="1" t="s">
        <v>216</v>
      </c>
      <c r="O1751" s="1" t="s">
        <v>57</v>
      </c>
      <c r="P1751" s="1" t="s">
        <v>3830</v>
      </c>
      <c r="Q1751" s="1" t="s">
        <v>3831</v>
      </c>
      <c r="R1751" s="1">
        <v>0.0</v>
      </c>
      <c r="S1751" s="1"/>
    </row>
    <row r="1752" ht="15.75" customHeight="1">
      <c r="A1752" s="1" t="s">
        <v>4166</v>
      </c>
      <c r="B1752" s="1" t="s">
        <v>4167</v>
      </c>
      <c r="C1752" s="1" t="s">
        <v>3095</v>
      </c>
      <c r="E1752" s="1">
        <v>28.00918</v>
      </c>
      <c r="F1752" s="1">
        <v>73.3188667</v>
      </c>
      <c r="G1752" s="1" t="s">
        <v>54</v>
      </c>
      <c r="H1752" s="1" t="s">
        <v>55</v>
      </c>
      <c r="J1752" s="1" t="s">
        <v>56</v>
      </c>
      <c r="K1752" s="1" t="s">
        <v>26</v>
      </c>
      <c r="L1752" s="1" t="s">
        <v>27</v>
      </c>
      <c r="N1752" s="1" t="s">
        <v>849</v>
      </c>
      <c r="O1752" s="1" t="s">
        <v>57</v>
      </c>
      <c r="P1752" s="1" t="s">
        <v>887</v>
      </c>
      <c r="Q1752" s="1" t="s">
        <v>888</v>
      </c>
      <c r="R1752" s="1">
        <v>0.0</v>
      </c>
      <c r="S1752" s="1"/>
    </row>
    <row r="1753" ht="15.75" customHeight="1">
      <c r="A1753" s="1" t="s">
        <v>4168</v>
      </c>
      <c r="B1753" s="1" t="s">
        <v>4169</v>
      </c>
      <c r="C1753" s="1" t="s">
        <v>517</v>
      </c>
      <c r="E1753" s="1">
        <v>26.1571303</v>
      </c>
      <c r="F1753" s="1">
        <v>85.90103529999999</v>
      </c>
      <c r="G1753" s="1" t="s">
        <v>54</v>
      </c>
      <c r="H1753" s="1" t="s">
        <v>55</v>
      </c>
      <c r="J1753" s="1" t="s">
        <v>56</v>
      </c>
      <c r="K1753" s="1" t="s">
        <v>26</v>
      </c>
      <c r="L1753" s="1" t="s">
        <v>27</v>
      </c>
      <c r="N1753" s="1" t="s">
        <v>498</v>
      </c>
      <c r="O1753" s="1" t="s">
        <v>57</v>
      </c>
      <c r="P1753" s="1" t="s">
        <v>3253</v>
      </c>
      <c r="Q1753" s="1" t="s">
        <v>3254</v>
      </c>
      <c r="R1753" s="1">
        <v>0.0</v>
      </c>
      <c r="S1753" s="1"/>
    </row>
    <row r="1754" ht="15.75" customHeight="1">
      <c r="A1754" s="1" t="s">
        <v>4170</v>
      </c>
      <c r="B1754" s="1" t="s">
        <v>4171</v>
      </c>
      <c r="C1754" s="1" t="s">
        <v>1582</v>
      </c>
      <c r="E1754" s="1">
        <v>22.6738522</v>
      </c>
      <c r="F1754" s="1">
        <v>72.8842186</v>
      </c>
      <c r="G1754" s="1" t="s">
        <v>54</v>
      </c>
      <c r="H1754" s="1" t="s">
        <v>55</v>
      </c>
      <c r="J1754" s="1" t="s">
        <v>56</v>
      </c>
      <c r="K1754" s="1" t="s">
        <v>26</v>
      </c>
      <c r="L1754" s="1" t="s">
        <v>27</v>
      </c>
      <c r="N1754" s="1" t="s">
        <v>216</v>
      </c>
      <c r="O1754" s="1" t="s">
        <v>57</v>
      </c>
      <c r="P1754" s="1" t="s">
        <v>3342</v>
      </c>
      <c r="Q1754" s="1" t="s">
        <v>3343</v>
      </c>
      <c r="R1754" s="1">
        <v>0.0</v>
      </c>
      <c r="S1754" s="1"/>
    </row>
    <row r="1755" ht="15.75" customHeight="1">
      <c r="A1755" s="1" t="s">
        <v>4172</v>
      </c>
      <c r="B1755" s="1" t="s">
        <v>4173</v>
      </c>
      <c r="C1755" s="1" t="s">
        <v>185</v>
      </c>
      <c r="E1755" s="1">
        <v>17.368973</v>
      </c>
      <c r="F1755" s="1">
        <v>78.5217969</v>
      </c>
      <c r="G1755" s="1" t="s">
        <v>54</v>
      </c>
      <c r="H1755" s="1" t="s">
        <v>55</v>
      </c>
      <c r="J1755" s="1" t="s">
        <v>56</v>
      </c>
      <c r="K1755" s="1" t="s">
        <v>26</v>
      </c>
      <c r="L1755" s="1" t="s">
        <v>27</v>
      </c>
      <c r="N1755" s="1" t="s">
        <v>186</v>
      </c>
      <c r="O1755" s="1" t="s">
        <v>57</v>
      </c>
      <c r="P1755" s="1" t="s">
        <v>2074</v>
      </c>
      <c r="Q1755" s="1" t="s">
        <v>2075</v>
      </c>
      <c r="R1755" s="1">
        <v>0.0</v>
      </c>
      <c r="S1755" s="1"/>
    </row>
    <row r="1756" ht="15.75" customHeight="1">
      <c r="A1756" s="1" t="s">
        <v>4174</v>
      </c>
      <c r="B1756" s="1" t="s">
        <v>4175</v>
      </c>
      <c r="C1756" s="1" t="s">
        <v>4176</v>
      </c>
      <c r="E1756" s="1">
        <v>24.0955768</v>
      </c>
      <c r="F1756" s="1">
        <v>88.2547805</v>
      </c>
      <c r="G1756" s="1" t="s">
        <v>54</v>
      </c>
      <c r="H1756" s="1" t="s">
        <v>55</v>
      </c>
      <c r="J1756" s="1" t="s">
        <v>56</v>
      </c>
      <c r="K1756" s="1" t="s">
        <v>26</v>
      </c>
      <c r="L1756" s="1" t="s">
        <v>27</v>
      </c>
      <c r="N1756" s="1" t="s">
        <v>532</v>
      </c>
      <c r="O1756" s="1" t="s">
        <v>57</v>
      </c>
      <c r="P1756" s="1" t="s">
        <v>3131</v>
      </c>
      <c r="Q1756" s="1" t="s">
        <v>3132</v>
      </c>
      <c r="R1756" s="1">
        <v>0.0</v>
      </c>
      <c r="S1756" s="1"/>
    </row>
    <row r="1757" ht="15.75" customHeight="1">
      <c r="A1757" s="1" t="s">
        <v>4177</v>
      </c>
      <c r="B1757" s="1" t="s">
        <v>4178</v>
      </c>
      <c r="C1757" s="1" t="s">
        <v>2050</v>
      </c>
      <c r="E1757" s="1">
        <v>21.191369</v>
      </c>
      <c r="F1757" s="1">
        <v>81.2814131</v>
      </c>
      <c r="G1757" s="1" t="s">
        <v>54</v>
      </c>
      <c r="H1757" s="1" t="s">
        <v>55</v>
      </c>
      <c r="J1757" s="1" t="s">
        <v>56</v>
      </c>
      <c r="K1757" s="1" t="s">
        <v>26</v>
      </c>
      <c r="L1757" s="1" t="s">
        <v>27</v>
      </c>
      <c r="N1757" s="1" t="s">
        <v>1989</v>
      </c>
      <c r="O1757" s="1" t="s">
        <v>57</v>
      </c>
      <c r="P1757" s="1" t="s">
        <v>3243</v>
      </c>
      <c r="Q1757" s="1" t="s">
        <v>3244</v>
      </c>
      <c r="R1757" s="1">
        <v>0.0</v>
      </c>
      <c r="S1757" s="1"/>
    </row>
    <row r="1758" ht="15.75" customHeight="1">
      <c r="A1758" s="1" t="s">
        <v>4179</v>
      </c>
      <c r="B1758" s="1" t="s">
        <v>4180</v>
      </c>
      <c r="C1758" s="1" t="s">
        <v>2387</v>
      </c>
      <c r="E1758" s="1">
        <v>10.788008</v>
      </c>
      <c r="F1758" s="1">
        <v>79.13531259999999</v>
      </c>
      <c r="G1758" s="1" t="s">
        <v>54</v>
      </c>
      <c r="H1758" s="1" t="s">
        <v>55</v>
      </c>
      <c r="J1758" s="1" t="s">
        <v>56</v>
      </c>
      <c r="K1758" s="1" t="s">
        <v>26</v>
      </c>
      <c r="L1758" s="1" t="s">
        <v>27</v>
      </c>
      <c r="N1758" s="1" t="s">
        <v>1097</v>
      </c>
      <c r="O1758" s="1" t="s">
        <v>57</v>
      </c>
      <c r="P1758" s="1" t="s">
        <v>3219</v>
      </c>
      <c r="Q1758" s="1" t="s">
        <v>3220</v>
      </c>
      <c r="R1758" s="1">
        <v>0.0</v>
      </c>
      <c r="S1758" s="1"/>
    </row>
    <row r="1759" ht="15.75" customHeight="1">
      <c r="A1759" s="1" t="s">
        <v>4181</v>
      </c>
      <c r="B1759" s="1" t="s">
        <v>4182</v>
      </c>
      <c r="C1759" s="1" t="s">
        <v>1375</v>
      </c>
      <c r="E1759" s="1">
        <v>15.6296469</v>
      </c>
      <c r="F1759" s="1">
        <v>77.2826413</v>
      </c>
      <c r="G1759" s="1" t="s">
        <v>54</v>
      </c>
      <c r="H1759" s="1" t="s">
        <v>55</v>
      </c>
      <c r="J1759" s="1" t="s">
        <v>56</v>
      </c>
      <c r="K1759" s="1" t="s">
        <v>26</v>
      </c>
      <c r="L1759" s="1" t="s">
        <v>27</v>
      </c>
      <c r="N1759" s="1" t="s">
        <v>464</v>
      </c>
      <c r="O1759" s="1" t="s">
        <v>57</v>
      </c>
      <c r="P1759" s="1" t="s">
        <v>2074</v>
      </c>
      <c r="Q1759" s="1" t="s">
        <v>2075</v>
      </c>
      <c r="R1759" s="1">
        <v>0.0</v>
      </c>
      <c r="S1759" s="1"/>
    </row>
    <row r="1760" ht="15.75" customHeight="1">
      <c r="A1760" s="1" t="s">
        <v>4183</v>
      </c>
      <c r="B1760" s="1" t="s">
        <v>4184</v>
      </c>
      <c r="C1760" s="1" t="s">
        <v>1294</v>
      </c>
      <c r="E1760" s="1">
        <v>18.4557836</v>
      </c>
      <c r="F1760" s="1">
        <v>79.1179745</v>
      </c>
      <c r="G1760" s="1" t="s">
        <v>54</v>
      </c>
      <c r="H1760" s="1" t="s">
        <v>55</v>
      </c>
      <c r="J1760" s="1" t="s">
        <v>56</v>
      </c>
      <c r="K1760" s="1" t="s">
        <v>26</v>
      </c>
      <c r="L1760" s="1" t="s">
        <v>27</v>
      </c>
      <c r="N1760" s="1" t="s">
        <v>186</v>
      </c>
      <c r="O1760" s="1" t="s">
        <v>57</v>
      </c>
      <c r="P1760" s="1" t="s">
        <v>2074</v>
      </c>
      <c r="Q1760" s="1" t="s">
        <v>2075</v>
      </c>
      <c r="R1760" s="1">
        <v>0.0</v>
      </c>
      <c r="S1760" s="1"/>
    </row>
    <row r="1761" ht="15.75" customHeight="1">
      <c r="A1761" s="1" t="s">
        <v>4185</v>
      </c>
      <c r="B1761" s="1" t="s">
        <v>4186</v>
      </c>
      <c r="C1761" s="1" t="s">
        <v>174</v>
      </c>
      <c r="E1761" s="1">
        <v>28.6557031</v>
      </c>
      <c r="F1761" s="1">
        <v>77.1876807</v>
      </c>
      <c r="G1761" s="1" t="s">
        <v>54</v>
      </c>
      <c r="H1761" s="1" t="s">
        <v>55</v>
      </c>
      <c r="J1761" s="1" t="s">
        <v>56</v>
      </c>
      <c r="K1761" s="1" t="s">
        <v>26</v>
      </c>
      <c r="L1761" s="1" t="s">
        <v>27</v>
      </c>
      <c r="N1761" s="1" t="s">
        <v>174</v>
      </c>
      <c r="O1761" s="1" t="s">
        <v>57</v>
      </c>
      <c r="P1761" s="1" t="s">
        <v>1749</v>
      </c>
      <c r="Q1761" s="1" t="s">
        <v>1750</v>
      </c>
      <c r="R1761" s="1">
        <v>0.0</v>
      </c>
      <c r="S1761" s="1"/>
    </row>
    <row r="1762" ht="15.75" customHeight="1">
      <c r="A1762" s="1" t="s">
        <v>4187</v>
      </c>
      <c r="B1762" s="1" t="s">
        <v>4188</v>
      </c>
      <c r="C1762" s="1" t="s">
        <v>174</v>
      </c>
      <c r="E1762" s="1">
        <v>28.6663206</v>
      </c>
      <c r="F1762" s="1">
        <v>77.1262143</v>
      </c>
      <c r="G1762" s="1" t="s">
        <v>54</v>
      </c>
      <c r="H1762" s="1" t="s">
        <v>55</v>
      </c>
      <c r="J1762" s="1" t="s">
        <v>56</v>
      </c>
      <c r="K1762" s="1" t="s">
        <v>26</v>
      </c>
      <c r="L1762" s="1" t="s">
        <v>27</v>
      </c>
      <c r="N1762" s="1" t="s">
        <v>174</v>
      </c>
      <c r="O1762" s="1" t="s">
        <v>57</v>
      </c>
      <c r="P1762" s="1" t="s">
        <v>1749</v>
      </c>
      <c r="Q1762" s="1" t="s">
        <v>1750</v>
      </c>
      <c r="R1762" s="1">
        <v>1.0</v>
      </c>
      <c r="S1762" s="1"/>
    </row>
    <row r="1763" ht="15.75" customHeight="1">
      <c r="A1763" s="1" t="s">
        <v>4189</v>
      </c>
      <c r="B1763" s="1" t="s">
        <v>4190</v>
      </c>
      <c r="C1763" s="1" t="s">
        <v>987</v>
      </c>
      <c r="E1763" s="1">
        <v>29.3911589</v>
      </c>
      <c r="F1763" s="1">
        <v>76.9696912</v>
      </c>
      <c r="G1763" s="1" t="s">
        <v>54</v>
      </c>
      <c r="H1763" s="1" t="s">
        <v>55</v>
      </c>
      <c r="J1763" s="1" t="s">
        <v>56</v>
      </c>
      <c r="K1763" s="1" t="s">
        <v>26</v>
      </c>
      <c r="L1763" s="1" t="s">
        <v>27</v>
      </c>
      <c r="N1763" s="1" t="s">
        <v>163</v>
      </c>
      <c r="O1763" s="1" t="s">
        <v>57</v>
      </c>
      <c r="P1763" s="1" t="s">
        <v>973</v>
      </c>
      <c r="Q1763" s="1" t="s">
        <v>974</v>
      </c>
      <c r="R1763" s="1">
        <v>0.0</v>
      </c>
      <c r="S1763" s="1"/>
    </row>
    <row r="1764" ht="15.75" customHeight="1">
      <c r="A1764" s="1" t="s">
        <v>4191</v>
      </c>
      <c r="B1764" s="1" t="s">
        <v>4192</v>
      </c>
      <c r="C1764" s="1" t="s">
        <v>776</v>
      </c>
      <c r="E1764" s="1">
        <v>24.572558</v>
      </c>
      <c r="F1764" s="1">
        <v>80.844167</v>
      </c>
      <c r="G1764" s="1" t="s">
        <v>54</v>
      </c>
      <c r="H1764" s="1" t="s">
        <v>55</v>
      </c>
      <c r="J1764" s="1" t="s">
        <v>56</v>
      </c>
      <c r="K1764" s="1" t="s">
        <v>26</v>
      </c>
      <c r="L1764" s="1" t="s">
        <v>27</v>
      </c>
      <c r="N1764" s="1" t="s">
        <v>732</v>
      </c>
      <c r="O1764" s="1" t="s">
        <v>57</v>
      </c>
      <c r="P1764" s="1" t="s">
        <v>3243</v>
      </c>
      <c r="Q1764" s="1" t="s">
        <v>3244</v>
      </c>
      <c r="R1764" s="1">
        <v>0.0</v>
      </c>
      <c r="S1764" s="1"/>
    </row>
    <row r="1765" ht="15.75" customHeight="1">
      <c r="A1765" s="1" t="s">
        <v>4193</v>
      </c>
      <c r="B1765" s="1" t="s">
        <v>4194</v>
      </c>
      <c r="C1765" s="1" t="s">
        <v>185</v>
      </c>
      <c r="E1765" s="1">
        <v>17.455368</v>
      </c>
      <c r="F1765" s="1">
        <v>78.4987699</v>
      </c>
      <c r="G1765" s="1" t="s">
        <v>54</v>
      </c>
      <c r="H1765" s="1" t="s">
        <v>55</v>
      </c>
      <c r="J1765" s="1" t="s">
        <v>56</v>
      </c>
      <c r="K1765" s="1" t="s">
        <v>26</v>
      </c>
      <c r="L1765" s="1" t="s">
        <v>27</v>
      </c>
      <c r="N1765" s="1" t="s">
        <v>186</v>
      </c>
      <c r="O1765" s="1" t="s">
        <v>57</v>
      </c>
      <c r="P1765" s="1" t="s">
        <v>2074</v>
      </c>
      <c r="Q1765" s="1" t="s">
        <v>2075</v>
      </c>
      <c r="R1765" s="1">
        <v>2.0</v>
      </c>
      <c r="S1765" s="1"/>
    </row>
    <row r="1766" ht="15.75" customHeight="1">
      <c r="A1766" s="1" t="s">
        <v>4195</v>
      </c>
      <c r="B1766" s="1" t="s">
        <v>4196</v>
      </c>
      <c r="C1766" s="1" t="s">
        <v>3077</v>
      </c>
      <c r="E1766" s="1">
        <v>25.3356565</v>
      </c>
      <c r="F1766" s="1">
        <v>74.63048719999999</v>
      </c>
      <c r="G1766" s="1" t="s">
        <v>54</v>
      </c>
      <c r="H1766" s="1" t="s">
        <v>55</v>
      </c>
      <c r="J1766" s="1" t="s">
        <v>56</v>
      </c>
      <c r="K1766" s="1" t="s">
        <v>26</v>
      </c>
      <c r="L1766" s="1" t="s">
        <v>27</v>
      </c>
      <c r="N1766" s="1" t="s">
        <v>849</v>
      </c>
      <c r="O1766" s="1" t="s">
        <v>57</v>
      </c>
      <c r="P1766" s="1" t="s">
        <v>887</v>
      </c>
      <c r="Q1766" s="1" t="s">
        <v>888</v>
      </c>
      <c r="R1766" s="1">
        <v>0.0</v>
      </c>
      <c r="S1766" s="1"/>
    </row>
    <row r="1767" ht="15.75" customHeight="1">
      <c r="A1767" s="1" t="s">
        <v>4197</v>
      </c>
      <c r="B1767" s="1" t="s">
        <v>4198</v>
      </c>
      <c r="C1767" s="1" t="s">
        <v>4199</v>
      </c>
      <c r="E1767" s="1">
        <v>20.7056146</v>
      </c>
      <c r="F1767" s="1">
        <v>83.492043</v>
      </c>
      <c r="G1767" s="1" t="s">
        <v>54</v>
      </c>
      <c r="H1767" s="1" t="s">
        <v>55</v>
      </c>
      <c r="J1767" s="1" t="s">
        <v>56</v>
      </c>
      <c r="K1767" s="1" t="s">
        <v>26</v>
      </c>
      <c r="L1767" s="1" t="s">
        <v>27</v>
      </c>
      <c r="N1767" s="1" t="s">
        <v>1874</v>
      </c>
      <c r="O1767" s="1" t="s">
        <v>57</v>
      </c>
      <c r="P1767" s="1" t="s">
        <v>3131</v>
      </c>
      <c r="Q1767" s="1" t="s">
        <v>3132</v>
      </c>
      <c r="R1767" s="1">
        <v>0.0</v>
      </c>
      <c r="S1767" s="1"/>
    </row>
    <row r="1768" ht="15.75" customHeight="1">
      <c r="A1768" s="1" t="s">
        <v>4200</v>
      </c>
      <c r="B1768" s="1" t="s">
        <v>4201</v>
      </c>
      <c r="C1768" s="1" t="s">
        <v>467</v>
      </c>
      <c r="E1768" s="1">
        <v>16.4997798</v>
      </c>
      <c r="F1768" s="1">
        <v>80.6455725</v>
      </c>
      <c r="G1768" s="1" t="s">
        <v>54</v>
      </c>
      <c r="H1768" s="1" t="s">
        <v>55</v>
      </c>
      <c r="J1768" s="1" t="s">
        <v>56</v>
      </c>
      <c r="K1768" s="1" t="s">
        <v>26</v>
      </c>
      <c r="L1768" s="1" t="s">
        <v>27</v>
      </c>
      <c r="N1768" s="1" t="s">
        <v>464</v>
      </c>
      <c r="O1768" s="1" t="s">
        <v>57</v>
      </c>
      <c r="P1768" s="1" t="s">
        <v>2074</v>
      </c>
      <c r="Q1768" s="1" t="s">
        <v>2075</v>
      </c>
      <c r="R1768" s="1">
        <v>0.0</v>
      </c>
      <c r="S1768" s="1"/>
    </row>
    <row r="1769" ht="15.75" customHeight="1">
      <c r="A1769" s="1" t="s">
        <v>4202</v>
      </c>
      <c r="B1769" s="1" t="s">
        <v>4203</v>
      </c>
      <c r="C1769" s="1" t="s">
        <v>2407</v>
      </c>
      <c r="E1769" s="1">
        <v>11.7498202</v>
      </c>
      <c r="F1769" s="1">
        <v>79.7610194</v>
      </c>
      <c r="G1769" s="1" t="s">
        <v>54</v>
      </c>
      <c r="H1769" s="1" t="s">
        <v>55</v>
      </c>
      <c r="J1769" s="1" t="s">
        <v>56</v>
      </c>
      <c r="K1769" s="1" t="s">
        <v>26</v>
      </c>
      <c r="L1769" s="1" t="s">
        <v>27</v>
      </c>
      <c r="N1769" s="1" t="s">
        <v>1097</v>
      </c>
      <c r="O1769" s="1" t="s">
        <v>57</v>
      </c>
      <c r="P1769" s="1" t="s">
        <v>3219</v>
      </c>
      <c r="Q1769" s="1" t="s">
        <v>3220</v>
      </c>
      <c r="R1769" s="1">
        <v>0.0</v>
      </c>
      <c r="S1769" s="1"/>
    </row>
    <row r="1770" ht="15.75" customHeight="1">
      <c r="A1770" s="1" t="s">
        <v>4204</v>
      </c>
      <c r="B1770" s="1" t="s">
        <v>4205</v>
      </c>
      <c r="C1770" s="1" t="s">
        <v>215</v>
      </c>
      <c r="E1770" s="1">
        <v>23.1303083</v>
      </c>
      <c r="F1770" s="1">
        <v>72.58419630000002</v>
      </c>
      <c r="G1770" s="1" t="s">
        <v>54</v>
      </c>
      <c r="H1770" s="1" t="s">
        <v>55</v>
      </c>
      <c r="J1770" s="1" t="s">
        <v>56</v>
      </c>
      <c r="K1770" s="1" t="s">
        <v>26</v>
      </c>
      <c r="L1770" s="1" t="s">
        <v>27</v>
      </c>
      <c r="N1770" s="1" t="s">
        <v>216</v>
      </c>
      <c r="O1770" s="1" t="s">
        <v>57</v>
      </c>
      <c r="P1770" s="1" t="s">
        <v>3830</v>
      </c>
      <c r="Q1770" s="1" t="s">
        <v>3831</v>
      </c>
      <c r="R1770" s="1">
        <v>0.0</v>
      </c>
      <c r="S1770" s="1"/>
    </row>
    <row r="1771" ht="15.75" customHeight="1">
      <c r="A1771" s="1" t="s">
        <v>4206</v>
      </c>
      <c r="B1771" s="1" t="s">
        <v>4207</v>
      </c>
      <c r="C1771" s="1" t="s">
        <v>787</v>
      </c>
      <c r="E1771" s="1">
        <v>29.95457459999999</v>
      </c>
      <c r="F1771" s="1">
        <v>77.54708529999999</v>
      </c>
      <c r="G1771" s="1" t="s">
        <v>54</v>
      </c>
      <c r="H1771" s="1" t="s">
        <v>55</v>
      </c>
      <c r="J1771" s="1" t="s">
        <v>56</v>
      </c>
      <c r="K1771" s="1" t="s">
        <v>26</v>
      </c>
      <c r="L1771" s="1" t="s">
        <v>27</v>
      </c>
      <c r="N1771" s="1" t="s">
        <v>28</v>
      </c>
      <c r="O1771" s="1" t="s">
        <v>57</v>
      </c>
      <c r="P1771" s="1" t="s">
        <v>1990</v>
      </c>
      <c r="Q1771" s="1" t="s">
        <v>1991</v>
      </c>
      <c r="R1771" s="1">
        <v>0.0</v>
      </c>
      <c r="S1771" s="1"/>
    </row>
    <row r="1772" ht="15.75" customHeight="1">
      <c r="A1772" s="1" t="s">
        <v>4208</v>
      </c>
      <c r="B1772" s="1" t="s">
        <v>4209</v>
      </c>
      <c r="C1772" s="1" t="s">
        <v>4210</v>
      </c>
      <c r="E1772" s="1">
        <v>16.183711</v>
      </c>
      <c r="F1772" s="1">
        <v>75.70092799999999</v>
      </c>
      <c r="G1772" s="1" t="s">
        <v>54</v>
      </c>
      <c r="H1772" s="1" t="s">
        <v>55</v>
      </c>
      <c r="J1772" s="1" t="s">
        <v>56</v>
      </c>
      <c r="K1772" s="1" t="s">
        <v>26</v>
      </c>
      <c r="L1772" s="1" t="s">
        <v>27</v>
      </c>
      <c r="N1772" s="1" t="s">
        <v>743</v>
      </c>
      <c r="O1772" s="1" t="s">
        <v>57</v>
      </c>
      <c r="P1772" s="1" t="s">
        <v>1079</v>
      </c>
      <c r="Q1772" s="1" t="s">
        <v>1080</v>
      </c>
      <c r="R1772" s="1">
        <v>0.0</v>
      </c>
      <c r="S1772" s="1"/>
    </row>
    <row r="1773" ht="15.75" customHeight="1">
      <c r="A1773" s="1" t="s">
        <v>4211</v>
      </c>
      <c r="B1773" s="1" t="s">
        <v>4212</v>
      </c>
      <c r="C1773" s="1" t="s">
        <v>1573</v>
      </c>
      <c r="E1773" s="1">
        <v>22.4713972</v>
      </c>
      <c r="F1773" s="1">
        <v>70.0490457</v>
      </c>
      <c r="G1773" s="1" t="s">
        <v>54</v>
      </c>
      <c r="H1773" s="1" t="s">
        <v>55</v>
      </c>
      <c r="J1773" s="1" t="s">
        <v>56</v>
      </c>
      <c r="K1773" s="1" t="s">
        <v>26</v>
      </c>
      <c r="L1773" s="1" t="s">
        <v>27</v>
      </c>
      <c r="N1773" s="1" t="s">
        <v>216</v>
      </c>
      <c r="O1773" s="1" t="s">
        <v>57</v>
      </c>
      <c r="P1773" s="1" t="s">
        <v>3342</v>
      </c>
      <c r="Q1773" s="1" t="s">
        <v>3343</v>
      </c>
      <c r="R1773" s="1">
        <v>0.0</v>
      </c>
      <c r="S1773" s="1"/>
    </row>
    <row r="1774" ht="15.75" customHeight="1">
      <c r="A1774" s="1" t="s">
        <v>4213</v>
      </c>
      <c r="B1774" s="1" t="s">
        <v>4214</v>
      </c>
      <c r="C1774" s="1" t="s">
        <v>937</v>
      </c>
      <c r="E1774" s="1">
        <v>31.30671</v>
      </c>
      <c r="F1774" s="1">
        <v>75.592733</v>
      </c>
      <c r="G1774" s="1" t="s">
        <v>54</v>
      </c>
      <c r="H1774" s="1" t="s">
        <v>55</v>
      </c>
      <c r="J1774" s="1" t="s">
        <v>56</v>
      </c>
      <c r="K1774" s="1" t="s">
        <v>26</v>
      </c>
      <c r="L1774" s="1" t="s">
        <v>27</v>
      </c>
      <c r="N1774" s="1" t="s">
        <v>123</v>
      </c>
      <c r="O1774" s="1" t="s">
        <v>57</v>
      </c>
      <c r="P1774" s="1" t="s">
        <v>938</v>
      </c>
      <c r="Q1774" s="1" t="s">
        <v>939</v>
      </c>
      <c r="R1774" s="1">
        <v>0.0</v>
      </c>
      <c r="S1774" s="1"/>
    </row>
    <row r="1775" ht="15.75" customHeight="1">
      <c r="A1775" s="1" t="s">
        <v>4215</v>
      </c>
      <c r="B1775" s="1" t="s">
        <v>4216</v>
      </c>
      <c r="C1775" s="1" t="s">
        <v>497</v>
      </c>
      <c r="E1775" s="1">
        <v>25.6217535</v>
      </c>
      <c r="F1775" s="1">
        <v>85.12378079999999</v>
      </c>
      <c r="G1775" s="1" t="s">
        <v>54</v>
      </c>
      <c r="H1775" s="1" t="s">
        <v>55</v>
      </c>
      <c r="J1775" s="1" t="s">
        <v>56</v>
      </c>
      <c r="K1775" s="1" t="s">
        <v>26</v>
      </c>
      <c r="L1775" s="1" t="s">
        <v>27</v>
      </c>
      <c r="N1775" s="1" t="s">
        <v>498</v>
      </c>
      <c r="O1775" s="1" t="s">
        <v>57</v>
      </c>
      <c r="P1775" s="1" t="s">
        <v>3253</v>
      </c>
      <c r="Q1775" s="1" t="s">
        <v>3254</v>
      </c>
      <c r="R1775" s="1">
        <v>0.0</v>
      </c>
      <c r="S1775" s="1"/>
    </row>
    <row r="1776" ht="15.75" customHeight="1">
      <c r="A1776" s="1" t="s">
        <v>4217</v>
      </c>
      <c r="B1776" s="1" t="s">
        <v>4218</v>
      </c>
      <c r="C1776" s="1" t="s">
        <v>1302</v>
      </c>
      <c r="E1776" s="1">
        <v>13.3457947</v>
      </c>
      <c r="F1776" s="1">
        <v>74.7534653</v>
      </c>
      <c r="G1776" s="1" t="s">
        <v>54</v>
      </c>
      <c r="H1776" s="1" t="s">
        <v>55</v>
      </c>
      <c r="J1776" s="1" t="s">
        <v>56</v>
      </c>
      <c r="K1776" s="1" t="s">
        <v>26</v>
      </c>
      <c r="L1776" s="1" t="s">
        <v>27</v>
      </c>
      <c r="N1776" s="1" t="s">
        <v>743</v>
      </c>
      <c r="O1776" s="1" t="s">
        <v>57</v>
      </c>
      <c r="P1776" s="1" t="s">
        <v>1079</v>
      </c>
      <c r="Q1776" s="1" t="s">
        <v>1080</v>
      </c>
      <c r="R1776" s="1">
        <v>0.0</v>
      </c>
      <c r="S1776" s="1"/>
    </row>
    <row r="1777" ht="15.75" customHeight="1">
      <c r="A1777" s="1" t="s">
        <v>4219</v>
      </c>
      <c r="B1777" s="1" t="s">
        <v>4220</v>
      </c>
      <c r="C1777" s="1" t="s">
        <v>174</v>
      </c>
      <c r="E1777" s="1">
        <v>28.5281255</v>
      </c>
      <c r="F1777" s="1">
        <v>77.21914509999999</v>
      </c>
      <c r="G1777" s="1" t="s">
        <v>54</v>
      </c>
      <c r="H1777" s="1" t="s">
        <v>55</v>
      </c>
      <c r="J1777" s="1" t="s">
        <v>56</v>
      </c>
      <c r="K1777" s="1" t="s">
        <v>26</v>
      </c>
      <c r="L1777" s="1" t="s">
        <v>27</v>
      </c>
      <c r="N1777" s="1" t="s">
        <v>174</v>
      </c>
      <c r="O1777" s="1" t="s">
        <v>57</v>
      </c>
      <c r="P1777" s="1" t="s">
        <v>1749</v>
      </c>
      <c r="Q1777" s="1" t="s">
        <v>1750</v>
      </c>
      <c r="R1777" s="1">
        <v>0.0</v>
      </c>
      <c r="S1777" s="1"/>
    </row>
    <row r="1778" ht="15.75" customHeight="1">
      <c r="A1778" s="1" t="s">
        <v>4221</v>
      </c>
      <c r="B1778" s="1" t="s">
        <v>4222</v>
      </c>
      <c r="C1778" s="1" t="s">
        <v>4223</v>
      </c>
      <c r="E1778" s="1">
        <v>26.4811277</v>
      </c>
      <c r="F1778" s="1">
        <v>90.5546827</v>
      </c>
      <c r="G1778" s="1" t="s">
        <v>54</v>
      </c>
      <c r="H1778" s="1" t="s">
        <v>55</v>
      </c>
      <c r="J1778" s="1" t="s">
        <v>56</v>
      </c>
      <c r="K1778" s="1" t="s">
        <v>26</v>
      </c>
      <c r="L1778" s="1" t="s">
        <v>27</v>
      </c>
      <c r="N1778" s="1" t="s">
        <v>1036</v>
      </c>
      <c r="O1778" s="1" t="s">
        <v>57</v>
      </c>
      <c r="P1778" s="1" t="s">
        <v>3131</v>
      </c>
      <c r="Q1778" s="1" t="s">
        <v>3132</v>
      </c>
      <c r="R1778" s="1">
        <v>0.0</v>
      </c>
      <c r="S1778" s="1"/>
    </row>
    <row r="1779" ht="15.75" customHeight="1">
      <c r="A1779" s="1" t="s">
        <v>4224</v>
      </c>
      <c r="B1779" s="1" t="s">
        <v>4225</v>
      </c>
      <c r="C1779" s="1" t="s">
        <v>148</v>
      </c>
      <c r="E1779" s="1">
        <v>19.0653145</v>
      </c>
      <c r="F1779" s="1">
        <v>72.99943189999999</v>
      </c>
      <c r="G1779" s="1" t="s">
        <v>54</v>
      </c>
      <c r="H1779" s="1" t="s">
        <v>55</v>
      </c>
      <c r="J1779" s="1" t="s">
        <v>56</v>
      </c>
      <c r="K1779" s="1" t="s">
        <v>26</v>
      </c>
      <c r="L1779" s="1" t="s">
        <v>27</v>
      </c>
      <c r="N1779" s="1" t="s">
        <v>143</v>
      </c>
      <c r="O1779" s="1" t="s">
        <v>57</v>
      </c>
      <c r="P1779" s="1" t="s">
        <v>2300</v>
      </c>
      <c r="Q1779" s="1" t="s">
        <v>2301</v>
      </c>
      <c r="R1779" s="1">
        <v>3.0</v>
      </c>
      <c r="S1779" s="1"/>
    </row>
    <row r="1780" ht="15.75" customHeight="1">
      <c r="A1780" s="1" t="s">
        <v>4226</v>
      </c>
      <c r="B1780" s="1" t="s">
        <v>4227</v>
      </c>
      <c r="C1780" s="1" t="s">
        <v>148</v>
      </c>
      <c r="E1780" s="1">
        <v>19.1385361</v>
      </c>
      <c r="F1780" s="1">
        <v>72.8322479</v>
      </c>
      <c r="G1780" s="1" t="s">
        <v>54</v>
      </c>
      <c r="H1780" s="1" t="s">
        <v>55</v>
      </c>
      <c r="J1780" s="1" t="s">
        <v>56</v>
      </c>
      <c r="K1780" s="1" t="s">
        <v>26</v>
      </c>
      <c r="L1780" s="1" t="s">
        <v>27</v>
      </c>
      <c r="N1780" s="1" t="s">
        <v>143</v>
      </c>
      <c r="O1780" s="1" t="s">
        <v>57</v>
      </c>
      <c r="P1780" s="1" t="s">
        <v>2300</v>
      </c>
      <c r="Q1780" s="1" t="s">
        <v>2301</v>
      </c>
      <c r="R1780" s="1">
        <v>0.0</v>
      </c>
      <c r="S1780" s="1"/>
    </row>
    <row r="1781" ht="15.75" customHeight="1">
      <c r="A1781" s="1" t="s">
        <v>4228</v>
      </c>
      <c r="B1781" s="1" t="s">
        <v>4229</v>
      </c>
      <c r="C1781" s="1" t="s">
        <v>4230</v>
      </c>
      <c r="E1781" s="1">
        <v>18.8619628</v>
      </c>
      <c r="F1781" s="1">
        <v>79.4642325</v>
      </c>
      <c r="G1781" s="1" t="s">
        <v>54</v>
      </c>
      <c r="H1781" s="1" t="s">
        <v>55</v>
      </c>
      <c r="J1781" s="1" t="s">
        <v>56</v>
      </c>
      <c r="K1781" s="1" t="s">
        <v>26</v>
      </c>
      <c r="L1781" s="1" t="s">
        <v>27</v>
      </c>
      <c r="N1781" s="1" t="s">
        <v>186</v>
      </c>
      <c r="O1781" s="1" t="s">
        <v>57</v>
      </c>
      <c r="P1781" s="1" t="s">
        <v>2074</v>
      </c>
      <c r="Q1781" s="1" t="s">
        <v>2075</v>
      </c>
      <c r="R1781" s="1">
        <v>0.0</v>
      </c>
      <c r="S1781" s="1"/>
    </row>
    <row r="1782" ht="15.75" customHeight="1">
      <c r="A1782" s="1" t="s">
        <v>4231</v>
      </c>
      <c r="B1782" s="1" t="s">
        <v>4232</v>
      </c>
      <c r="C1782" s="1" t="s">
        <v>4233</v>
      </c>
      <c r="E1782" s="1">
        <v>20.9164837</v>
      </c>
      <c r="F1782" s="1">
        <v>74.77723019999999</v>
      </c>
      <c r="G1782" s="1" t="s">
        <v>54</v>
      </c>
      <c r="H1782" s="1" t="s">
        <v>55</v>
      </c>
      <c r="J1782" s="1" t="s">
        <v>56</v>
      </c>
      <c r="K1782" s="1" t="s">
        <v>26</v>
      </c>
      <c r="L1782" s="1" t="s">
        <v>27</v>
      </c>
      <c r="N1782" s="1" t="s">
        <v>143</v>
      </c>
      <c r="O1782" s="1" t="s">
        <v>57</v>
      </c>
      <c r="P1782" s="1" t="s">
        <v>2239</v>
      </c>
      <c r="Q1782" s="1" t="s">
        <v>2240</v>
      </c>
      <c r="R1782" s="1">
        <v>0.0</v>
      </c>
      <c r="S1782" s="1"/>
    </row>
    <row r="1783" ht="15.75" customHeight="1">
      <c r="A1783" s="1" t="s">
        <v>4234</v>
      </c>
      <c r="B1783" s="1" t="s">
        <v>4235</v>
      </c>
      <c r="C1783" s="1" t="s">
        <v>1121</v>
      </c>
      <c r="E1783" s="1">
        <v>12.316102</v>
      </c>
      <c r="F1783" s="1">
        <v>76.69166100000001</v>
      </c>
      <c r="G1783" s="1" t="s">
        <v>54</v>
      </c>
      <c r="H1783" s="1" t="s">
        <v>55</v>
      </c>
      <c r="J1783" s="1" t="s">
        <v>56</v>
      </c>
      <c r="K1783" s="1" t="s">
        <v>26</v>
      </c>
      <c r="L1783" s="1" t="s">
        <v>27</v>
      </c>
      <c r="N1783" s="1" t="s">
        <v>743</v>
      </c>
      <c r="O1783" s="1" t="s">
        <v>57</v>
      </c>
      <c r="P1783" s="1" t="s">
        <v>1079</v>
      </c>
      <c r="Q1783" s="1" t="s">
        <v>1080</v>
      </c>
      <c r="R1783" s="1">
        <v>0.0</v>
      </c>
      <c r="S1783" s="1"/>
    </row>
    <row r="1784" ht="15.75" customHeight="1">
      <c r="A1784" s="1" t="s">
        <v>4236</v>
      </c>
      <c r="B1784" s="1" t="s">
        <v>4237</v>
      </c>
      <c r="C1784" s="1" t="s">
        <v>4238</v>
      </c>
      <c r="E1784" s="1">
        <v>22.7429488</v>
      </c>
      <c r="F1784" s="1">
        <v>88.3499264</v>
      </c>
      <c r="G1784" s="1" t="s">
        <v>54</v>
      </c>
      <c r="H1784" s="1" t="s">
        <v>55</v>
      </c>
      <c r="J1784" s="1" t="s">
        <v>56</v>
      </c>
      <c r="K1784" s="1" t="s">
        <v>26</v>
      </c>
      <c r="L1784" s="1" t="s">
        <v>27</v>
      </c>
      <c r="N1784" s="1" t="s">
        <v>532</v>
      </c>
      <c r="O1784" s="1" t="s">
        <v>57</v>
      </c>
      <c r="P1784" s="1" t="s">
        <v>3131</v>
      </c>
      <c r="Q1784" s="1" t="s">
        <v>3132</v>
      </c>
      <c r="R1784" s="1">
        <v>0.0</v>
      </c>
      <c r="S1784" s="1"/>
    </row>
    <row r="1785" ht="15.75" customHeight="1">
      <c r="A1785" s="1" t="s">
        <v>4239</v>
      </c>
      <c r="B1785" s="1" t="s">
        <v>4240</v>
      </c>
      <c r="C1785" s="1" t="s">
        <v>4241</v>
      </c>
      <c r="E1785" s="1">
        <v>15.4204134</v>
      </c>
      <c r="F1785" s="1">
        <v>75.62224049999999</v>
      </c>
      <c r="G1785" s="1" t="s">
        <v>54</v>
      </c>
      <c r="H1785" s="1" t="s">
        <v>55</v>
      </c>
      <c r="J1785" s="1" t="s">
        <v>56</v>
      </c>
      <c r="K1785" s="1" t="s">
        <v>26</v>
      </c>
      <c r="L1785" s="1" t="s">
        <v>27</v>
      </c>
      <c r="N1785" s="1" t="s">
        <v>743</v>
      </c>
      <c r="O1785" s="1" t="s">
        <v>57</v>
      </c>
      <c r="P1785" s="1" t="s">
        <v>1079</v>
      </c>
      <c r="Q1785" s="1" t="s">
        <v>1080</v>
      </c>
      <c r="R1785" s="1">
        <v>0.0</v>
      </c>
      <c r="S1785" s="1"/>
    </row>
    <row r="1786" ht="15.75" customHeight="1">
      <c r="A1786" s="1" t="s">
        <v>4242</v>
      </c>
      <c r="B1786" s="1" t="s">
        <v>4243</v>
      </c>
      <c r="C1786" s="1" t="s">
        <v>1112</v>
      </c>
      <c r="E1786" s="1">
        <v>13.0445364</v>
      </c>
      <c r="F1786" s="1">
        <v>80.2653747</v>
      </c>
      <c r="G1786" s="1" t="s">
        <v>54</v>
      </c>
      <c r="H1786" s="1" t="s">
        <v>55</v>
      </c>
      <c r="J1786" s="1" t="s">
        <v>56</v>
      </c>
      <c r="K1786" s="1" t="s">
        <v>26</v>
      </c>
      <c r="L1786" s="1" t="s">
        <v>27</v>
      </c>
      <c r="N1786" s="1" t="s">
        <v>1097</v>
      </c>
      <c r="O1786" s="1" t="s">
        <v>57</v>
      </c>
      <c r="P1786" s="1" t="s">
        <v>3219</v>
      </c>
      <c r="Q1786" s="1" t="s">
        <v>3220</v>
      </c>
      <c r="R1786" s="1">
        <v>0.0</v>
      </c>
      <c r="S1786" s="1"/>
    </row>
    <row r="1787" ht="15.75" customHeight="1">
      <c r="A1787" s="1" t="s">
        <v>4244</v>
      </c>
      <c r="B1787" s="1" t="s">
        <v>4245</v>
      </c>
      <c r="C1787" s="1" t="s">
        <v>1326</v>
      </c>
      <c r="E1787" s="1">
        <v>12.9623102</v>
      </c>
      <c r="F1787" s="1">
        <v>79.1374305</v>
      </c>
      <c r="G1787" s="1" t="s">
        <v>54</v>
      </c>
      <c r="H1787" s="1" t="s">
        <v>55</v>
      </c>
      <c r="J1787" s="1" t="s">
        <v>56</v>
      </c>
      <c r="K1787" s="1" t="s">
        <v>26</v>
      </c>
      <c r="L1787" s="1" t="s">
        <v>27</v>
      </c>
      <c r="N1787" s="1" t="s">
        <v>1097</v>
      </c>
      <c r="O1787" s="1" t="s">
        <v>57</v>
      </c>
      <c r="P1787" s="1" t="s">
        <v>3219</v>
      </c>
      <c r="Q1787" s="1" t="s">
        <v>3220</v>
      </c>
      <c r="R1787" s="1">
        <v>0.0</v>
      </c>
      <c r="S1787" s="1"/>
    </row>
    <row r="1788" ht="15.75" customHeight="1">
      <c r="A1788" s="1" t="s">
        <v>4246</v>
      </c>
      <c r="B1788" s="1" t="s">
        <v>4247</v>
      </c>
      <c r="C1788" s="1" t="s">
        <v>174</v>
      </c>
      <c r="E1788" s="1">
        <v>28.714782</v>
      </c>
      <c r="F1788" s="1">
        <v>77.116171</v>
      </c>
      <c r="G1788" s="1" t="s">
        <v>54</v>
      </c>
      <c r="H1788" s="1" t="s">
        <v>55</v>
      </c>
      <c r="J1788" s="1" t="s">
        <v>56</v>
      </c>
      <c r="K1788" s="1" t="s">
        <v>26</v>
      </c>
      <c r="L1788" s="1" t="s">
        <v>27</v>
      </c>
      <c r="N1788" s="1" t="s">
        <v>174</v>
      </c>
      <c r="O1788" s="1" t="s">
        <v>57</v>
      </c>
      <c r="P1788" s="1" t="s">
        <v>1749</v>
      </c>
      <c r="Q1788" s="1" t="s">
        <v>1750</v>
      </c>
      <c r="R1788" s="1">
        <v>1.0</v>
      </c>
      <c r="S1788" s="1"/>
    </row>
    <row r="1789" ht="15.75" customHeight="1">
      <c r="A1789" s="1" t="s">
        <v>4248</v>
      </c>
      <c r="B1789" s="1" t="s">
        <v>4249</v>
      </c>
      <c r="C1789" s="1" t="s">
        <v>1274</v>
      </c>
      <c r="E1789" s="1">
        <v>16.3092341</v>
      </c>
      <c r="F1789" s="1">
        <v>80.4316833</v>
      </c>
      <c r="G1789" s="1" t="s">
        <v>54</v>
      </c>
      <c r="H1789" s="1" t="s">
        <v>55</v>
      </c>
      <c r="J1789" s="1" t="s">
        <v>56</v>
      </c>
      <c r="K1789" s="1" t="s">
        <v>26</v>
      </c>
      <c r="L1789" s="1" t="s">
        <v>27</v>
      </c>
      <c r="N1789" s="1" t="s">
        <v>464</v>
      </c>
      <c r="O1789" s="1" t="s">
        <v>57</v>
      </c>
      <c r="P1789" s="1" t="s">
        <v>2074</v>
      </c>
      <c r="Q1789" s="1" t="s">
        <v>2075</v>
      </c>
      <c r="R1789" s="1">
        <v>0.0</v>
      </c>
      <c r="S1789" s="1"/>
    </row>
    <row r="1790" ht="15.75" customHeight="1">
      <c r="A1790" s="1" t="s">
        <v>4250</v>
      </c>
      <c r="B1790" s="1" t="s">
        <v>4251</v>
      </c>
      <c r="C1790" s="1" t="s">
        <v>185</v>
      </c>
      <c r="E1790" s="1">
        <v>17.4962534</v>
      </c>
      <c r="F1790" s="1">
        <v>78.3586983</v>
      </c>
      <c r="G1790" s="1" t="s">
        <v>54</v>
      </c>
      <c r="H1790" s="1" t="s">
        <v>55</v>
      </c>
      <c r="J1790" s="1" t="s">
        <v>56</v>
      </c>
      <c r="K1790" s="1" t="s">
        <v>26</v>
      </c>
      <c r="L1790" s="1" t="s">
        <v>27</v>
      </c>
      <c r="N1790" s="1" t="s">
        <v>186</v>
      </c>
      <c r="O1790" s="1" t="s">
        <v>57</v>
      </c>
      <c r="P1790" s="1" t="s">
        <v>2074</v>
      </c>
      <c r="Q1790" s="1" t="s">
        <v>2075</v>
      </c>
      <c r="R1790" s="1">
        <v>0.0</v>
      </c>
      <c r="S1790" s="1"/>
    </row>
    <row r="1791" ht="15.75" customHeight="1">
      <c r="A1791" s="1" t="s">
        <v>4252</v>
      </c>
      <c r="B1791" s="1" t="s">
        <v>4253</v>
      </c>
      <c r="C1791" s="1" t="s">
        <v>1188</v>
      </c>
      <c r="E1791" s="1">
        <v>17.2516078</v>
      </c>
      <c r="F1791" s="1">
        <v>80.1655943</v>
      </c>
      <c r="G1791" s="1" t="s">
        <v>54</v>
      </c>
      <c r="H1791" s="1" t="s">
        <v>55</v>
      </c>
      <c r="J1791" s="1" t="s">
        <v>56</v>
      </c>
      <c r="K1791" s="1" t="s">
        <v>26</v>
      </c>
      <c r="L1791" s="1" t="s">
        <v>27</v>
      </c>
      <c r="N1791" s="1" t="s">
        <v>186</v>
      </c>
      <c r="O1791" s="1" t="s">
        <v>57</v>
      </c>
      <c r="P1791" s="1" t="s">
        <v>2074</v>
      </c>
      <c r="Q1791" s="1" t="s">
        <v>2075</v>
      </c>
      <c r="R1791" s="1">
        <v>0.0</v>
      </c>
      <c r="S1791" s="1"/>
    </row>
    <row r="1792" ht="15.75" customHeight="1">
      <c r="A1792" s="1" t="s">
        <v>4254</v>
      </c>
      <c r="B1792" s="1" t="s">
        <v>4255</v>
      </c>
      <c r="C1792" s="1" t="s">
        <v>1112</v>
      </c>
      <c r="E1792" s="1">
        <v>13.0353315</v>
      </c>
      <c r="F1792" s="1">
        <v>80.21245139999999</v>
      </c>
      <c r="G1792" s="1" t="s">
        <v>54</v>
      </c>
      <c r="H1792" s="1" t="s">
        <v>55</v>
      </c>
      <c r="J1792" s="1" t="s">
        <v>56</v>
      </c>
      <c r="K1792" s="1" t="s">
        <v>26</v>
      </c>
      <c r="L1792" s="1" t="s">
        <v>27</v>
      </c>
      <c r="N1792" s="1" t="s">
        <v>1097</v>
      </c>
      <c r="O1792" s="1" t="s">
        <v>57</v>
      </c>
      <c r="P1792" s="1" t="s">
        <v>3219</v>
      </c>
      <c r="Q1792" s="1" t="s">
        <v>3220</v>
      </c>
      <c r="R1792" s="1">
        <v>0.0</v>
      </c>
      <c r="S1792" s="1"/>
    </row>
    <row r="1793" ht="15.75" customHeight="1">
      <c r="A1793" s="1" t="s">
        <v>4256</v>
      </c>
      <c r="B1793" s="1" t="s">
        <v>4257</v>
      </c>
      <c r="C1793" s="1" t="s">
        <v>4258</v>
      </c>
      <c r="E1793" s="1">
        <v>17.1549255</v>
      </c>
      <c r="F1793" s="1">
        <v>79.6247535</v>
      </c>
      <c r="G1793" s="1" t="s">
        <v>54</v>
      </c>
      <c r="H1793" s="1" t="s">
        <v>55</v>
      </c>
      <c r="J1793" s="1" t="s">
        <v>56</v>
      </c>
      <c r="K1793" s="1" t="s">
        <v>26</v>
      </c>
      <c r="L1793" s="1" t="s">
        <v>27</v>
      </c>
      <c r="N1793" s="1" t="s">
        <v>186</v>
      </c>
      <c r="O1793" s="1" t="s">
        <v>57</v>
      </c>
      <c r="P1793" s="1" t="s">
        <v>2074</v>
      </c>
      <c r="Q1793" s="1" t="s">
        <v>2075</v>
      </c>
      <c r="R1793" s="1">
        <v>0.0</v>
      </c>
      <c r="S1793" s="1"/>
    </row>
    <row r="1794" ht="15.75" customHeight="1">
      <c r="A1794" s="1" t="s">
        <v>4259</v>
      </c>
      <c r="B1794" s="1" t="s">
        <v>4260</v>
      </c>
      <c r="C1794" s="1" t="s">
        <v>4261</v>
      </c>
      <c r="E1794" s="1">
        <v>19.8085342</v>
      </c>
      <c r="F1794" s="1">
        <v>85.83282679999999</v>
      </c>
      <c r="G1794" s="1" t="s">
        <v>54</v>
      </c>
      <c r="H1794" s="1" t="s">
        <v>55</v>
      </c>
      <c r="J1794" s="1" t="s">
        <v>56</v>
      </c>
      <c r="K1794" s="1" t="s">
        <v>26</v>
      </c>
      <c r="L1794" s="1" t="s">
        <v>27</v>
      </c>
      <c r="N1794" s="1" t="s">
        <v>1874</v>
      </c>
      <c r="O1794" s="1" t="s">
        <v>57</v>
      </c>
      <c r="P1794" s="1" t="s">
        <v>3131</v>
      </c>
      <c r="Q1794" s="1" t="s">
        <v>3132</v>
      </c>
      <c r="R1794" s="1">
        <v>0.0</v>
      </c>
      <c r="S1794" s="1"/>
    </row>
    <row r="1795" ht="15.75" customHeight="1">
      <c r="A1795" s="1" t="s">
        <v>4262</v>
      </c>
      <c r="B1795" s="1" t="s">
        <v>4263</v>
      </c>
      <c r="C1795" s="1" t="s">
        <v>148</v>
      </c>
      <c r="E1795" s="1">
        <v>19.0887679</v>
      </c>
      <c r="F1795" s="1">
        <v>72.83808499999999</v>
      </c>
      <c r="G1795" s="1" t="s">
        <v>54</v>
      </c>
      <c r="H1795" s="1" t="s">
        <v>55</v>
      </c>
      <c r="J1795" s="1" t="s">
        <v>56</v>
      </c>
      <c r="K1795" s="1" t="s">
        <v>26</v>
      </c>
      <c r="L1795" s="1" t="s">
        <v>27</v>
      </c>
      <c r="N1795" s="1" t="s">
        <v>143</v>
      </c>
      <c r="O1795" s="1" t="s">
        <v>57</v>
      </c>
      <c r="P1795" s="1" t="s">
        <v>2300</v>
      </c>
      <c r="Q1795" s="1" t="s">
        <v>2301</v>
      </c>
      <c r="R1795" s="1">
        <v>1.0</v>
      </c>
      <c r="S1795" s="1"/>
    </row>
    <row r="1796" ht="15.75" customHeight="1">
      <c r="A1796" s="1" t="s">
        <v>4264</v>
      </c>
      <c r="B1796" s="1" t="s">
        <v>4265</v>
      </c>
      <c r="C1796" s="1" t="s">
        <v>3435</v>
      </c>
      <c r="E1796" s="1">
        <v>17.3097174</v>
      </c>
      <c r="F1796" s="1">
        <v>76.8187052</v>
      </c>
      <c r="G1796" s="1" t="s">
        <v>54</v>
      </c>
      <c r="H1796" s="1" t="s">
        <v>55</v>
      </c>
      <c r="J1796" s="1" t="s">
        <v>56</v>
      </c>
      <c r="K1796" s="1" t="s">
        <v>26</v>
      </c>
      <c r="L1796" s="1" t="s">
        <v>27</v>
      </c>
      <c r="N1796" s="1" t="s">
        <v>743</v>
      </c>
      <c r="O1796" s="1" t="s">
        <v>57</v>
      </c>
      <c r="P1796" s="1" t="s">
        <v>1079</v>
      </c>
      <c r="Q1796" s="1" t="s">
        <v>1080</v>
      </c>
      <c r="R1796" s="1">
        <v>0.0</v>
      </c>
      <c r="S1796" s="1"/>
    </row>
    <row r="1797" ht="15.75" customHeight="1">
      <c r="A1797" s="1" t="s">
        <v>4266</v>
      </c>
      <c r="B1797" s="1" t="s">
        <v>4267</v>
      </c>
      <c r="C1797" s="1" t="s">
        <v>1112</v>
      </c>
      <c r="E1797" s="1">
        <v>13.0420346</v>
      </c>
      <c r="F1797" s="1">
        <v>80.18017859999999</v>
      </c>
      <c r="G1797" s="1" t="s">
        <v>54</v>
      </c>
      <c r="H1797" s="1" t="s">
        <v>55</v>
      </c>
      <c r="J1797" s="1" t="s">
        <v>56</v>
      </c>
      <c r="K1797" s="1" t="s">
        <v>26</v>
      </c>
      <c r="L1797" s="1" t="s">
        <v>27</v>
      </c>
      <c r="N1797" s="1" t="s">
        <v>1097</v>
      </c>
      <c r="O1797" s="1" t="s">
        <v>57</v>
      </c>
      <c r="P1797" s="1" t="s">
        <v>3219</v>
      </c>
      <c r="Q1797" s="1" t="s">
        <v>3220</v>
      </c>
      <c r="R1797" s="1">
        <v>0.0</v>
      </c>
      <c r="S1797" s="1"/>
    </row>
    <row r="1798" ht="15.75" customHeight="1">
      <c r="A1798" s="1" t="s">
        <v>4268</v>
      </c>
      <c r="B1798" s="1" t="s">
        <v>4269</v>
      </c>
      <c r="C1798" s="1" t="s">
        <v>3747</v>
      </c>
      <c r="E1798" s="1">
        <v>15.1600627</v>
      </c>
      <c r="F1798" s="1">
        <v>77.3794571</v>
      </c>
      <c r="G1798" s="1" t="s">
        <v>54</v>
      </c>
      <c r="H1798" s="1" t="s">
        <v>55</v>
      </c>
      <c r="J1798" s="1" t="s">
        <v>56</v>
      </c>
      <c r="K1798" s="1" t="s">
        <v>26</v>
      </c>
      <c r="L1798" s="1" t="s">
        <v>27</v>
      </c>
      <c r="N1798" s="1" t="s">
        <v>464</v>
      </c>
      <c r="O1798" s="1" t="s">
        <v>57</v>
      </c>
      <c r="P1798" s="1" t="s">
        <v>2074</v>
      </c>
      <c r="Q1798" s="1" t="s">
        <v>2075</v>
      </c>
      <c r="R1798" s="1">
        <v>0.0</v>
      </c>
      <c r="S1798" s="1"/>
    </row>
    <row r="1799" ht="15.75" customHeight="1">
      <c r="A1799" s="1" t="s">
        <v>4270</v>
      </c>
      <c r="B1799" s="1" t="s">
        <v>4271</v>
      </c>
      <c r="C1799" s="1" t="s">
        <v>467</v>
      </c>
      <c r="E1799" s="1">
        <v>16.4714803</v>
      </c>
      <c r="F1799" s="1">
        <v>80.6158255</v>
      </c>
      <c r="G1799" s="1" t="s">
        <v>54</v>
      </c>
      <c r="H1799" s="1" t="s">
        <v>55</v>
      </c>
      <c r="J1799" s="1" t="s">
        <v>56</v>
      </c>
      <c r="K1799" s="1" t="s">
        <v>26</v>
      </c>
      <c r="L1799" s="1" t="s">
        <v>27</v>
      </c>
      <c r="N1799" s="1" t="s">
        <v>464</v>
      </c>
      <c r="O1799" s="1" t="s">
        <v>57</v>
      </c>
      <c r="P1799" s="1" t="s">
        <v>2074</v>
      </c>
      <c r="Q1799" s="1" t="s">
        <v>2075</v>
      </c>
      <c r="R1799" s="1">
        <v>0.0</v>
      </c>
      <c r="S1799" s="1"/>
    </row>
    <row r="1800" ht="15.75" customHeight="1">
      <c r="A1800" s="1" t="s">
        <v>4272</v>
      </c>
      <c r="B1800" s="1" t="s">
        <v>4273</v>
      </c>
      <c r="C1800" s="1" t="s">
        <v>4274</v>
      </c>
      <c r="E1800" s="1">
        <v>27.9341517</v>
      </c>
      <c r="F1800" s="1">
        <v>80.7888893</v>
      </c>
      <c r="G1800" s="1" t="s">
        <v>54</v>
      </c>
      <c r="H1800" s="1" t="s">
        <v>55</v>
      </c>
      <c r="J1800" s="1" t="s">
        <v>56</v>
      </c>
      <c r="K1800" s="1" t="s">
        <v>26</v>
      </c>
      <c r="L1800" s="1" t="s">
        <v>27</v>
      </c>
      <c r="N1800" s="1" t="s">
        <v>1036</v>
      </c>
      <c r="O1800" s="1" t="s">
        <v>57</v>
      </c>
      <c r="P1800" s="1" t="s">
        <v>733</v>
      </c>
      <c r="Q1800" s="1" t="s">
        <v>734</v>
      </c>
      <c r="R1800" s="1">
        <v>0.0</v>
      </c>
      <c r="S1800" s="1"/>
    </row>
    <row r="1801" ht="15.75" customHeight="1">
      <c r="A1801" s="1" t="s">
        <v>4275</v>
      </c>
      <c r="B1801" s="1" t="s">
        <v>4276</v>
      </c>
      <c r="C1801" s="1" t="s">
        <v>1297</v>
      </c>
      <c r="E1801" s="1">
        <v>12.5272824</v>
      </c>
      <c r="F1801" s="1">
        <v>76.8850629</v>
      </c>
      <c r="G1801" s="1" t="s">
        <v>54</v>
      </c>
      <c r="H1801" s="1" t="s">
        <v>55</v>
      </c>
      <c r="J1801" s="1" t="s">
        <v>56</v>
      </c>
      <c r="K1801" s="1" t="s">
        <v>26</v>
      </c>
      <c r="L1801" s="1" t="s">
        <v>27</v>
      </c>
      <c r="N1801" s="1" t="s">
        <v>743</v>
      </c>
      <c r="O1801" s="1" t="s">
        <v>57</v>
      </c>
      <c r="P1801" s="1" t="s">
        <v>1079</v>
      </c>
      <c r="Q1801" s="1" t="s">
        <v>1080</v>
      </c>
      <c r="R1801" s="1">
        <v>0.0</v>
      </c>
      <c r="S1801" s="1"/>
    </row>
    <row r="1802" ht="15.75" customHeight="1">
      <c r="A1802" s="1" t="s">
        <v>4277</v>
      </c>
      <c r="B1802" s="1" t="s">
        <v>4278</v>
      </c>
      <c r="C1802" s="1" t="s">
        <v>1294</v>
      </c>
      <c r="E1802" s="1">
        <v>18.427088</v>
      </c>
      <c r="F1802" s="1">
        <v>79.1353423</v>
      </c>
      <c r="G1802" s="1" t="s">
        <v>54</v>
      </c>
      <c r="H1802" s="1" t="s">
        <v>55</v>
      </c>
      <c r="J1802" s="1" t="s">
        <v>56</v>
      </c>
      <c r="K1802" s="1" t="s">
        <v>26</v>
      </c>
      <c r="L1802" s="1" t="s">
        <v>27</v>
      </c>
      <c r="N1802" s="1" t="s">
        <v>186</v>
      </c>
      <c r="O1802" s="1" t="s">
        <v>57</v>
      </c>
      <c r="P1802" s="1" t="s">
        <v>2074</v>
      </c>
      <c r="Q1802" s="1" t="s">
        <v>2075</v>
      </c>
      <c r="R1802" s="1">
        <v>0.0</v>
      </c>
      <c r="S1802" s="1"/>
    </row>
    <row r="1803" ht="15.75" customHeight="1">
      <c r="A1803" s="1" t="s">
        <v>4279</v>
      </c>
      <c r="B1803" s="1" t="s">
        <v>4280</v>
      </c>
      <c r="C1803" s="1" t="s">
        <v>4281</v>
      </c>
      <c r="E1803" s="1">
        <v>28.5671958</v>
      </c>
      <c r="F1803" s="1">
        <v>77.32089359999999</v>
      </c>
      <c r="G1803" s="1" t="s">
        <v>54</v>
      </c>
      <c r="H1803" s="1" t="s">
        <v>55</v>
      </c>
      <c r="J1803" s="1" t="s">
        <v>56</v>
      </c>
      <c r="K1803" s="1" t="s">
        <v>26</v>
      </c>
      <c r="L1803" s="1" t="s">
        <v>27</v>
      </c>
      <c r="N1803" s="1" t="s">
        <v>28</v>
      </c>
      <c r="O1803" s="1" t="s">
        <v>57</v>
      </c>
      <c r="P1803" s="1" t="s">
        <v>733</v>
      </c>
      <c r="Q1803" s="1" t="s">
        <v>734</v>
      </c>
      <c r="R1803" s="1">
        <v>0.0</v>
      </c>
      <c r="S1803" s="1"/>
    </row>
    <row r="1804" ht="15.75" customHeight="1">
      <c r="A1804" s="1" t="s">
        <v>4282</v>
      </c>
      <c r="B1804" s="1" t="s">
        <v>4283</v>
      </c>
      <c r="C1804" s="1" t="s">
        <v>4284</v>
      </c>
      <c r="E1804" s="1">
        <v>17.6866554</v>
      </c>
      <c r="F1804" s="1">
        <v>74.0215582</v>
      </c>
      <c r="G1804" s="1" t="s">
        <v>54</v>
      </c>
      <c r="H1804" s="1" t="s">
        <v>55</v>
      </c>
      <c r="J1804" s="1" t="s">
        <v>56</v>
      </c>
      <c r="K1804" s="1" t="s">
        <v>26</v>
      </c>
      <c r="L1804" s="1" t="s">
        <v>27</v>
      </c>
      <c r="N1804" s="1" t="s">
        <v>143</v>
      </c>
      <c r="O1804" s="1" t="s">
        <v>57</v>
      </c>
      <c r="P1804" s="1" t="s">
        <v>2239</v>
      </c>
      <c r="Q1804" s="1" t="s">
        <v>2240</v>
      </c>
      <c r="R1804" s="1">
        <v>0.0</v>
      </c>
      <c r="S1804" s="1"/>
    </row>
    <row r="1805" ht="15.75" customHeight="1">
      <c r="A1805" s="1" t="s">
        <v>4285</v>
      </c>
      <c r="B1805" s="1" t="s">
        <v>4286</v>
      </c>
      <c r="C1805" s="1" t="s">
        <v>4287</v>
      </c>
      <c r="E1805" s="1">
        <v>27.4936684</v>
      </c>
      <c r="F1805" s="1">
        <v>77.67264829999999</v>
      </c>
      <c r="G1805" s="1" t="s">
        <v>54</v>
      </c>
      <c r="H1805" s="1" t="s">
        <v>55</v>
      </c>
      <c r="J1805" s="1" t="s">
        <v>56</v>
      </c>
      <c r="K1805" s="1" t="s">
        <v>26</v>
      </c>
      <c r="L1805" s="1" t="s">
        <v>27</v>
      </c>
      <c r="N1805" s="1" t="s">
        <v>28</v>
      </c>
      <c r="O1805" s="1" t="s">
        <v>57</v>
      </c>
      <c r="P1805" s="1" t="s">
        <v>1990</v>
      </c>
      <c r="Q1805" s="1" t="s">
        <v>1991</v>
      </c>
      <c r="R1805" s="1">
        <v>0.0</v>
      </c>
      <c r="S1805" s="1"/>
    </row>
    <row r="1806" ht="15.75" customHeight="1">
      <c r="A1806" s="1" t="s">
        <v>4288</v>
      </c>
      <c r="B1806" s="1" t="s">
        <v>4289</v>
      </c>
      <c r="C1806" s="1" t="s">
        <v>4290</v>
      </c>
      <c r="E1806" s="1">
        <v>26.4918938</v>
      </c>
      <c r="F1806" s="1">
        <v>83.779654</v>
      </c>
      <c r="G1806" s="1" t="s">
        <v>54</v>
      </c>
      <c r="H1806" s="1" t="s">
        <v>55</v>
      </c>
      <c r="J1806" s="1" t="s">
        <v>56</v>
      </c>
      <c r="K1806" s="1" t="s">
        <v>26</v>
      </c>
      <c r="L1806" s="1" t="s">
        <v>27</v>
      </c>
      <c r="N1806" s="1" t="s">
        <v>28</v>
      </c>
      <c r="O1806" s="1" t="s">
        <v>57</v>
      </c>
      <c r="P1806" s="1" t="s">
        <v>733</v>
      </c>
      <c r="Q1806" s="1" t="s">
        <v>734</v>
      </c>
      <c r="R1806" s="1">
        <v>0.0</v>
      </c>
      <c r="S1806" s="1"/>
    </row>
    <row r="1807" ht="15.75" customHeight="1">
      <c r="A1807" s="1" t="s">
        <v>4291</v>
      </c>
      <c r="B1807" s="1" t="s">
        <v>4292</v>
      </c>
      <c r="C1807" s="1" t="s">
        <v>215</v>
      </c>
      <c r="E1807" s="1">
        <v>23.0400705</v>
      </c>
      <c r="F1807" s="1">
        <v>72.531482</v>
      </c>
      <c r="G1807" s="1" t="s">
        <v>54</v>
      </c>
      <c r="H1807" s="1" t="s">
        <v>55</v>
      </c>
      <c r="J1807" s="1" t="s">
        <v>56</v>
      </c>
      <c r="K1807" s="1" t="s">
        <v>26</v>
      </c>
      <c r="L1807" s="1" t="s">
        <v>27</v>
      </c>
      <c r="N1807" s="1" t="s">
        <v>216</v>
      </c>
      <c r="O1807" s="1" t="s">
        <v>57</v>
      </c>
      <c r="P1807" s="1" t="s">
        <v>3830</v>
      </c>
      <c r="Q1807" s="1" t="s">
        <v>3831</v>
      </c>
      <c r="R1807" s="1">
        <v>0.0</v>
      </c>
      <c r="S1807" s="1"/>
    </row>
    <row r="1808" ht="15.75" customHeight="1">
      <c r="A1808" s="1" t="s">
        <v>4293</v>
      </c>
      <c r="B1808" s="1" t="s">
        <v>4294</v>
      </c>
      <c r="C1808" s="1" t="s">
        <v>4295</v>
      </c>
      <c r="E1808" s="1">
        <v>22.3615686</v>
      </c>
      <c r="F1808" s="1">
        <v>87.3386314</v>
      </c>
      <c r="G1808" s="1" t="s">
        <v>54</v>
      </c>
      <c r="H1808" s="1" t="s">
        <v>55</v>
      </c>
      <c r="J1808" s="1" t="s">
        <v>56</v>
      </c>
      <c r="K1808" s="1" t="s">
        <v>26</v>
      </c>
      <c r="L1808" s="1" t="s">
        <v>27</v>
      </c>
      <c r="N1808" s="1" t="s">
        <v>532</v>
      </c>
      <c r="O1808" s="1" t="s">
        <v>57</v>
      </c>
      <c r="P1808" s="1" t="s">
        <v>3131</v>
      </c>
      <c r="Q1808" s="1" t="s">
        <v>3132</v>
      </c>
      <c r="R1808" s="1">
        <v>0.0</v>
      </c>
      <c r="S1808" s="1"/>
    </row>
    <row r="1809" ht="15.75" customHeight="1">
      <c r="A1809" s="1" t="s">
        <v>4296</v>
      </c>
      <c r="B1809" s="1" t="s">
        <v>4297</v>
      </c>
      <c r="C1809" s="1" t="s">
        <v>185</v>
      </c>
      <c r="E1809" s="1">
        <v>17.3275708</v>
      </c>
      <c r="F1809" s="1">
        <v>78.6005641</v>
      </c>
      <c r="G1809" s="1" t="s">
        <v>54</v>
      </c>
      <c r="H1809" s="1" t="s">
        <v>55</v>
      </c>
      <c r="J1809" s="1" t="s">
        <v>56</v>
      </c>
      <c r="K1809" s="1" t="s">
        <v>26</v>
      </c>
      <c r="L1809" s="1" t="s">
        <v>27</v>
      </c>
      <c r="N1809" s="1" t="s">
        <v>186</v>
      </c>
      <c r="O1809" s="1" t="s">
        <v>57</v>
      </c>
      <c r="P1809" s="1" t="s">
        <v>2074</v>
      </c>
      <c r="Q1809" s="1" t="s">
        <v>2075</v>
      </c>
      <c r="R1809" s="1">
        <v>0.0</v>
      </c>
      <c r="S1809" s="1"/>
    </row>
    <row r="1810" ht="15.75" customHeight="1">
      <c r="A1810" s="1" t="s">
        <v>4298</v>
      </c>
      <c r="B1810" s="1" t="s">
        <v>4299</v>
      </c>
      <c r="C1810" s="1" t="s">
        <v>4300</v>
      </c>
      <c r="E1810" s="1">
        <v>27.2140532</v>
      </c>
      <c r="F1810" s="1">
        <v>77.5037273</v>
      </c>
      <c r="G1810" s="1" t="s">
        <v>54</v>
      </c>
      <c r="H1810" s="1" t="s">
        <v>55</v>
      </c>
      <c r="J1810" s="1" t="s">
        <v>56</v>
      </c>
      <c r="K1810" s="1" t="s">
        <v>26</v>
      </c>
      <c r="L1810" s="1" t="s">
        <v>27</v>
      </c>
      <c r="N1810" s="1" t="s">
        <v>849</v>
      </c>
      <c r="O1810" s="1" t="s">
        <v>57</v>
      </c>
      <c r="P1810" s="1" t="s">
        <v>887</v>
      </c>
      <c r="Q1810" s="1" t="s">
        <v>888</v>
      </c>
      <c r="R1810" s="1">
        <v>0.0</v>
      </c>
      <c r="S1810" s="1"/>
    </row>
    <row r="1811" ht="15.75" customHeight="1">
      <c r="A1811" s="1" t="s">
        <v>4301</v>
      </c>
      <c r="B1811" s="1" t="s">
        <v>4302</v>
      </c>
      <c r="C1811" s="1" t="s">
        <v>1285</v>
      </c>
      <c r="E1811" s="1">
        <v>12.8709568</v>
      </c>
      <c r="F1811" s="1">
        <v>74.84236899999999</v>
      </c>
      <c r="G1811" s="1" t="s">
        <v>54</v>
      </c>
      <c r="H1811" s="1" t="s">
        <v>55</v>
      </c>
      <c r="J1811" s="1" t="s">
        <v>56</v>
      </c>
      <c r="K1811" s="1" t="s">
        <v>26</v>
      </c>
      <c r="L1811" s="1" t="s">
        <v>27</v>
      </c>
      <c r="N1811" s="1" t="s">
        <v>743</v>
      </c>
      <c r="O1811" s="1" t="s">
        <v>57</v>
      </c>
      <c r="P1811" s="1" t="s">
        <v>1079</v>
      </c>
      <c r="Q1811" s="1" t="s">
        <v>1080</v>
      </c>
      <c r="R1811" s="1">
        <v>0.0</v>
      </c>
      <c r="S1811" s="1"/>
    </row>
    <row r="1812" ht="15.75" customHeight="1">
      <c r="A1812" s="1" t="s">
        <v>4303</v>
      </c>
      <c r="B1812" s="1" t="s">
        <v>4304</v>
      </c>
      <c r="C1812" s="1" t="s">
        <v>215</v>
      </c>
      <c r="E1812" s="1">
        <v>23.0784433</v>
      </c>
      <c r="F1812" s="1">
        <v>72.6733246</v>
      </c>
      <c r="G1812" s="1" t="s">
        <v>54</v>
      </c>
      <c r="H1812" s="1" t="s">
        <v>55</v>
      </c>
      <c r="J1812" s="1" t="s">
        <v>56</v>
      </c>
      <c r="K1812" s="1" t="s">
        <v>26</v>
      </c>
      <c r="L1812" s="1" t="s">
        <v>27</v>
      </c>
      <c r="N1812" s="1" t="s">
        <v>216</v>
      </c>
      <c r="O1812" s="1" t="s">
        <v>57</v>
      </c>
      <c r="P1812" s="1" t="s">
        <v>3830</v>
      </c>
      <c r="Q1812" s="1" t="s">
        <v>3831</v>
      </c>
      <c r="R1812" s="1">
        <v>0.0</v>
      </c>
      <c r="S1812" s="1"/>
    </row>
    <row r="1813" ht="15.75" customHeight="1">
      <c r="A1813" s="1" t="s">
        <v>4305</v>
      </c>
      <c r="B1813" s="1" t="s">
        <v>4306</v>
      </c>
      <c r="C1813" s="1" t="s">
        <v>4307</v>
      </c>
      <c r="E1813" s="1">
        <v>21.905401</v>
      </c>
      <c r="F1813" s="1">
        <v>83.392101</v>
      </c>
      <c r="G1813" s="1" t="s">
        <v>54</v>
      </c>
      <c r="H1813" s="1" t="s">
        <v>55</v>
      </c>
      <c r="J1813" s="1" t="s">
        <v>56</v>
      </c>
      <c r="K1813" s="1" t="s">
        <v>26</v>
      </c>
      <c r="L1813" s="1" t="s">
        <v>27</v>
      </c>
      <c r="N1813" s="1" t="s">
        <v>1989</v>
      </c>
      <c r="O1813" s="1" t="s">
        <v>57</v>
      </c>
      <c r="P1813" s="1" t="s">
        <v>3243</v>
      </c>
      <c r="Q1813" s="1" t="s">
        <v>3244</v>
      </c>
      <c r="R1813" s="1">
        <v>0.0</v>
      </c>
      <c r="S1813" s="1"/>
    </row>
    <row r="1814" ht="15.75" customHeight="1">
      <c r="A1814" s="1" t="s">
        <v>4308</v>
      </c>
      <c r="B1814" s="1" t="s">
        <v>4309</v>
      </c>
      <c r="C1814" s="1" t="s">
        <v>185</v>
      </c>
      <c r="E1814" s="1">
        <v>17.4051569</v>
      </c>
      <c r="F1814" s="1">
        <v>78.4062155</v>
      </c>
      <c r="G1814" s="1" t="s">
        <v>54</v>
      </c>
      <c r="H1814" s="1" t="s">
        <v>55</v>
      </c>
      <c r="J1814" s="1" t="s">
        <v>56</v>
      </c>
      <c r="K1814" s="1" t="s">
        <v>26</v>
      </c>
      <c r="L1814" s="1" t="s">
        <v>27</v>
      </c>
      <c r="N1814" s="1" t="s">
        <v>186</v>
      </c>
      <c r="O1814" s="1" t="s">
        <v>57</v>
      </c>
      <c r="P1814" s="1" t="s">
        <v>2074</v>
      </c>
      <c r="Q1814" s="1" t="s">
        <v>2075</v>
      </c>
      <c r="R1814" s="1">
        <v>0.0</v>
      </c>
      <c r="S1814" s="1"/>
    </row>
    <row r="1815" ht="15.75" customHeight="1">
      <c r="A1815" s="1" t="s">
        <v>4310</v>
      </c>
      <c r="B1815" s="1" t="s">
        <v>4311</v>
      </c>
      <c r="C1815" s="1" t="s">
        <v>630</v>
      </c>
      <c r="E1815" s="1">
        <v>26.4725901</v>
      </c>
      <c r="F1815" s="1">
        <v>80.313411</v>
      </c>
      <c r="G1815" s="1" t="s">
        <v>54</v>
      </c>
      <c r="H1815" s="1" t="s">
        <v>55</v>
      </c>
      <c r="J1815" s="1" t="s">
        <v>56</v>
      </c>
      <c r="K1815" s="1" t="s">
        <v>26</v>
      </c>
      <c r="L1815" s="1" t="s">
        <v>27</v>
      </c>
      <c r="N1815" s="1" t="s">
        <v>28</v>
      </c>
      <c r="O1815" s="1" t="s">
        <v>57</v>
      </c>
      <c r="P1815" s="1" t="s">
        <v>733</v>
      </c>
      <c r="Q1815" s="1" t="s">
        <v>734</v>
      </c>
      <c r="R1815" s="1">
        <v>1.0</v>
      </c>
      <c r="S1815" s="1"/>
    </row>
    <row r="1816" ht="15.75" customHeight="1">
      <c r="A1816" s="1" t="s">
        <v>4312</v>
      </c>
      <c r="B1816" s="1" t="s">
        <v>4313</v>
      </c>
      <c r="C1816" s="1" t="s">
        <v>4314</v>
      </c>
      <c r="E1816" s="1">
        <v>13.140001</v>
      </c>
      <c r="F1816" s="1">
        <v>78.130001</v>
      </c>
      <c r="G1816" s="1" t="s">
        <v>54</v>
      </c>
      <c r="H1816" s="1" t="s">
        <v>55</v>
      </c>
      <c r="J1816" s="1" t="s">
        <v>56</v>
      </c>
      <c r="K1816" s="1" t="s">
        <v>26</v>
      </c>
      <c r="L1816" s="1" t="s">
        <v>27</v>
      </c>
      <c r="N1816" s="1" t="s">
        <v>743</v>
      </c>
      <c r="O1816" s="1" t="s">
        <v>57</v>
      </c>
      <c r="P1816" s="1" t="s">
        <v>1079</v>
      </c>
      <c r="Q1816" s="1" t="s">
        <v>1080</v>
      </c>
      <c r="R1816" s="1">
        <v>0.0</v>
      </c>
      <c r="S1816" s="1"/>
    </row>
    <row r="1817" ht="15.75" customHeight="1">
      <c r="A1817" s="1" t="s">
        <v>4315</v>
      </c>
      <c r="B1817" s="1" t="s">
        <v>4316</v>
      </c>
      <c r="C1817" s="1" t="s">
        <v>742</v>
      </c>
      <c r="E1817" s="1">
        <v>23.852661</v>
      </c>
      <c r="F1817" s="1">
        <v>78.79270199999999</v>
      </c>
      <c r="G1817" s="1" t="s">
        <v>54</v>
      </c>
      <c r="H1817" s="1" t="s">
        <v>55</v>
      </c>
      <c r="J1817" s="1" t="s">
        <v>56</v>
      </c>
      <c r="K1817" s="1" t="s">
        <v>26</v>
      </c>
      <c r="L1817" s="1" t="s">
        <v>27</v>
      </c>
      <c r="N1817" s="1" t="s">
        <v>743</v>
      </c>
      <c r="O1817" s="1" t="s">
        <v>57</v>
      </c>
      <c r="P1817" s="1" t="s">
        <v>3243</v>
      </c>
      <c r="Q1817" s="1" t="s">
        <v>3244</v>
      </c>
      <c r="R1817" s="1">
        <v>0.0</v>
      </c>
      <c r="S1817" s="1"/>
    </row>
    <row r="1818" ht="15.75" customHeight="1">
      <c r="A1818" s="1" t="s">
        <v>4317</v>
      </c>
      <c r="B1818" s="1" t="s">
        <v>4318</v>
      </c>
      <c r="C1818" s="1" t="s">
        <v>148</v>
      </c>
      <c r="E1818" s="1">
        <v>19.0998634</v>
      </c>
      <c r="F1818" s="1">
        <v>72.9172616</v>
      </c>
      <c r="G1818" s="1" t="s">
        <v>54</v>
      </c>
      <c r="H1818" s="1" t="s">
        <v>55</v>
      </c>
      <c r="J1818" s="1" t="s">
        <v>56</v>
      </c>
      <c r="K1818" s="1" t="s">
        <v>26</v>
      </c>
      <c r="L1818" s="1" t="s">
        <v>27</v>
      </c>
      <c r="N1818" s="1" t="s">
        <v>143</v>
      </c>
      <c r="O1818" s="1" t="s">
        <v>57</v>
      </c>
      <c r="P1818" s="1" t="s">
        <v>2300</v>
      </c>
      <c r="Q1818" s="1" t="s">
        <v>2301</v>
      </c>
      <c r="R1818" s="1">
        <v>4.0</v>
      </c>
      <c r="S1818" s="1"/>
    </row>
    <row r="1819" ht="15.75" customHeight="1">
      <c r="A1819" s="1" t="s">
        <v>4319</v>
      </c>
      <c r="B1819" s="1" t="s">
        <v>4320</v>
      </c>
      <c r="C1819" s="1" t="s">
        <v>2036</v>
      </c>
      <c r="E1819" s="1">
        <v>16.8219593</v>
      </c>
      <c r="F1819" s="1">
        <v>74.6435492</v>
      </c>
      <c r="G1819" s="1" t="s">
        <v>54</v>
      </c>
      <c r="H1819" s="1" t="s">
        <v>55</v>
      </c>
      <c r="J1819" s="1" t="s">
        <v>56</v>
      </c>
      <c r="K1819" s="1" t="s">
        <v>26</v>
      </c>
      <c r="L1819" s="1" t="s">
        <v>27</v>
      </c>
      <c r="N1819" s="1" t="s">
        <v>143</v>
      </c>
      <c r="O1819" s="1" t="s">
        <v>57</v>
      </c>
      <c r="P1819" s="1" t="s">
        <v>2239</v>
      </c>
      <c r="Q1819" s="1" t="s">
        <v>2240</v>
      </c>
      <c r="R1819" s="1">
        <v>0.0</v>
      </c>
      <c r="S1819" s="1"/>
    </row>
    <row r="1820" ht="15.75" customHeight="1">
      <c r="A1820" s="1" t="s">
        <v>4321</v>
      </c>
      <c r="B1820" s="1" t="s">
        <v>4322</v>
      </c>
      <c r="C1820" s="1" t="s">
        <v>531</v>
      </c>
      <c r="E1820" s="1">
        <v>22.6220743</v>
      </c>
      <c r="F1820" s="1">
        <v>88.4061306</v>
      </c>
      <c r="G1820" s="1" t="s">
        <v>54</v>
      </c>
      <c r="H1820" s="1" t="s">
        <v>55</v>
      </c>
      <c r="J1820" s="1" t="s">
        <v>56</v>
      </c>
      <c r="K1820" s="1" t="s">
        <v>26</v>
      </c>
      <c r="L1820" s="1" t="s">
        <v>27</v>
      </c>
      <c r="N1820" s="1" t="s">
        <v>532</v>
      </c>
      <c r="O1820" s="1" t="s">
        <v>57</v>
      </c>
      <c r="P1820" s="1" t="s">
        <v>3135</v>
      </c>
      <c r="Q1820" s="1" t="s">
        <v>3136</v>
      </c>
      <c r="R1820" s="1">
        <v>0.0</v>
      </c>
      <c r="S1820" s="1"/>
    </row>
    <row r="1821" ht="15.75" customHeight="1">
      <c r="A1821" s="1" t="s">
        <v>4323</v>
      </c>
      <c r="B1821" s="1" t="s">
        <v>4324</v>
      </c>
      <c r="C1821" s="1" t="s">
        <v>215</v>
      </c>
      <c r="E1821" s="1">
        <v>23.0681912</v>
      </c>
      <c r="F1821" s="1">
        <v>72.5758735</v>
      </c>
      <c r="G1821" s="1" t="s">
        <v>54</v>
      </c>
      <c r="H1821" s="1" t="s">
        <v>55</v>
      </c>
      <c r="J1821" s="1" t="s">
        <v>56</v>
      </c>
      <c r="K1821" s="1" t="s">
        <v>26</v>
      </c>
      <c r="L1821" s="1" t="s">
        <v>27</v>
      </c>
      <c r="N1821" s="1" t="s">
        <v>216</v>
      </c>
      <c r="O1821" s="1" t="s">
        <v>57</v>
      </c>
      <c r="P1821" s="1" t="s">
        <v>3830</v>
      </c>
      <c r="Q1821" s="1" t="s">
        <v>3831</v>
      </c>
      <c r="R1821" s="1">
        <v>0.0</v>
      </c>
      <c r="S1821" s="1"/>
    </row>
    <row r="1822" ht="15.75" customHeight="1">
      <c r="A1822" s="1" t="s">
        <v>4325</v>
      </c>
      <c r="B1822" s="1" t="s">
        <v>4326</v>
      </c>
      <c r="C1822" s="1" t="s">
        <v>2068</v>
      </c>
      <c r="E1822" s="1">
        <v>19.5791432</v>
      </c>
      <c r="F1822" s="1">
        <v>74.2056039</v>
      </c>
      <c r="G1822" s="1" t="s">
        <v>54</v>
      </c>
      <c r="H1822" s="1" t="s">
        <v>55</v>
      </c>
      <c r="J1822" s="1" t="s">
        <v>56</v>
      </c>
      <c r="K1822" s="1" t="s">
        <v>26</v>
      </c>
      <c r="L1822" s="1" t="s">
        <v>27</v>
      </c>
      <c r="N1822" s="1" t="s">
        <v>143</v>
      </c>
      <c r="O1822" s="1" t="s">
        <v>57</v>
      </c>
      <c r="P1822" s="1" t="s">
        <v>2239</v>
      </c>
      <c r="Q1822" s="1" t="s">
        <v>2240</v>
      </c>
      <c r="R1822" s="1">
        <v>0.0</v>
      </c>
      <c r="S1822" s="1"/>
    </row>
    <row r="1823" ht="15.75" customHeight="1">
      <c r="A1823" s="1" t="s">
        <v>4327</v>
      </c>
      <c r="B1823" s="1" t="s">
        <v>4328</v>
      </c>
      <c r="C1823" s="1" t="s">
        <v>3778</v>
      </c>
      <c r="E1823" s="1">
        <v>18.6648127</v>
      </c>
      <c r="F1823" s="1">
        <v>78.1091405</v>
      </c>
      <c r="G1823" s="1" t="s">
        <v>54</v>
      </c>
      <c r="H1823" s="1" t="s">
        <v>55</v>
      </c>
      <c r="J1823" s="1" t="s">
        <v>56</v>
      </c>
      <c r="K1823" s="1" t="s">
        <v>26</v>
      </c>
      <c r="L1823" s="1" t="s">
        <v>27</v>
      </c>
      <c r="N1823" s="1" t="s">
        <v>186</v>
      </c>
      <c r="O1823" s="1" t="s">
        <v>57</v>
      </c>
      <c r="P1823" s="1" t="s">
        <v>2074</v>
      </c>
      <c r="Q1823" s="1" t="s">
        <v>2075</v>
      </c>
      <c r="R1823" s="1">
        <v>0.0</v>
      </c>
      <c r="S1823" s="1"/>
    </row>
    <row r="1824" ht="15.75" customHeight="1">
      <c r="A1824" s="1" t="s">
        <v>4329</v>
      </c>
      <c r="B1824" s="1" t="s">
        <v>4330</v>
      </c>
      <c r="C1824" s="1" t="s">
        <v>4331</v>
      </c>
      <c r="E1824" s="1">
        <v>18.7884127</v>
      </c>
      <c r="F1824" s="1">
        <v>78.29164469999999</v>
      </c>
      <c r="G1824" s="1" t="s">
        <v>54</v>
      </c>
      <c r="H1824" s="1" t="s">
        <v>55</v>
      </c>
      <c r="J1824" s="1" t="s">
        <v>56</v>
      </c>
      <c r="K1824" s="1" t="s">
        <v>26</v>
      </c>
      <c r="L1824" s="1" t="s">
        <v>27</v>
      </c>
      <c r="N1824" s="1" t="s">
        <v>464</v>
      </c>
      <c r="O1824" s="1" t="s">
        <v>57</v>
      </c>
      <c r="P1824" s="1" t="s">
        <v>2074</v>
      </c>
      <c r="Q1824" s="1" t="s">
        <v>2075</v>
      </c>
      <c r="R1824" s="1">
        <v>0.0</v>
      </c>
      <c r="S1824" s="1"/>
    </row>
    <row r="1825" ht="15.75" customHeight="1">
      <c r="A1825" s="1" t="s">
        <v>4332</v>
      </c>
      <c r="B1825" s="1" t="s">
        <v>4333</v>
      </c>
      <c r="C1825" s="1" t="s">
        <v>1112</v>
      </c>
      <c r="E1825" s="1">
        <v>12.9286921</v>
      </c>
      <c r="F1825" s="1">
        <v>80.1144132</v>
      </c>
      <c r="G1825" s="1" t="s">
        <v>54</v>
      </c>
      <c r="H1825" s="1" t="s">
        <v>55</v>
      </c>
      <c r="J1825" s="1" t="s">
        <v>56</v>
      </c>
      <c r="K1825" s="1" t="s">
        <v>26</v>
      </c>
      <c r="L1825" s="1" t="s">
        <v>27</v>
      </c>
      <c r="N1825" s="1" t="s">
        <v>1097</v>
      </c>
      <c r="O1825" s="1" t="s">
        <v>57</v>
      </c>
      <c r="P1825" s="1" t="s">
        <v>3219</v>
      </c>
      <c r="Q1825" s="1" t="s">
        <v>3220</v>
      </c>
      <c r="R1825" s="1">
        <v>2.0</v>
      </c>
      <c r="S1825" s="1"/>
    </row>
    <row r="1826" ht="15.75" customHeight="1">
      <c r="A1826" s="1" t="s">
        <v>4334</v>
      </c>
      <c r="B1826" s="1" t="s">
        <v>4335</v>
      </c>
      <c r="C1826" s="1" t="s">
        <v>483</v>
      </c>
      <c r="E1826" s="1">
        <v>17.9891944</v>
      </c>
      <c r="F1826" s="1">
        <v>79.5998678</v>
      </c>
      <c r="G1826" s="1" t="s">
        <v>54</v>
      </c>
      <c r="H1826" s="1" t="s">
        <v>55</v>
      </c>
      <c r="J1826" s="1" t="s">
        <v>56</v>
      </c>
      <c r="K1826" s="1" t="s">
        <v>26</v>
      </c>
      <c r="L1826" s="1" t="s">
        <v>27</v>
      </c>
      <c r="N1826" s="1" t="s">
        <v>186</v>
      </c>
      <c r="O1826" s="1" t="s">
        <v>57</v>
      </c>
      <c r="P1826" s="1" t="s">
        <v>2074</v>
      </c>
      <c r="Q1826" s="1" t="s">
        <v>2075</v>
      </c>
      <c r="R1826" s="1">
        <v>0.0</v>
      </c>
      <c r="S1826" s="1"/>
    </row>
    <row r="1827" ht="15.75" customHeight="1">
      <c r="A1827" s="1" t="s">
        <v>4336</v>
      </c>
      <c r="B1827" s="1" t="s">
        <v>4337</v>
      </c>
      <c r="C1827" s="1" t="s">
        <v>463</v>
      </c>
      <c r="E1827" s="1">
        <v>13.6273733</v>
      </c>
      <c r="F1827" s="1">
        <v>79.4292916</v>
      </c>
      <c r="G1827" s="1" t="s">
        <v>54</v>
      </c>
      <c r="H1827" s="1" t="s">
        <v>55</v>
      </c>
      <c r="J1827" s="1" t="s">
        <v>56</v>
      </c>
      <c r="K1827" s="1" t="s">
        <v>26</v>
      </c>
      <c r="L1827" s="1" t="s">
        <v>27</v>
      </c>
      <c r="N1827" s="1" t="s">
        <v>464</v>
      </c>
      <c r="O1827" s="1" t="s">
        <v>57</v>
      </c>
      <c r="P1827" s="1" t="s">
        <v>2074</v>
      </c>
      <c r="Q1827" s="1" t="s">
        <v>2075</v>
      </c>
      <c r="R1827" s="1">
        <v>0.0</v>
      </c>
      <c r="S1827" s="1"/>
    </row>
    <row r="1828" ht="15.75" customHeight="1">
      <c r="A1828" s="1" t="s">
        <v>4338</v>
      </c>
      <c r="B1828" s="1" t="s">
        <v>4339</v>
      </c>
      <c r="C1828" s="1" t="s">
        <v>148</v>
      </c>
      <c r="E1828" s="1">
        <v>19.2244108</v>
      </c>
      <c r="F1828" s="1">
        <v>72.8630989</v>
      </c>
      <c r="G1828" s="1" t="s">
        <v>54</v>
      </c>
      <c r="H1828" s="1" t="s">
        <v>55</v>
      </c>
      <c r="J1828" s="1" t="s">
        <v>56</v>
      </c>
      <c r="K1828" s="1" t="s">
        <v>26</v>
      </c>
      <c r="L1828" s="1" t="s">
        <v>27</v>
      </c>
      <c r="N1828" s="1" t="s">
        <v>143</v>
      </c>
      <c r="O1828" s="1" t="s">
        <v>57</v>
      </c>
      <c r="P1828" s="1" t="s">
        <v>2300</v>
      </c>
      <c r="Q1828" s="1" t="s">
        <v>2301</v>
      </c>
      <c r="R1828" s="1">
        <v>0.0</v>
      </c>
      <c r="S1828" s="1"/>
    </row>
    <row r="1829" ht="15.75" customHeight="1">
      <c r="A1829" s="1" t="s">
        <v>4340</v>
      </c>
      <c r="B1829" s="1" t="s">
        <v>4341</v>
      </c>
      <c r="C1829" s="1" t="s">
        <v>1073</v>
      </c>
      <c r="E1829" s="1">
        <v>23.4055321</v>
      </c>
      <c r="F1829" s="1">
        <v>88.4984234</v>
      </c>
      <c r="G1829" s="1" t="s">
        <v>54</v>
      </c>
      <c r="H1829" s="1" t="s">
        <v>55</v>
      </c>
      <c r="J1829" s="1" t="s">
        <v>56</v>
      </c>
      <c r="K1829" s="1" t="s">
        <v>26</v>
      </c>
      <c r="L1829" s="1" t="s">
        <v>27</v>
      </c>
      <c r="N1829" s="1" t="s">
        <v>532</v>
      </c>
      <c r="O1829" s="1" t="s">
        <v>57</v>
      </c>
      <c r="P1829" s="1" t="s">
        <v>3131</v>
      </c>
      <c r="Q1829" s="1" t="s">
        <v>3132</v>
      </c>
      <c r="R1829" s="1">
        <v>0.0</v>
      </c>
      <c r="S1829" s="1"/>
    </row>
    <row r="1830" ht="15.75" customHeight="1">
      <c r="A1830" s="1" t="s">
        <v>4342</v>
      </c>
      <c r="B1830" s="1" t="s">
        <v>4343</v>
      </c>
      <c r="C1830" s="1" t="s">
        <v>4344</v>
      </c>
      <c r="E1830" s="1">
        <v>25.2369054</v>
      </c>
      <c r="F1830" s="1">
        <v>86.97423669999999</v>
      </c>
      <c r="G1830" s="1" t="s">
        <v>54</v>
      </c>
      <c r="H1830" s="1" t="s">
        <v>55</v>
      </c>
      <c r="J1830" s="1" t="s">
        <v>56</v>
      </c>
      <c r="P1830" s="1" t="s">
        <v>3253</v>
      </c>
      <c r="Q1830" s="1" t="s">
        <v>3254</v>
      </c>
      <c r="R1830" s="1">
        <v>0.0</v>
      </c>
      <c r="S1830" s="1"/>
    </row>
    <row r="1831" ht="15.75" customHeight="1">
      <c r="A1831" s="1" t="s">
        <v>4345</v>
      </c>
      <c r="B1831" s="1" t="s">
        <v>4346</v>
      </c>
      <c r="C1831" s="1" t="s">
        <v>737</v>
      </c>
      <c r="E1831" s="1">
        <v>22.6986952</v>
      </c>
      <c r="F1831" s="1">
        <v>75.8644039</v>
      </c>
      <c r="G1831" s="1" t="s">
        <v>54</v>
      </c>
      <c r="H1831" s="1" t="s">
        <v>55</v>
      </c>
      <c r="J1831" s="1" t="s">
        <v>56</v>
      </c>
      <c r="K1831" s="1" t="s">
        <v>26</v>
      </c>
      <c r="L1831" s="1" t="s">
        <v>27</v>
      </c>
      <c r="N1831" s="1" t="s">
        <v>732</v>
      </c>
      <c r="O1831" s="1" t="s">
        <v>57</v>
      </c>
      <c r="P1831" s="1" t="s">
        <v>3243</v>
      </c>
      <c r="Q1831" s="1" t="s">
        <v>3244</v>
      </c>
      <c r="R1831" s="1">
        <v>0.0</v>
      </c>
      <c r="S1831" s="1"/>
    </row>
    <row r="1832" ht="15.75" customHeight="1">
      <c r="A1832" s="1" t="s">
        <v>4347</v>
      </c>
      <c r="B1832" s="1" t="s">
        <v>4348</v>
      </c>
      <c r="C1832" s="1" t="s">
        <v>4349</v>
      </c>
      <c r="E1832" s="1">
        <v>23.3427871</v>
      </c>
      <c r="F1832" s="1">
        <v>86.359286</v>
      </c>
      <c r="G1832" s="1" t="s">
        <v>54</v>
      </c>
      <c r="H1832" s="1" t="s">
        <v>55</v>
      </c>
      <c r="J1832" s="1" t="s">
        <v>56</v>
      </c>
      <c r="K1832" s="1" t="s">
        <v>26</v>
      </c>
      <c r="L1832" s="1" t="s">
        <v>27</v>
      </c>
      <c r="N1832" s="1" t="s">
        <v>532</v>
      </c>
      <c r="O1832" s="1" t="s">
        <v>57</v>
      </c>
      <c r="P1832" s="1" t="s">
        <v>3131</v>
      </c>
      <c r="Q1832" s="1" t="s">
        <v>3132</v>
      </c>
      <c r="R1832" s="1">
        <v>0.0</v>
      </c>
      <c r="S1832" s="1"/>
    </row>
    <row r="1833" ht="15.75" customHeight="1">
      <c r="A1833" s="1" t="s">
        <v>4350</v>
      </c>
      <c r="B1833" s="1" t="s">
        <v>4351</v>
      </c>
      <c r="C1833" s="1" t="s">
        <v>526</v>
      </c>
      <c r="E1833" s="1">
        <v>19.8765161</v>
      </c>
      <c r="F1833" s="1">
        <v>75.3423554</v>
      </c>
      <c r="G1833" s="1" t="s">
        <v>54</v>
      </c>
      <c r="H1833" s="1" t="s">
        <v>55</v>
      </c>
      <c r="J1833" s="1" t="s">
        <v>56</v>
      </c>
      <c r="K1833" s="1" t="s">
        <v>26</v>
      </c>
      <c r="L1833" s="1" t="s">
        <v>27</v>
      </c>
      <c r="N1833" s="1" t="s">
        <v>498</v>
      </c>
      <c r="O1833" s="1" t="s">
        <v>57</v>
      </c>
      <c r="P1833" s="1" t="s">
        <v>2239</v>
      </c>
      <c r="Q1833" s="1" t="s">
        <v>2240</v>
      </c>
      <c r="R1833" s="1">
        <v>0.0</v>
      </c>
      <c r="S1833" s="1"/>
    </row>
    <row r="1834" ht="15.75" customHeight="1">
      <c r="A1834" s="1" t="s">
        <v>4352</v>
      </c>
      <c r="B1834" s="1" t="s">
        <v>4353</v>
      </c>
      <c r="C1834" s="1" t="s">
        <v>463</v>
      </c>
      <c r="E1834" s="1">
        <v>13.6403428</v>
      </c>
      <c r="F1834" s="1">
        <v>79.42777459999999</v>
      </c>
      <c r="G1834" s="1" t="s">
        <v>54</v>
      </c>
      <c r="H1834" s="1" t="s">
        <v>55</v>
      </c>
      <c r="J1834" s="1" t="s">
        <v>56</v>
      </c>
      <c r="K1834" s="1" t="s">
        <v>26</v>
      </c>
      <c r="L1834" s="1" t="s">
        <v>27</v>
      </c>
      <c r="N1834" s="1" t="s">
        <v>464</v>
      </c>
      <c r="O1834" s="1" t="s">
        <v>57</v>
      </c>
      <c r="P1834" s="1" t="s">
        <v>2074</v>
      </c>
      <c r="Q1834" s="1" t="s">
        <v>2075</v>
      </c>
      <c r="R1834" s="1">
        <v>0.0</v>
      </c>
      <c r="S1834" s="1"/>
    </row>
    <row r="1835" ht="15.75" customHeight="1">
      <c r="A1835" s="1" t="s">
        <v>4354</v>
      </c>
      <c r="B1835" s="1" t="s">
        <v>4355</v>
      </c>
      <c r="C1835" s="1" t="s">
        <v>946</v>
      </c>
      <c r="E1835" s="1">
        <v>30.9101396</v>
      </c>
      <c r="F1835" s="1">
        <v>75.88222069999999</v>
      </c>
      <c r="G1835" s="1" t="s">
        <v>54</v>
      </c>
      <c r="H1835" s="1" t="s">
        <v>55</v>
      </c>
      <c r="J1835" s="1" t="s">
        <v>56</v>
      </c>
      <c r="K1835" s="1" t="s">
        <v>26</v>
      </c>
      <c r="L1835" s="1" t="s">
        <v>27</v>
      </c>
      <c r="N1835" s="1" t="s">
        <v>123</v>
      </c>
      <c r="O1835" s="1" t="s">
        <v>57</v>
      </c>
      <c r="P1835" s="1" t="s">
        <v>938</v>
      </c>
      <c r="Q1835" s="1" t="s">
        <v>939</v>
      </c>
      <c r="R1835" s="1">
        <v>0.0</v>
      </c>
      <c r="S1835" s="1"/>
    </row>
    <row r="1836" ht="15.75" customHeight="1">
      <c r="A1836" s="1" t="s">
        <v>4356</v>
      </c>
      <c r="B1836" s="1" t="s">
        <v>4357</v>
      </c>
      <c r="C1836" s="1" t="s">
        <v>151</v>
      </c>
      <c r="E1836" s="1">
        <v>18.505876</v>
      </c>
      <c r="F1836" s="1">
        <v>73.9067132</v>
      </c>
      <c r="G1836" s="1" t="s">
        <v>54</v>
      </c>
      <c r="H1836" s="1" t="s">
        <v>55</v>
      </c>
      <c r="J1836" s="1" t="s">
        <v>56</v>
      </c>
      <c r="K1836" s="1" t="s">
        <v>26</v>
      </c>
      <c r="L1836" s="1" t="s">
        <v>27</v>
      </c>
      <c r="N1836" s="1" t="s">
        <v>143</v>
      </c>
      <c r="O1836" s="1" t="s">
        <v>57</v>
      </c>
      <c r="P1836" s="1" t="s">
        <v>3233</v>
      </c>
      <c r="Q1836" s="1" t="s">
        <v>3234</v>
      </c>
      <c r="R1836" s="1">
        <v>0.0</v>
      </c>
      <c r="S1836" s="1"/>
    </row>
    <row r="1837" ht="15.75" customHeight="1">
      <c r="A1837" s="1" t="s">
        <v>4358</v>
      </c>
      <c r="B1837" s="1" t="s">
        <v>4359</v>
      </c>
      <c r="C1837" s="1" t="s">
        <v>1734</v>
      </c>
      <c r="E1837" s="1">
        <v>29.6922507</v>
      </c>
      <c r="F1837" s="1">
        <v>76.9929674</v>
      </c>
      <c r="G1837" s="1" t="s">
        <v>54</v>
      </c>
      <c r="H1837" s="1" t="s">
        <v>55</v>
      </c>
      <c r="J1837" s="1" t="s">
        <v>56</v>
      </c>
      <c r="K1837" s="1" t="s">
        <v>26</v>
      </c>
      <c r="L1837" s="1" t="s">
        <v>27</v>
      </c>
      <c r="N1837" s="1" t="s">
        <v>163</v>
      </c>
      <c r="O1837" s="1" t="s">
        <v>57</v>
      </c>
      <c r="P1837" s="1" t="s">
        <v>938</v>
      </c>
      <c r="Q1837" s="1" t="s">
        <v>939</v>
      </c>
      <c r="R1837" s="1">
        <v>0.0</v>
      </c>
      <c r="S1837" s="1"/>
    </row>
    <row r="1838" ht="15.75" customHeight="1">
      <c r="A1838" s="1" t="s">
        <v>4360</v>
      </c>
      <c r="B1838" s="1" t="s">
        <v>4361</v>
      </c>
      <c r="C1838" s="1" t="s">
        <v>526</v>
      </c>
      <c r="E1838" s="1">
        <v>19.8658242</v>
      </c>
      <c r="F1838" s="1">
        <v>75.349739</v>
      </c>
      <c r="G1838" s="1" t="s">
        <v>54</v>
      </c>
      <c r="H1838" s="1" t="s">
        <v>55</v>
      </c>
      <c r="J1838" s="1" t="s">
        <v>56</v>
      </c>
      <c r="K1838" s="1" t="s">
        <v>26</v>
      </c>
      <c r="L1838" s="1" t="s">
        <v>27</v>
      </c>
      <c r="N1838" s="1" t="s">
        <v>498</v>
      </c>
      <c r="O1838" s="1" t="s">
        <v>57</v>
      </c>
      <c r="P1838" s="1" t="s">
        <v>2239</v>
      </c>
      <c r="Q1838" s="1" t="s">
        <v>2240</v>
      </c>
      <c r="R1838" s="1">
        <v>0.0</v>
      </c>
      <c r="S1838" s="1"/>
    </row>
    <row r="1839" ht="15.75" customHeight="1">
      <c r="A1839" s="1" t="s">
        <v>4362</v>
      </c>
      <c r="B1839" s="1" t="s">
        <v>4363</v>
      </c>
      <c r="C1839" s="1" t="s">
        <v>4364</v>
      </c>
      <c r="E1839" s="1">
        <v>26.6601698</v>
      </c>
      <c r="F1839" s="1">
        <v>84.915954</v>
      </c>
      <c r="G1839" s="1" t="s">
        <v>54</v>
      </c>
      <c r="H1839" s="1" t="s">
        <v>55</v>
      </c>
      <c r="J1839" s="1" t="s">
        <v>56</v>
      </c>
      <c r="K1839" s="1" t="s">
        <v>26</v>
      </c>
      <c r="L1839" s="1" t="s">
        <v>27</v>
      </c>
      <c r="N1839" s="1" t="s">
        <v>498</v>
      </c>
      <c r="O1839" s="1" t="s">
        <v>57</v>
      </c>
      <c r="P1839" s="1" t="s">
        <v>3253</v>
      </c>
      <c r="Q1839" s="1" t="s">
        <v>3254</v>
      </c>
      <c r="R1839" s="1">
        <v>0.0</v>
      </c>
      <c r="S1839" s="1"/>
    </row>
    <row r="1840" ht="15.75" customHeight="1">
      <c r="A1840" s="1" t="s">
        <v>4365</v>
      </c>
      <c r="B1840" s="1" t="s">
        <v>4366</v>
      </c>
      <c r="C1840" s="1" t="s">
        <v>4367</v>
      </c>
      <c r="E1840" s="1">
        <v>18.3060537</v>
      </c>
      <c r="F1840" s="1">
        <v>83.8952789</v>
      </c>
      <c r="G1840" s="1" t="s">
        <v>54</v>
      </c>
      <c r="H1840" s="1" t="s">
        <v>55</v>
      </c>
      <c r="J1840" s="1" t="s">
        <v>56</v>
      </c>
      <c r="K1840" s="1" t="s">
        <v>26</v>
      </c>
      <c r="L1840" s="1" t="s">
        <v>27</v>
      </c>
      <c r="N1840" s="1" t="s">
        <v>464</v>
      </c>
      <c r="O1840" s="1" t="s">
        <v>57</v>
      </c>
      <c r="P1840" s="1" t="s">
        <v>2074</v>
      </c>
      <c r="Q1840" s="1" t="s">
        <v>2075</v>
      </c>
      <c r="R1840" s="1">
        <v>0.0</v>
      </c>
      <c r="S1840" s="1"/>
    </row>
    <row r="1841" ht="15.75" customHeight="1">
      <c r="A1841" s="1" t="s">
        <v>4368</v>
      </c>
      <c r="B1841" s="1" t="s">
        <v>4369</v>
      </c>
      <c r="C1841" s="1" t="s">
        <v>630</v>
      </c>
      <c r="E1841" s="1">
        <v>26.4856549</v>
      </c>
      <c r="F1841" s="1">
        <v>80.2729998</v>
      </c>
      <c r="G1841" s="1" t="s">
        <v>54</v>
      </c>
      <c r="H1841" s="1" t="s">
        <v>55</v>
      </c>
      <c r="J1841" s="1" t="s">
        <v>56</v>
      </c>
      <c r="K1841" s="1" t="s">
        <v>26</v>
      </c>
      <c r="L1841" s="1" t="s">
        <v>27</v>
      </c>
      <c r="N1841" s="1" t="s">
        <v>28</v>
      </c>
      <c r="O1841" s="1" t="s">
        <v>57</v>
      </c>
      <c r="P1841" s="1" t="s">
        <v>733</v>
      </c>
      <c r="Q1841" s="1" t="s">
        <v>734</v>
      </c>
      <c r="R1841" s="1">
        <v>1.0</v>
      </c>
      <c r="S1841" s="1"/>
    </row>
    <row r="1842" ht="15.75" customHeight="1">
      <c r="A1842" s="1" t="s">
        <v>4370</v>
      </c>
      <c r="B1842" s="1" t="s">
        <v>4371</v>
      </c>
      <c r="C1842" s="1" t="s">
        <v>531</v>
      </c>
      <c r="E1842" s="1">
        <v>22.502761</v>
      </c>
      <c r="F1842" s="1">
        <v>88.39317799999999</v>
      </c>
      <c r="G1842" s="1" t="s">
        <v>54</v>
      </c>
      <c r="H1842" s="1" t="s">
        <v>55</v>
      </c>
      <c r="J1842" s="1" t="s">
        <v>56</v>
      </c>
      <c r="K1842" s="1" t="s">
        <v>26</v>
      </c>
      <c r="L1842" s="1" t="s">
        <v>27</v>
      </c>
      <c r="N1842" s="1" t="s">
        <v>532</v>
      </c>
      <c r="O1842" s="1" t="s">
        <v>57</v>
      </c>
      <c r="P1842" s="1" t="s">
        <v>3135</v>
      </c>
      <c r="Q1842" s="1" t="s">
        <v>3136</v>
      </c>
      <c r="R1842" s="1">
        <v>0.0</v>
      </c>
      <c r="S1842" s="1"/>
    </row>
    <row r="1843" ht="15.75" customHeight="1">
      <c r="A1843" s="1" t="s">
        <v>4372</v>
      </c>
      <c r="B1843" s="1" t="s">
        <v>4373</v>
      </c>
      <c r="C1843" s="1" t="s">
        <v>1112</v>
      </c>
      <c r="E1843" s="1">
        <v>12.9093762</v>
      </c>
      <c r="F1843" s="1">
        <v>80.19717370000001</v>
      </c>
      <c r="G1843" s="1" t="s">
        <v>54</v>
      </c>
      <c r="H1843" s="1" t="s">
        <v>55</v>
      </c>
      <c r="J1843" s="1" t="s">
        <v>56</v>
      </c>
      <c r="K1843" s="1" t="s">
        <v>26</v>
      </c>
      <c r="L1843" s="1" t="s">
        <v>27</v>
      </c>
      <c r="N1843" s="1" t="s">
        <v>1097</v>
      </c>
      <c r="O1843" s="1" t="s">
        <v>57</v>
      </c>
      <c r="P1843" s="1" t="s">
        <v>3219</v>
      </c>
      <c r="Q1843" s="1" t="s">
        <v>3220</v>
      </c>
      <c r="R1843" s="1">
        <v>0.0</v>
      </c>
      <c r="S1843" s="1"/>
    </row>
    <row r="1844" ht="15.75" customHeight="1">
      <c r="A1844" s="1" t="s">
        <v>4374</v>
      </c>
      <c r="B1844" s="1" t="s">
        <v>4375</v>
      </c>
      <c r="C1844" s="1" t="s">
        <v>467</v>
      </c>
      <c r="E1844" s="1">
        <v>16.5199985</v>
      </c>
      <c r="F1844" s="1">
        <v>80.6943579</v>
      </c>
      <c r="G1844" s="1" t="s">
        <v>54</v>
      </c>
      <c r="H1844" s="1" t="s">
        <v>55</v>
      </c>
      <c r="J1844" s="1" t="s">
        <v>56</v>
      </c>
      <c r="K1844" s="1" t="s">
        <v>26</v>
      </c>
      <c r="L1844" s="1" t="s">
        <v>27</v>
      </c>
      <c r="N1844" s="1" t="s">
        <v>464</v>
      </c>
      <c r="O1844" s="1" t="s">
        <v>57</v>
      </c>
      <c r="P1844" s="1" t="s">
        <v>2074</v>
      </c>
      <c r="Q1844" s="1" t="s">
        <v>2075</v>
      </c>
      <c r="R1844" s="1">
        <v>0.0</v>
      </c>
      <c r="S1844" s="1"/>
    </row>
    <row r="1845" ht="15.75" customHeight="1">
      <c r="A1845" s="1" t="s">
        <v>4376</v>
      </c>
      <c r="B1845" s="1" t="s">
        <v>4377</v>
      </c>
      <c r="C1845" s="1" t="s">
        <v>467</v>
      </c>
      <c r="E1845" s="1">
        <v>16.5387791</v>
      </c>
      <c r="F1845" s="1">
        <v>80.59803629999999</v>
      </c>
      <c r="G1845" s="1" t="s">
        <v>54</v>
      </c>
      <c r="H1845" s="1" t="s">
        <v>55</v>
      </c>
      <c r="J1845" s="1" t="s">
        <v>56</v>
      </c>
      <c r="K1845" s="1" t="s">
        <v>26</v>
      </c>
      <c r="L1845" s="1" t="s">
        <v>27</v>
      </c>
      <c r="N1845" s="1" t="s">
        <v>464</v>
      </c>
      <c r="O1845" s="1" t="s">
        <v>57</v>
      </c>
      <c r="P1845" s="1" t="s">
        <v>2074</v>
      </c>
      <c r="Q1845" s="1" t="s">
        <v>2075</v>
      </c>
      <c r="R1845" s="1">
        <v>0.0</v>
      </c>
      <c r="S1845" s="1"/>
    </row>
    <row r="1846" ht="15.75" customHeight="1">
      <c r="A1846" s="1" t="s">
        <v>4378</v>
      </c>
      <c r="B1846" s="1" t="s">
        <v>4379</v>
      </c>
      <c r="C1846" s="1" t="s">
        <v>185</v>
      </c>
      <c r="E1846" s="1">
        <v>16.8115494</v>
      </c>
      <c r="F1846" s="1">
        <v>81.526528</v>
      </c>
      <c r="G1846" s="1" t="s">
        <v>54</v>
      </c>
      <c r="H1846" s="1" t="s">
        <v>55</v>
      </c>
      <c r="J1846" s="1" t="s">
        <v>56</v>
      </c>
      <c r="K1846" s="1" t="s">
        <v>26</v>
      </c>
      <c r="L1846" s="1" t="s">
        <v>27</v>
      </c>
      <c r="N1846" s="1" t="s">
        <v>186</v>
      </c>
      <c r="O1846" s="1" t="s">
        <v>57</v>
      </c>
      <c r="P1846" s="1" t="s">
        <v>2074</v>
      </c>
      <c r="Q1846" s="1" t="s">
        <v>2075</v>
      </c>
      <c r="R1846" s="1">
        <v>0.0</v>
      </c>
      <c r="S1846" s="1"/>
    </row>
    <row r="1847" ht="15.75" customHeight="1">
      <c r="A1847" s="1" t="s">
        <v>4380</v>
      </c>
      <c r="B1847" s="1" t="s">
        <v>4381</v>
      </c>
      <c r="C1847" s="1" t="s">
        <v>4382</v>
      </c>
      <c r="E1847" s="1">
        <v>14.4680829</v>
      </c>
      <c r="F1847" s="1">
        <v>78.82439509999999</v>
      </c>
      <c r="G1847" s="1" t="s">
        <v>54</v>
      </c>
      <c r="H1847" s="1" t="s">
        <v>55</v>
      </c>
      <c r="J1847" s="1" t="s">
        <v>56</v>
      </c>
      <c r="K1847" s="1" t="s">
        <v>26</v>
      </c>
      <c r="L1847" s="1" t="s">
        <v>27</v>
      </c>
      <c r="N1847" s="1" t="s">
        <v>464</v>
      </c>
      <c r="O1847" s="1" t="s">
        <v>57</v>
      </c>
      <c r="P1847" s="1" t="s">
        <v>2074</v>
      </c>
      <c r="Q1847" s="1" t="s">
        <v>2075</v>
      </c>
      <c r="R1847" s="1">
        <v>0.0</v>
      </c>
      <c r="S1847" s="1"/>
    </row>
    <row r="1848" ht="15.75" customHeight="1">
      <c r="A1848" s="1" t="s">
        <v>4383</v>
      </c>
      <c r="B1848" s="1" t="s">
        <v>4384</v>
      </c>
      <c r="C1848" s="1" t="s">
        <v>1225</v>
      </c>
      <c r="E1848" s="1">
        <v>17.7441007</v>
      </c>
      <c r="F1848" s="1">
        <v>83.22679</v>
      </c>
      <c r="G1848" s="1" t="s">
        <v>54</v>
      </c>
      <c r="H1848" s="1" t="s">
        <v>55</v>
      </c>
      <c r="J1848" s="1" t="s">
        <v>56</v>
      </c>
      <c r="K1848" s="1" t="s">
        <v>26</v>
      </c>
      <c r="L1848" s="1" t="s">
        <v>27</v>
      </c>
      <c r="N1848" s="1" t="s">
        <v>464</v>
      </c>
      <c r="O1848" s="1" t="s">
        <v>57</v>
      </c>
      <c r="P1848" s="1" t="s">
        <v>2074</v>
      </c>
      <c r="Q1848" s="1" t="s">
        <v>2075</v>
      </c>
      <c r="R1848" s="1">
        <v>0.0</v>
      </c>
      <c r="S1848" s="1"/>
    </row>
    <row r="1849" ht="15.75" customHeight="1">
      <c r="A1849" s="1" t="s">
        <v>4385</v>
      </c>
      <c r="B1849" s="1" t="s">
        <v>4386</v>
      </c>
      <c r="C1849" s="1" t="s">
        <v>4387</v>
      </c>
      <c r="E1849" s="1">
        <v>22.6739665</v>
      </c>
      <c r="F1849" s="1">
        <v>88.3517978</v>
      </c>
      <c r="G1849" s="1" t="s">
        <v>54</v>
      </c>
      <c r="H1849" s="1" t="s">
        <v>55</v>
      </c>
      <c r="J1849" s="1" t="s">
        <v>56</v>
      </c>
      <c r="K1849" s="1" t="s">
        <v>26</v>
      </c>
      <c r="L1849" s="1" t="s">
        <v>27</v>
      </c>
      <c r="N1849" s="1" t="s">
        <v>532</v>
      </c>
      <c r="O1849" s="1" t="s">
        <v>57</v>
      </c>
      <c r="P1849" s="1" t="s">
        <v>3131</v>
      </c>
      <c r="Q1849" s="1" t="s">
        <v>3132</v>
      </c>
      <c r="R1849" s="1">
        <v>0.0</v>
      </c>
      <c r="S1849" s="1"/>
    </row>
    <row r="1850" ht="15.75" customHeight="1">
      <c r="A1850" s="1" t="s">
        <v>4388</v>
      </c>
      <c r="B1850" s="1" t="s">
        <v>4389</v>
      </c>
      <c r="C1850" s="1" t="s">
        <v>4390</v>
      </c>
      <c r="E1850" s="1">
        <v>25.8545947</v>
      </c>
      <c r="F1850" s="1">
        <v>85.77535739999999</v>
      </c>
      <c r="G1850" s="1" t="s">
        <v>54</v>
      </c>
      <c r="H1850" s="1" t="s">
        <v>55</v>
      </c>
      <c r="J1850" s="1" t="s">
        <v>56</v>
      </c>
      <c r="K1850" s="1" t="s">
        <v>26</v>
      </c>
      <c r="L1850" s="1" t="s">
        <v>27</v>
      </c>
      <c r="N1850" s="1" t="s">
        <v>498</v>
      </c>
      <c r="O1850" s="1" t="s">
        <v>57</v>
      </c>
      <c r="P1850" s="1" t="s">
        <v>3253</v>
      </c>
      <c r="Q1850" s="1" t="s">
        <v>3254</v>
      </c>
      <c r="R1850" s="1">
        <v>0.0</v>
      </c>
      <c r="S1850" s="1"/>
    </row>
    <row r="1851" ht="15.75" customHeight="1">
      <c r="A1851" s="1" t="s">
        <v>4391</v>
      </c>
      <c r="B1851" s="1" t="s">
        <v>4392</v>
      </c>
      <c r="C1851" s="1" t="s">
        <v>2401</v>
      </c>
      <c r="E1851" s="1">
        <v>12.2507082</v>
      </c>
      <c r="F1851" s="1">
        <v>79.0704076</v>
      </c>
      <c r="G1851" s="1" t="s">
        <v>54</v>
      </c>
      <c r="H1851" s="1" t="s">
        <v>55</v>
      </c>
      <c r="J1851" s="1" t="s">
        <v>56</v>
      </c>
      <c r="K1851" s="1" t="s">
        <v>26</v>
      </c>
      <c r="L1851" s="1" t="s">
        <v>27</v>
      </c>
      <c r="N1851" s="1" t="s">
        <v>1097</v>
      </c>
      <c r="O1851" s="1" t="s">
        <v>57</v>
      </c>
      <c r="P1851" s="1" t="s">
        <v>3219</v>
      </c>
      <c r="Q1851" s="1" t="s">
        <v>3220</v>
      </c>
      <c r="R1851" s="1">
        <v>0.0</v>
      </c>
      <c r="S1851" s="1"/>
    </row>
    <row r="1852" ht="15.75" customHeight="1">
      <c r="A1852" s="1" t="s">
        <v>4393</v>
      </c>
      <c r="B1852" s="1" t="s">
        <v>4394</v>
      </c>
      <c r="C1852" s="1" t="s">
        <v>4395</v>
      </c>
      <c r="E1852" s="1">
        <v>13.389652</v>
      </c>
      <c r="F1852" s="1">
        <v>78.04720499999999</v>
      </c>
      <c r="G1852" s="1" t="s">
        <v>54</v>
      </c>
      <c r="H1852" s="1" t="s">
        <v>55</v>
      </c>
      <c r="J1852" s="1" t="s">
        <v>56</v>
      </c>
      <c r="K1852" s="1" t="s">
        <v>26</v>
      </c>
      <c r="L1852" s="1" t="s">
        <v>27</v>
      </c>
      <c r="N1852" s="1" t="s">
        <v>743</v>
      </c>
      <c r="O1852" s="1" t="s">
        <v>57</v>
      </c>
      <c r="P1852" s="1" t="s">
        <v>1079</v>
      </c>
      <c r="Q1852" s="1" t="s">
        <v>1080</v>
      </c>
      <c r="R1852" s="1">
        <v>0.0</v>
      </c>
      <c r="S1852" s="1"/>
    </row>
    <row r="1853" ht="15.75" customHeight="1">
      <c r="A1853" s="1" t="s">
        <v>4396</v>
      </c>
      <c r="B1853" s="1" t="s">
        <v>4397</v>
      </c>
      <c r="C1853" s="1" t="s">
        <v>174</v>
      </c>
      <c r="E1853" s="1">
        <v>28.7066494</v>
      </c>
      <c r="F1853" s="1">
        <v>77.184349</v>
      </c>
      <c r="G1853" s="1" t="s">
        <v>54</v>
      </c>
      <c r="H1853" s="1" t="s">
        <v>55</v>
      </c>
      <c r="J1853" s="1" t="s">
        <v>56</v>
      </c>
      <c r="K1853" s="1" t="s">
        <v>26</v>
      </c>
      <c r="L1853" s="1" t="s">
        <v>27</v>
      </c>
      <c r="N1853" s="1" t="s">
        <v>174</v>
      </c>
      <c r="O1853" s="1" t="s">
        <v>57</v>
      </c>
      <c r="P1853" s="1" t="s">
        <v>1749</v>
      </c>
      <c r="Q1853" s="1" t="s">
        <v>1750</v>
      </c>
      <c r="R1853" s="1">
        <v>2.0</v>
      </c>
      <c r="S1853" s="1"/>
    </row>
    <row r="1854" ht="15.75" customHeight="1">
      <c r="A1854" s="1" t="s">
        <v>4398</v>
      </c>
      <c r="B1854" s="1" t="s">
        <v>4399</v>
      </c>
      <c r="C1854" s="1" t="s">
        <v>4400</v>
      </c>
      <c r="E1854" s="1">
        <v>29.806898</v>
      </c>
      <c r="F1854" s="1">
        <v>76.408818</v>
      </c>
      <c r="G1854" s="1" t="s">
        <v>54</v>
      </c>
      <c r="H1854" s="1" t="s">
        <v>55</v>
      </c>
      <c r="J1854" s="1" t="s">
        <v>56</v>
      </c>
      <c r="K1854" s="1" t="s">
        <v>26</v>
      </c>
      <c r="L1854" s="1" t="s">
        <v>27</v>
      </c>
      <c r="N1854" s="1" t="s">
        <v>163</v>
      </c>
      <c r="O1854" s="1" t="s">
        <v>57</v>
      </c>
      <c r="P1854" s="1" t="s">
        <v>938</v>
      </c>
      <c r="Q1854" s="1" t="s">
        <v>939</v>
      </c>
      <c r="R1854" s="1">
        <v>0.0</v>
      </c>
      <c r="S1854" s="1"/>
    </row>
    <row r="1855" ht="15.75" customHeight="1">
      <c r="A1855" s="1" t="s">
        <v>4401</v>
      </c>
      <c r="B1855" s="1" t="s">
        <v>4402</v>
      </c>
      <c r="C1855" s="1" t="s">
        <v>2041</v>
      </c>
      <c r="E1855" s="1">
        <v>18.9945909</v>
      </c>
      <c r="F1855" s="1">
        <v>75.753922</v>
      </c>
      <c r="G1855" s="1" t="s">
        <v>54</v>
      </c>
      <c r="H1855" s="1" t="s">
        <v>55</v>
      </c>
      <c r="J1855" s="1" t="s">
        <v>56</v>
      </c>
      <c r="K1855" s="1" t="s">
        <v>26</v>
      </c>
      <c r="L1855" s="1" t="s">
        <v>27</v>
      </c>
      <c r="N1855" s="1" t="s">
        <v>143</v>
      </c>
      <c r="O1855" s="1" t="s">
        <v>57</v>
      </c>
      <c r="P1855" s="1" t="s">
        <v>2239</v>
      </c>
      <c r="Q1855" s="1" t="s">
        <v>2240</v>
      </c>
      <c r="R1855" s="1">
        <v>0.0</v>
      </c>
      <c r="S1855" s="1"/>
    </row>
    <row r="1856" ht="15.75" customHeight="1">
      <c r="A1856" s="1" t="s">
        <v>4403</v>
      </c>
      <c r="B1856" s="1" t="s">
        <v>4404</v>
      </c>
      <c r="C1856" s="1" t="s">
        <v>1005</v>
      </c>
      <c r="E1856" s="1">
        <v>30.2267975</v>
      </c>
      <c r="F1856" s="1">
        <v>74.9550306</v>
      </c>
      <c r="G1856" s="1" t="s">
        <v>54</v>
      </c>
      <c r="H1856" s="1" t="s">
        <v>55</v>
      </c>
      <c r="J1856" s="1" t="s">
        <v>56</v>
      </c>
      <c r="K1856" s="1" t="s">
        <v>26</v>
      </c>
      <c r="L1856" s="1" t="s">
        <v>27</v>
      </c>
      <c r="N1856" s="1" t="s">
        <v>123</v>
      </c>
      <c r="O1856" s="1" t="s">
        <v>57</v>
      </c>
      <c r="P1856" s="1" t="s">
        <v>938</v>
      </c>
      <c r="Q1856" s="1" t="s">
        <v>939</v>
      </c>
      <c r="R1856" s="1">
        <v>0.0</v>
      </c>
      <c r="S1856" s="1"/>
    </row>
    <row r="1857" ht="15.75" customHeight="1">
      <c r="A1857" s="1" t="s">
        <v>4405</v>
      </c>
      <c r="B1857" s="1" t="s">
        <v>4406</v>
      </c>
      <c r="C1857" s="1" t="s">
        <v>1265</v>
      </c>
      <c r="E1857" s="1">
        <v>12.1190765</v>
      </c>
      <c r="F1857" s="1">
        <v>78.1571618</v>
      </c>
      <c r="G1857" s="1" t="s">
        <v>54</v>
      </c>
      <c r="H1857" s="1" t="s">
        <v>55</v>
      </c>
      <c r="J1857" s="1" t="s">
        <v>56</v>
      </c>
      <c r="K1857" s="1" t="s">
        <v>26</v>
      </c>
      <c r="L1857" s="1" t="s">
        <v>27</v>
      </c>
      <c r="N1857" s="1" t="s">
        <v>1097</v>
      </c>
      <c r="O1857" s="1" t="s">
        <v>57</v>
      </c>
      <c r="P1857" s="1" t="s">
        <v>3219</v>
      </c>
      <c r="Q1857" s="1" t="s">
        <v>3220</v>
      </c>
      <c r="R1857" s="1">
        <v>0.0</v>
      </c>
      <c r="S1857" s="1"/>
    </row>
    <row r="1858" ht="15.75" customHeight="1">
      <c r="A1858" s="1" t="s">
        <v>4407</v>
      </c>
      <c r="B1858" s="1" t="s">
        <v>4408</v>
      </c>
      <c r="C1858" s="1" t="s">
        <v>151</v>
      </c>
      <c r="E1858" s="1">
        <v>18.7232803</v>
      </c>
      <c r="F1858" s="1">
        <v>73.68305</v>
      </c>
      <c r="G1858" s="1" t="s">
        <v>54</v>
      </c>
      <c r="H1858" s="1" t="s">
        <v>55</v>
      </c>
      <c r="J1858" s="1" t="s">
        <v>56</v>
      </c>
      <c r="K1858" s="1" t="s">
        <v>26</v>
      </c>
      <c r="L1858" s="1" t="s">
        <v>27</v>
      </c>
      <c r="N1858" s="1" t="s">
        <v>143</v>
      </c>
      <c r="O1858" s="1" t="s">
        <v>57</v>
      </c>
      <c r="P1858" s="1" t="s">
        <v>3233</v>
      </c>
      <c r="Q1858" s="1" t="s">
        <v>3234</v>
      </c>
      <c r="R1858" s="1">
        <v>0.0</v>
      </c>
      <c r="S1858" s="1"/>
    </row>
    <row r="1859" ht="15.75" customHeight="1">
      <c r="A1859" s="1" t="s">
        <v>4409</v>
      </c>
      <c r="B1859" s="1" t="s">
        <v>4410</v>
      </c>
      <c r="C1859" s="1" t="s">
        <v>4411</v>
      </c>
      <c r="E1859" s="1">
        <v>16.1920939</v>
      </c>
      <c r="F1859" s="1">
        <v>77.3420888</v>
      </c>
      <c r="G1859" s="1" t="s">
        <v>54</v>
      </c>
      <c r="H1859" s="1" t="s">
        <v>55</v>
      </c>
      <c r="J1859" s="1" t="s">
        <v>56</v>
      </c>
      <c r="P1859" s="1" t="s">
        <v>1079</v>
      </c>
      <c r="Q1859" s="1" t="s">
        <v>1080</v>
      </c>
      <c r="R1859" s="1">
        <v>0.0</v>
      </c>
      <c r="S1859" s="1"/>
    </row>
    <row r="1860" ht="15.75" customHeight="1">
      <c r="A1860" s="1" t="s">
        <v>4412</v>
      </c>
      <c r="B1860" s="1" t="s">
        <v>4413</v>
      </c>
      <c r="C1860" s="1" t="s">
        <v>4414</v>
      </c>
      <c r="E1860" s="1">
        <v>25.5662631</v>
      </c>
      <c r="F1860" s="1">
        <v>83.97680059999999</v>
      </c>
      <c r="G1860" s="1" t="s">
        <v>54</v>
      </c>
      <c r="H1860" s="1" t="s">
        <v>55</v>
      </c>
      <c r="J1860" s="1" t="s">
        <v>56</v>
      </c>
      <c r="K1860" s="1" t="s">
        <v>26</v>
      </c>
      <c r="L1860" s="1" t="s">
        <v>27</v>
      </c>
      <c r="N1860" s="1" t="s">
        <v>498</v>
      </c>
      <c r="O1860" s="1" t="s">
        <v>57</v>
      </c>
      <c r="P1860" s="1" t="s">
        <v>3253</v>
      </c>
      <c r="Q1860" s="1" t="s">
        <v>3254</v>
      </c>
      <c r="R1860" s="1">
        <v>0.0</v>
      </c>
      <c r="S1860" s="1"/>
    </row>
    <row r="1861" ht="15.75" customHeight="1">
      <c r="A1861" s="1" t="s">
        <v>4415</v>
      </c>
      <c r="B1861" s="1" t="s">
        <v>4416</v>
      </c>
      <c r="C1861" s="1" t="s">
        <v>446</v>
      </c>
      <c r="E1861" s="1">
        <v>22.3399109</v>
      </c>
      <c r="F1861" s="1">
        <v>73.1786197</v>
      </c>
      <c r="G1861" s="1" t="s">
        <v>54</v>
      </c>
      <c r="H1861" s="1" t="s">
        <v>55</v>
      </c>
      <c r="J1861" s="1" t="s">
        <v>56</v>
      </c>
      <c r="K1861" s="1" t="s">
        <v>26</v>
      </c>
      <c r="L1861" s="1" t="s">
        <v>27</v>
      </c>
      <c r="N1861" s="1" t="s">
        <v>216</v>
      </c>
      <c r="O1861" s="1" t="s">
        <v>57</v>
      </c>
      <c r="P1861" s="1" t="s">
        <v>3342</v>
      </c>
      <c r="Q1861" s="1" t="s">
        <v>3343</v>
      </c>
      <c r="R1861" s="1">
        <v>0.0</v>
      </c>
      <c r="S1861" s="1"/>
    </row>
    <row r="1862" ht="15.75" customHeight="1">
      <c r="A1862" s="1" t="s">
        <v>4417</v>
      </c>
      <c r="B1862" s="1" t="s">
        <v>4418</v>
      </c>
      <c r="C1862" s="1" t="s">
        <v>1078</v>
      </c>
      <c r="E1862" s="1">
        <v>12.9071152</v>
      </c>
      <c r="F1862" s="1">
        <v>77.5455614</v>
      </c>
      <c r="G1862" s="1" t="s">
        <v>54</v>
      </c>
      <c r="H1862" s="1" t="s">
        <v>55</v>
      </c>
      <c r="J1862" s="1" t="s">
        <v>56</v>
      </c>
      <c r="K1862" s="1" t="s">
        <v>26</v>
      </c>
      <c r="L1862" s="1" t="s">
        <v>27</v>
      </c>
      <c r="N1862" s="1" t="s">
        <v>743</v>
      </c>
      <c r="O1862" s="1" t="s">
        <v>57</v>
      </c>
      <c r="P1862" s="1" t="s">
        <v>1079</v>
      </c>
      <c r="Q1862" s="1" t="s">
        <v>1080</v>
      </c>
      <c r="R1862" s="1">
        <v>2.0</v>
      </c>
      <c r="S1862" s="1"/>
    </row>
    <row r="1863" ht="15.75" customHeight="1">
      <c r="A1863" s="1" t="s">
        <v>4419</v>
      </c>
      <c r="B1863" s="1" t="s">
        <v>4420</v>
      </c>
      <c r="C1863" s="1" t="s">
        <v>505</v>
      </c>
      <c r="E1863" s="1">
        <v>23.7853674</v>
      </c>
      <c r="F1863" s="1">
        <v>86.4171356</v>
      </c>
      <c r="G1863" s="1" t="s">
        <v>54</v>
      </c>
      <c r="H1863" s="1" t="s">
        <v>55</v>
      </c>
      <c r="J1863" s="1" t="s">
        <v>56</v>
      </c>
      <c r="K1863" s="1" t="s">
        <v>26</v>
      </c>
      <c r="L1863" s="1" t="s">
        <v>27</v>
      </c>
      <c r="N1863" s="1" t="s">
        <v>506</v>
      </c>
      <c r="O1863" s="1" t="s">
        <v>57</v>
      </c>
      <c r="P1863" s="1" t="s">
        <v>3253</v>
      </c>
      <c r="Q1863" s="1" t="s">
        <v>3254</v>
      </c>
      <c r="R1863" s="1">
        <v>0.0</v>
      </c>
      <c r="S1863" s="1"/>
    </row>
    <row r="1864" ht="15.75" customHeight="1">
      <c r="A1864" s="1" t="s">
        <v>4421</v>
      </c>
      <c r="B1864" s="1" t="s">
        <v>4422</v>
      </c>
      <c r="C1864" s="1" t="s">
        <v>1274</v>
      </c>
      <c r="E1864" s="1">
        <v>16.2980419</v>
      </c>
      <c r="F1864" s="1">
        <v>80.4491144</v>
      </c>
      <c r="G1864" s="1" t="s">
        <v>54</v>
      </c>
      <c r="H1864" s="1" t="s">
        <v>55</v>
      </c>
      <c r="J1864" s="1" t="s">
        <v>56</v>
      </c>
      <c r="K1864" s="1" t="s">
        <v>26</v>
      </c>
      <c r="L1864" s="1" t="s">
        <v>27</v>
      </c>
      <c r="N1864" s="1" t="s">
        <v>464</v>
      </c>
      <c r="O1864" s="1" t="s">
        <v>57</v>
      </c>
      <c r="P1864" s="1" t="s">
        <v>2074</v>
      </c>
      <c r="Q1864" s="1" t="s">
        <v>2075</v>
      </c>
      <c r="R1864" s="1">
        <v>0.0</v>
      </c>
      <c r="S1864" s="1"/>
    </row>
    <row r="1865" ht="15.75" customHeight="1">
      <c r="A1865" s="1" t="s">
        <v>4423</v>
      </c>
      <c r="B1865" s="1" t="s">
        <v>4424</v>
      </c>
      <c r="C1865" s="1" t="s">
        <v>4425</v>
      </c>
      <c r="E1865" s="1">
        <v>25.993181</v>
      </c>
      <c r="F1865" s="1">
        <v>79.455221</v>
      </c>
      <c r="G1865" s="1" t="s">
        <v>54</v>
      </c>
      <c r="H1865" s="1" t="s">
        <v>55</v>
      </c>
      <c r="J1865" s="1" t="s">
        <v>56</v>
      </c>
      <c r="K1865" s="1" t="s">
        <v>26</v>
      </c>
      <c r="L1865" s="1" t="s">
        <v>27</v>
      </c>
      <c r="N1865" s="1" t="s">
        <v>28</v>
      </c>
      <c r="O1865" s="1" t="s">
        <v>57</v>
      </c>
      <c r="P1865" s="1" t="s">
        <v>733</v>
      </c>
      <c r="Q1865" s="1" t="s">
        <v>734</v>
      </c>
      <c r="R1865" s="1">
        <v>0.0</v>
      </c>
      <c r="S1865" s="1"/>
    </row>
    <row r="1866" ht="15.75" customHeight="1">
      <c r="A1866" s="1" t="s">
        <v>4426</v>
      </c>
      <c r="B1866" s="1" t="s">
        <v>4427</v>
      </c>
      <c r="C1866" s="1" t="s">
        <v>1078</v>
      </c>
      <c r="E1866" s="1">
        <v>13.0683669</v>
      </c>
      <c r="F1866" s="1">
        <v>77.5599739</v>
      </c>
      <c r="G1866" s="1" t="s">
        <v>54</v>
      </c>
      <c r="H1866" s="1" t="s">
        <v>55</v>
      </c>
      <c r="J1866" s="1" t="s">
        <v>56</v>
      </c>
      <c r="K1866" s="1" t="s">
        <v>26</v>
      </c>
      <c r="L1866" s="1" t="s">
        <v>27</v>
      </c>
      <c r="N1866" s="1" t="s">
        <v>743</v>
      </c>
      <c r="O1866" s="1" t="s">
        <v>57</v>
      </c>
      <c r="P1866" s="1" t="s">
        <v>1079</v>
      </c>
      <c r="Q1866" s="1" t="s">
        <v>1080</v>
      </c>
      <c r="R1866" s="1">
        <v>0.0</v>
      </c>
      <c r="S1866" s="1"/>
    </row>
    <row r="1867" ht="15.75" customHeight="1">
      <c r="A1867" s="1" t="s">
        <v>4428</v>
      </c>
      <c r="B1867" s="1" t="s">
        <v>4429</v>
      </c>
      <c r="C1867" s="1" t="s">
        <v>148</v>
      </c>
      <c r="E1867" s="1">
        <v>19.230086</v>
      </c>
      <c r="F1867" s="1">
        <v>73.12384329999999</v>
      </c>
      <c r="G1867" s="1" t="s">
        <v>54</v>
      </c>
      <c r="H1867" s="1" t="s">
        <v>55</v>
      </c>
      <c r="J1867" s="1" t="s">
        <v>56</v>
      </c>
      <c r="K1867" s="1" t="s">
        <v>26</v>
      </c>
      <c r="L1867" s="1" t="s">
        <v>27</v>
      </c>
      <c r="N1867" s="1" t="s">
        <v>143</v>
      </c>
      <c r="O1867" s="1" t="s">
        <v>57</v>
      </c>
      <c r="P1867" s="1" t="s">
        <v>2300</v>
      </c>
      <c r="Q1867" s="1" t="s">
        <v>2301</v>
      </c>
      <c r="R1867" s="1">
        <v>0.0</v>
      </c>
      <c r="S1867" s="1"/>
    </row>
    <row r="1868" ht="15.75" customHeight="1">
      <c r="A1868" s="1" t="s">
        <v>4430</v>
      </c>
      <c r="B1868" s="1" t="s">
        <v>4431</v>
      </c>
      <c r="C1868" s="1" t="s">
        <v>185</v>
      </c>
      <c r="E1868" s="1">
        <v>17.3847587</v>
      </c>
      <c r="F1868" s="1">
        <v>78.3589847</v>
      </c>
      <c r="G1868" s="1" t="s">
        <v>54</v>
      </c>
      <c r="H1868" s="1" t="s">
        <v>55</v>
      </c>
      <c r="J1868" s="1" t="s">
        <v>56</v>
      </c>
      <c r="K1868" s="1" t="s">
        <v>26</v>
      </c>
      <c r="L1868" s="1" t="s">
        <v>27</v>
      </c>
      <c r="N1868" s="1" t="s">
        <v>186</v>
      </c>
      <c r="O1868" s="1" t="s">
        <v>57</v>
      </c>
      <c r="P1868" s="1" t="s">
        <v>2074</v>
      </c>
      <c r="Q1868" s="1" t="s">
        <v>2075</v>
      </c>
      <c r="R1868" s="1">
        <v>1.0</v>
      </c>
      <c r="S1868" s="1"/>
    </row>
    <row r="1869" ht="15.75" customHeight="1">
      <c r="A1869" s="1" t="s">
        <v>4432</v>
      </c>
      <c r="B1869" s="1" t="s">
        <v>4433</v>
      </c>
      <c r="C1869" s="1" t="s">
        <v>2083</v>
      </c>
      <c r="E1869" s="1">
        <v>16.8604214</v>
      </c>
      <c r="F1869" s="1">
        <v>74.569846</v>
      </c>
      <c r="G1869" s="1" t="s">
        <v>54</v>
      </c>
      <c r="H1869" s="1" t="s">
        <v>55</v>
      </c>
      <c r="J1869" s="1" t="s">
        <v>56</v>
      </c>
      <c r="K1869" s="1" t="s">
        <v>26</v>
      </c>
      <c r="L1869" s="1" t="s">
        <v>27</v>
      </c>
      <c r="N1869" s="1" t="s">
        <v>143</v>
      </c>
      <c r="O1869" s="1" t="s">
        <v>57</v>
      </c>
      <c r="P1869" s="1" t="s">
        <v>2239</v>
      </c>
      <c r="Q1869" s="1" t="s">
        <v>2240</v>
      </c>
      <c r="R1869" s="1">
        <v>0.0</v>
      </c>
      <c r="S1869" s="1"/>
    </row>
    <row r="1870" ht="15.75" customHeight="1">
      <c r="A1870" s="1" t="s">
        <v>4434</v>
      </c>
      <c r="B1870" s="1" t="s">
        <v>4435</v>
      </c>
      <c r="C1870" s="1" t="s">
        <v>242</v>
      </c>
      <c r="E1870" s="1">
        <v>21.1821576</v>
      </c>
      <c r="F1870" s="1">
        <v>72.8307354</v>
      </c>
      <c r="G1870" s="1" t="s">
        <v>54</v>
      </c>
      <c r="H1870" s="1" t="s">
        <v>55</v>
      </c>
      <c r="J1870" s="1" t="s">
        <v>56</v>
      </c>
      <c r="K1870" s="1" t="s">
        <v>26</v>
      </c>
      <c r="L1870" s="1" t="s">
        <v>27</v>
      </c>
      <c r="N1870" s="1" t="s">
        <v>216</v>
      </c>
      <c r="O1870" s="1" t="s">
        <v>57</v>
      </c>
      <c r="P1870" s="1" t="s">
        <v>3342</v>
      </c>
      <c r="Q1870" s="1" t="s">
        <v>3343</v>
      </c>
      <c r="R1870" s="1">
        <v>6.0</v>
      </c>
      <c r="S1870" s="1"/>
    </row>
    <row r="1871" ht="15.75" customHeight="1">
      <c r="A1871" s="1" t="s">
        <v>4436</v>
      </c>
      <c r="B1871" s="1" t="s">
        <v>4437</v>
      </c>
      <c r="C1871" s="1" t="s">
        <v>4438</v>
      </c>
      <c r="E1871" s="1">
        <v>29.9241731</v>
      </c>
      <c r="F1871" s="1">
        <v>73.8748983</v>
      </c>
      <c r="G1871" s="1" t="s">
        <v>54</v>
      </c>
      <c r="H1871" s="1" t="s">
        <v>55</v>
      </c>
      <c r="J1871" s="1" t="s">
        <v>56</v>
      </c>
      <c r="K1871" s="1" t="s">
        <v>26</v>
      </c>
      <c r="L1871" s="1" t="s">
        <v>27</v>
      </c>
      <c r="N1871" s="1" t="s">
        <v>849</v>
      </c>
      <c r="O1871" s="1" t="s">
        <v>57</v>
      </c>
      <c r="P1871" s="1" t="s">
        <v>887</v>
      </c>
      <c r="Q1871" s="1" t="s">
        <v>888</v>
      </c>
      <c r="R1871" s="1">
        <v>0.0</v>
      </c>
      <c r="S1871" s="1"/>
    </row>
    <row r="1872" ht="15.75" customHeight="1">
      <c r="A1872" s="1" t="s">
        <v>4439</v>
      </c>
      <c r="B1872" s="1" t="s">
        <v>4440</v>
      </c>
      <c r="C1872" s="1" t="s">
        <v>4441</v>
      </c>
      <c r="E1872" s="1">
        <v>23.080931</v>
      </c>
      <c r="F1872" s="1">
        <v>88.540098</v>
      </c>
      <c r="G1872" s="1" t="s">
        <v>54</v>
      </c>
      <c r="H1872" s="1" t="s">
        <v>55</v>
      </c>
      <c r="J1872" s="1" t="s">
        <v>56</v>
      </c>
      <c r="K1872" s="1" t="s">
        <v>26</v>
      </c>
      <c r="L1872" s="1" t="s">
        <v>27</v>
      </c>
      <c r="N1872" s="1" t="s">
        <v>163</v>
      </c>
      <c r="O1872" s="1" t="s">
        <v>57</v>
      </c>
      <c r="P1872" s="1" t="s">
        <v>3131</v>
      </c>
      <c r="Q1872" s="1" t="s">
        <v>3132</v>
      </c>
      <c r="R1872" s="1">
        <v>0.0</v>
      </c>
      <c r="S1872" s="1"/>
    </row>
    <row r="1873" ht="15.75" customHeight="1">
      <c r="A1873" s="1" t="s">
        <v>4442</v>
      </c>
      <c r="B1873" s="1" t="s">
        <v>4443</v>
      </c>
      <c r="C1873" s="1" t="s">
        <v>1274</v>
      </c>
      <c r="E1873" s="1">
        <v>16.3092341</v>
      </c>
      <c r="F1873" s="1">
        <v>80.4316833</v>
      </c>
      <c r="G1873" s="1" t="s">
        <v>54</v>
      </c>
      <c r="H1873" s="1" t="s">
        <v>55</v>
      </c>
      <c r="J1873" s="1" t="s">
        <v>56</v>
      </c>
      <c r="K1873" s="1" t="s">
        <v>26</v>
      </c>
      <c r="L1873" s="1" t="s">
        <v>27</v>
      </c>
      <c r="N1873" s="1" t="s">
        <v>464</v>
      </c>
      <c r="O1873" s="1" t="s">
        <v>57</v>
      </c>
      <c r="P1873" s="1" t="s">
        <v>2074</v>
      </c>
      <c r="Q1873" s="1" t="s">
        <v>2075</v>
      </c>
      <c r="R1873" s="1">
        <v>0.0</v>
      </c>
      <c r="S1873" s="1"/>
    </row>
    <row r="1874" ht="15.75" customHeight="1">
      <c r="A1874" s="1" t="s">
        <v>4444</v>
      </c>
      <c r="B1874" s="1" t="s">
        <v>4445</v>
      </c>
      <c r="C1874" s="1" t="s">
        <v>617</v>
      </c>
      <c r="E1874" s="1">
        <v>26.8797383</v>
      </c>
      <c r="F1874" s="1">
        <v>80.9468334</v>
      </c>
      <c r="G1874" s="1" t="s">
        <v>54</v>
      </c>
      <c r="H1874" s="1" t="s">
        <v>55</v>
      </c>
      <c r="J1874" s="1" t="s">
        <v>56</v>
      </c>
      <c r="K1874" s="1" t="s">
        <v>26</v>
      </c>
      <c r="L1874" s="1" t="s">
        <v>27</v>
      </c>
      <c r="N1874" s="1" t="s">
        <v>28</v>
      </c>
      <c r="O1874" s="1" t="s">
        <v>57</v>
      </c>
      <c r="P1874" s="1" t="s">
        <v>733</v>
      </c>
      <c r="Q1874" s="1" t="s">
        <v>734</v>
      </c>
      <c r="R1874" s="1">
        <v>4.0</v>
      </c>
      <c r="S1874" s="1"/>
    </row>
    <row r="1875" ht="15.75" customHeight="1">
      <c r="A1875" s="1" t="s">
        <v>4446</v>
      </c>
      <c r="B1875" s="1" t="s">
        <v>4447</v>
      </c>
      <c r="C1875" s="1" t="s">
        <v>899</v>
      </c>
      <c r="E1875" s="1">
        <v>24.5604351</v>
      </c>
      <c r="F1875" s="1">
        <v>73.69369309999999</v>
      </c>
      <c r="G1875" s="1" t="s">
        <v>54</v>
      </c>
      <c r="H1875" s="1" t="s">
        <v>55</v>
      </c>
      <c r="J1875" s="1" t="s">
        <v>56</v>
      </c>
      <c r="K1875" s="1" t="s">
        <v>26</v>
      </c>
      <c r="L1875" s="1" t="s">
        <v>27</v>
      </c>
      <c r="N1875" s="1" t="s">
        <v>900</v>
      </c>
      <c r="O1875" s="1" t="s">
        <v>57</v>
      </c>
      <c r="P1875" s="1" t="s">
        <v>887</v>
      </c>
      <c r="Q1875" s="1" t="s">
        <v>888</v>
      </c>
      <c r="R1875" s="1">
        <v>0.0</v>
      </c>
      <c r="S1875" s="1"/>
    </row>
    <row r="1876" ht="15.75" customHeight="1">
      <c r="A1876" s="1" t="s">
        <v>4448</v>
      </c>
      <c r="B1876" s="1" t="s">
        <v>4449</v>
      </c>
      <c r="C1876" s="1" t="s">
        <v>1138</v>
      </c>
      <c r="E1876" s="1">
        <v>11.00222</v>
      </c>
      <c r="F1876" s="1">
        <v>77.0284303</v>
      </c>
      <c r="G1876" s="1" t="s">
        <v>54</v>
      </c>
      <c r="H1876" s="1" t="s">
        <v>55</v>
      </c>
      <c r="J1876" s="1" t="s">
        <v>56</v>
      </c>
      <c r="K1876" s="1" t="s">
        <v>26</v>
      </c>
      <c r="L1876" s="1" t="s">
        <v>27</v>
      </c>
      <c r="N1876" s="1" t="s">
        <v>1097</v>
      </c>
      <c r="O1876" s="1" t="s">
        <v>57</v>
      </c>
      <c r="P1876" s="1" t="s">
        <v>3219</v>
      </c>
      <c r="Q1876" s="1" t="s">
        <v>3220</v>
      </c>
      <c r="R1876" s="1">
        <v>0.0</v>
      </c>
      <c r="S1876" s="1"/>
    </row>
    <row r="1877" ht="15.75" customHeight="1">
      <c r="A1877" s="1" t="s">
        <v>4450</v>
      </c>
      <c r="B1877" s="1" t="s">
        <v>4451</v>
      </c>
      <c r="C1877" s="1" t="s">
        <v>1994</v>
      </c>
      <c r="E1877" s="1">
        <v>22.0993291</v>
      </c>
      <c r="F1877" s="1">
        <v>82.1536706</v>
      </c>
      <c r="G1877" s="1" t="s">
        <v>54</v>
      </c>
      <c r="H1877" s="1" t="s">
        <v>55</v>
      </c>
      <c r="J1877" s="1" t="s">
        <v>56</v>
      </c>
      <c r="K1877" s="1" t="s">
        <v>26</v>
      </c>
      <c r="L1877" s="1" t="s">
        <v>27</v>
      </c>
      <c r="N1877" s="1" t="s">
        <v>1989</v>
      </c>
      <c r="O1877" s="1" t="s">
        <v>57</v>
      </c>
      <c r="P1877" s="1" t="s">
        <v>3243</v>
      </c>
      <c r="Q1877" s="1" t="s">
        <v>3244</v>
      </c>
      <c r="R1877" s="1">
        <v>0.0</v>
      </c>
      <c r="S1877" s="1"/>
    </row>
    <row r="1878" ht="15.75" customHeight="1">
      <c r="A1878" s="1" t="s">
        <v>4452</v>
      </c>
      <c r="B1878" s="1" t="s">
        <v>4453</v>
      </c>
      <c r="C1878" s="1" t="s">
        <v>4454</v>
      </c>
      <c r="E1878" s="1">
        <v>23.5525803</v>
      </c>
      <c r="F1878" s="1">
        <v>87.27156280000001</v>
      </c>
      <c r="G1878" s="1" t="s">
        <v>54</v>
      </c>
      <c r="H1878" s="1" t="s">
        <v>55</v>
      </c>
      <c r="J1878" s="1" t="s">
        <v>56</v>
      </c>
      <c r="K1878" s="1" t="s">
        <v>26</v>
      </c>
      <c r="L1878" s="1" t="s">
        <v>27</v>
      </c>
      <c r="N1878" s="1" t="s">
        <v>532</v>
      </c>
      <c r="O1878" s="1" t="s">
        <v>57</v>
      </c>
      <c r="P1878" s="1" t="s">
        <v>3131</v>
      </c>
      <c r="Q1878" s="1" t="s">
        <v>3132</v>
      </c>
      <c r="R1878" s="1">
        <v>0.0</v>
      </c>
      <c r="S1878" s="1"/>
    </row>
    <row r="1879" ht="15.75" customHeight="1">
      <c r="A1879" s="1" t="s">
        <v>4455</v>
      </c>
      <c r="B1879" s="1" t="s">
        <v>4456</v>
      </c>
      <c r="C1879" s="1" t="s">
        <v>4457</v>
      </c>
      <c r="E1879" s="1">
        <v>16.2348784</v>
      </c>
      <c r="F1879" s="1">
        <v>80.65041269999999</v>
      </c>
      <c r="G1879" s="1" t="s">
        <v>54</v>
      </c>
      <c r="H1879" s="1" t="s">
        <v>55</v>
      </c>
      <c r="J1879" s="1" t="s">
        <v>56</v>
      </c>
      <c r="K1879" s="1" t="s">
        <v>26</v>
      </c>
      <c r="L1879" s="1" t="s">
        <v>27</v>
      </c>
      <c r="N1879" s="1" t="s">
        <v>464</v>
      </c>
      <c r="O1879" s="1" t="s">
        <v>57</v>
      </c>
      <c r="P1879" s="1" t="s">
        <v>2074</v>
      </c>
      <c r="Q1879" s="1" t="s">
        <v>2075</v>
      </c>
      <c r="R1879" s="1">
        <v>0.0</v>
      </c>
      <c r="S1879" s="1"/>
    </row>
    <row r="1880" ht="15.75" customHeight="1">
      <c r="A1880" s="1" t="s">
        <v>4458</v>
      </c>
      <c r="B1880" s="1" t="s">
        <v>4459</v>
      </c>
      <c r="C1880" s="1" t="s">
        <v>174</v>
      </c>
      <c r="E1880" s="1">
        <v>28.638209</v>
      </c>
      <c r="F1880" s="1">
        <v>77.29039499999999</v>
      </c>
      <c r="G1880" s="1" t="s">
        <v>54</v>
      </c>
      <c r="H1880" s="1" t="s">
        <v>55</v>
      </c>
      <c r="J1880" s="1" t="s">
        <v>56</v>
      </c>
      <c r="K1880" s="1" t="s">
        <v>26</v>
      </c>
      <c r="L1880" s="1" t="s">
        <v>27</v>
      </c>
      <c r="N1880" s="1" t="s">
        <v>174</v>
      </c>
      <c r="O1880" s="1" t="s">
        <v>57</v>
      </c>
      <c r="P1880" s="1" t="s">
        <v>1749</v>
      </c>
      <c r="Q1880" s="1" t="s">
        <v>1750</v>
      </c>
      <c r="R1880" s="1">
        <v>1.0</v>
      </c>
      <c r="S1880" s="1"/>
    </row>
    <row r="1881" ht="15.75" customHeight="1">
      <c r="A1881" s="1" t="s">
        <v>4460</v>
      </c>
      <c r="B1881" s="1" t="s">
        <v>4461</v>
      </c>
      <c r="C1881" s="1" t="s">
        <v>1121</v>
      </c>
      <c r="E1881" s="1">
        <v>12.3127928</v>
      </c>
      <c r="F1881" s="1">
        <v>76.6583113</v>
      </c>
      <c r="G1881" s="1" t="s">
        <v>54</v>
      </c>
      <c r="H1881" s="1" t="s">
        <v>55</v>
      </c>
      <c r="J1881" s="1" t="s">
        <v>56</v>
      </c>
      <c r="K1881" s="1" t="s">
        <v>26</v>
      </c>
      <c r="L1881" s="1" t="s">
        <v>27</v>
      </c>
      <c r="N1881" s="1" t="s">
        <v>743</v>
      </c>
      <c r="O1881" s="1" t="s">
        <v>57</v>
      </c>
      <c r="P1881" s="1" t="s">
        <v>1079</v>
      </c>
      <c r="Q1881" s="1" t="s">
        <v>1080</v>
      </c>
      <c r="R1881" s="1">
        <v>0.0</v>
      </c>
      <c r="S1881" s="1"/>
    </row>
    <row r="1882" ht="15.75" customHeight="1">
      <c r="A1882" s="1" t="s">
        <v>4462</v>
      </c>
      <c r="B1882" s="1" t="s">
        <v>4463</v>
      </c>
      <c r="C1882" s="1" t="s">
        <v>4464</v>
      </c>
      <c r="E1882" s="1">
        <v>11.2364585</v>
      </c>
      <c r="F1882" s="1">
        <v>78.1652063</v>
      </c>
      <c r="G1882" s="1" t="s">
        <v>54</v>
      </c>
      <c r="H1882" s="1" t="s">
        <v>55</v>
      </c>
      <c r="J1882" s="1" t="s">
        <v>56</v>
      </c>
      <c r="K1882" s="1" t="s">
        <v>26</v>
      </c>
      <c r="L1882" s="1" t="s">
        <v>27</v>
      </c>
      <c r="N1882" s="1" t="s">
        <v>1097</v>
      </c>
      <c r="O1882" s="1" t="s">
        <v>57</v>
      </c>
      <c r="P1882" s="1" t="s">
        <v>3219</v>
      </c>
      <c r="Q1882" s="1" t="s">
        <v>3220</v>
      </c>
      <c r="R1882" s="1">
        <v>0.0</v>
      </c>
      <c r="S1882" s="1"/>
    </row>
    <row r="1883" ht="15.75" customHeight="1">
      <c r="A1883" s="1" t="s">
        <v>4465</v>
      </c>
      <c r="B1883" s="1" t="s">
        <v>4466</v>
      </c>
      <c r="C1883" s="1" t="s">
        <v>185</v>
      </c>
      <c r="E1883" s="1">
        <v>17.5379407</v>
      </c>
      <c r="F1883" s="1">
        <v>78.4897192</v>
      </c>
      <c r="G1883" s="1" t="s">
        <v>54</v>
      </c>
      <c r="H1883" s="1" t="s">
        <v>55</v>
      </c>
      <c r="J1883" s="1" t="s">
        <v>56</v>
      </c>
      <c r="K1883" s="1" t="s">
        <v>26</v>
      </c>
      <c r="L1883" s="1" t="s">
        <v>27</v>
      </c>
      <c r="N1883" s="1" t="s">
        <v>186</v>
      </c>
      <c r="O1883" s="1" t="s">
        <v>57</v>
      </c>
      <c r="P1883" s="1" t="s">
        <v>2074</v>
      </c>
      <c r="Q1883" s="1" t="s">
        <v>2075</v>
      </c>
      <c r="R1883" s="1">
        <v>0.0</v>
      </c>
      <c r="S1883" s="1"/>
    </row>
    <row r="1884" ht="15.75" customHeight="1">
      <c r="A1884" s="1" t="s">
        <v>4467</v>
      </c>
      <c r="B1884" s="1" t="s">
        <v>4468</v>
      </c>
      <c r="C1884" s="1" t="s">
        <v>148</v>
      </c>
      <c r="E1884" s="1">
        <v>19.1662187</v>
      </c>
      <c r="F1884" s="1">
        <v>73.2436051</v>
      </c>
      <c r="G1884" s="1" t="s">
        <v>54</v>
      </c>
      <c r="H1884" s="1" t="s">
        <v>55</v>
      </c>
      <c r="J1884" s="1" t="s">
        <v>56</v>
      </c>
      <c r="K1884" s="1" t="s">
        <v>26</v>
      </c>
      <c r="L1884" s="1" t="s">
        <v>27</v>
      </c>
      <c r="N1884" s="1" t="s">
        <v>143</v>
      </c>
      <c r="O1884" s="1" t="s">
        <v>57</v>
      </c>
      <c r="P1884" s="1" t="s">
        <v>2300</v>
      </c>
      <c r="Q1884" s="1" t="s">
        <v>2301</v>
      </c>
      <c r="R1884" s="1">
        <v>0.0</v>
      </c>
      <c r="S1884" s="1"/>
    </row>
    <row r="1885" ht="15.75" customHeight="1">
      <c r="A1885" s="1" t="s">
        <v>4469</v>
      </c>
      <c r="B1885" s="1" t="s">
        <v>4470</v>
      </c>
      <c r="C1885" s="1" t="s">
        <v>768</v>
      </c>
      <c r="E1885" s="1">
        <v>23.1240588</v>
      </c>
      <c r="F1885" s="1">
        <v>79.9272996</v>
      </c>
      <c r="G1885" s="1" t="s">
        <v>54</v>
      </c>
      <c r="H1885" s="1" t="s">
        <v>55</v>
      </c>
      <c r="J1885" s="1" t="s">
        <v>56</v>
      </c>
      <c r="K1885" s="1" t="s">
        <v>26</v>
      </c>
      <c r="L1885" s="1" t="s">
        <v>27</v>
      </c>
      <c r="N1885" s="1" t="s">
        <v>732</v>
      </c>
      <c r="O1885" s="1" t="s">
        <v>57</v>
      </c>
      <c r="P1885" s="1" t="s">
        <v>3243</v>
      </c>
      <c r="Q1885" s="1" t="s">
        <v>3244</v>
      </c>
      <c r="R1885" s="1">
        <v>0.0</v>
      </c>
      <c r="S1885" s="1"/>
    </row>
    <row r="1886" ht="15.75" customHeight="1">
      <c r="A1886" s="1" t="s">
        <v>4471</v>
      </c>
      <c r="B1886" s="1" t="s">
        <v>4472</v>
      </c>
      <c r="C1886" s="1" t="s">
        <v>848</v>
      </c>
      <c r="E1886" s="1">
        <v>26.8978449</v>
      </c>
      <c r="F1886" s="1">
        <v>75.82450270000001</v>
      </c>
      <c r="G1886" s="1" t="s">
        <v>54</v>
      </c>
      <c r="H1886" s="1" t="s">
        <v>55</v>
      </c>
      <c r="J1886" s="1" t="s">
        <v>56</v>
      </c>
      <c r="K1886" s="1" t="s">
        <v>26</v>
      </c>
      <c r="L1886" s="1" t="s">
        <v>27</v>
      </c>
      <c r="N1886" s="1" t="s">
        <v>849</v>
      </c>
      <c r="O1886" s="1" t="s">
        <v>57</v>
      </c>
      <c r="P1886" s="1" t="s">
        <v>887</v>
      </c>
      <c r="Q1886" s="1" t="s">
        <v>888</v>
      </c>
      <c r="R1886" s="1">
        <v>0.0</v>
      </c>
      <c r="S1886" s="1"/>
    </row>
    <row r="1887" ht="15.75" customHeight="1">
      <c r="A1887" s="1" t="s">
        <v>4473</v>
      </c>
      <c r="B1887" s="1" t="s">
        <v>4474</v>
      </c>
      <c r="C1887" s="1" t="s">
        <v>4475</v>
      </c>
      <c r="E1887" s="1">
        <v>16.438136</v>
      </c>
      <c r="F1887" s="1">
        <v>80.992294</v>
      </c>
      <c r="G1887" s="1" t="s">
        <v>54</v>
      </c>
      <c r="H1887" s="1" t="s">
        <v>55</v>
      </c>
      <c r="J1887" s="1" t="s">
        <v>56</v>
      </c>
      <c r="K1887" s="1" t="s">
        <v>26</v>
      </c>
      <c r="L1887" s="1" t="s">
        <v>27</v>
      </c>
      <c r="N1887" s="1" t="s">
        <v>464</v>
      </c>
      <c r="O1887" s="1" t="s">
        <v>57</v>
      </c>
      <c r="P1887" s="1" t="s">
        <v>2074</v>
      </c>
      <c r="Q1887" s="1" t="s">
        <v>2075</v>
      </c>
      <c r="R1887" s="1">
        <v>0.0</v>
      </c>
      <c r="S1887" s="1"/>
    </row>
    <row r="1888" ht="15.75" customHeight="1">
      <c r="A1888" s="1" t="s">
        <v>4476</v>
      </c>
      <c r="B1888" s="1" t="s">
        <v>4477</v>
      </c>
      <c r="C1888" s="1" t="s">
        <v>4478</v>
      </c>
      <c r="E1888" s="1">
        <v>23.630717</v>
      </c>
      <c r="F1888" s="1">
        <v>85.51333749999999</v>
      </c>
      <c r="G1888" s="1" t="s">
        <v>54</v>
      </c>
      <c r="H1888" s="1" t="s">
        <v>55</v>
      </c>
      <c r="J1888" s="1" t="s">
        <v>56</v>
      </c>
      <c r="K1888" s="1" t="s">
        <v>26</v>
      </c>
      <c r="L1888" s="1" t="s">
        <v>27</v>
      </c>
      <c r="N1888" s="1" t="s">
        <v>506</v>
      </c>
      <c r="O1888" s="1" t="s">
        <v>57</v>
      </c>
      <c r="P1888" s="1" t="s">
        <v>3253</v>
      </c>
      <c r="Q1888" s="1" t="s">
        <v>3254</v>
      </c>
      <c r="R1888" s="1">
        <v>0.0</v>
      </c>
      <c r="S1888" s="1"/>
    </row>
    <row r="1889" ht="15.75" customHeight="1">
      <c r="A1889" s="1" t="s">
        <v>4479</v>
      </c>
      <c r="B1889" s="1" t="s">
        <v>4480</v>
      </c>
      <c r="C1889" s="1" t="s">
        <v>520</v>
      </c>
      <c r="E1889" s="1">
        <v>26.107109</v>
      </c>
      <c r="F1889" s="1">
        <v>85.397065</v>
      </c>
      <c r="G1889" s="1" t="s">
        <v>54</v>
      </c>
      <c r="H1889" s="1" t="s">
        <v>55</v>
      </c>
      <c r="J1889" s="1" t="s">
        <v>56</v>
      </c>
      <c r="K1889" s="1" t="s">
        <v>26</v>
      </c>
      <c r="L1889" s="1" t="s">
        <v>27</v>
      </c>
      <c r="N1889" s="1" t="s">
        <v>498</v>
      </c>
      <c r="O1889" s="1" t="s">
        <v>57</v>
      </c>
      <c r="P1889" s="1" t="s">
        <v>3253</v>
      </c>
      <c r="Q1889" s="1" t="s">
        <v>3254</v>
      </c>
      <c r="R1889" s="1">
        <v>0.0</v>
      </c>
      <c r="S1889" s="1"/>
    </row>
    <row r="1890" ht="15.75" customHeight="1">
      <c r="A1890" s="1" t="s">
        <v>4481</v>
      </c>
      <c r="B1890" s="1" t="s">
        <v>4482</v>
      </c>
      <c r="C1890" s="1" t="s">
        <v>4483</v>
      </c>
      <c r="E1890" s="1">
        <v>27.6038837</v>
      </c>
      <c r="F1890" s="1">
        <v>75.149481</v>
      </c>
      <c r="G1890" s="1" t="s">
        <v>54</v>
      </c>
      <c r="H1890" s="1" t="s">
        <v>55</v>
      </c>
      <c r="J1890" s="1" t="s">
        <v>56</v>
      </c>
      <c r="K1890" s="1" t="s">
        <v>26</v>
      </c>
      <c r="L1890" s="1" t="s">
        <v>27</v>
      </c>
      <c r="N1890" s="1" t="s">
        <v>849</v>
      </c>
      <c r="O1890" s="1" t="s">
        <v>57</v>
      </c>
      <c r="P1890" s="1" t="s">
        <v>887</v>
      </c>
      <c r="Q1890" s="1" t="s">
        <v>888</v>
      </c>
      <c r="R1890" s="1">
        <v>0.0</v>
      </c>
      <c r="S1890" s="1"/>
    </row>
    <row r="1891" ht="15.75" customHeight="1">
      <c r="A1891" s="1" t="s">
        <v>4484</v>
      </c>
      <c r="B1891" s="1" t="s">
        <v>4485</v>
      </c>
      <c r="C1891" s="1" t="s">
        <v>848</v>
      </c>
      <c r="E1891" s="1">
        <v>26.8554138</v>
      </c>
      <c r="F1891" s="1">
        <v>75.7953598</v>
      </c>
      <c r="G1891" s="1" t="s">
        <v>54</v>
      </c>
      <c r="H1891" s="1" t="s">
        <v>55</v>
      </c>
      <c r="J1891" s="1" t="s">
        <v>56</v>
      </c>
      <c r="K1891" s="1" t="s">
        <v>26</v>
      </c>
      <c r="L1891" s="1" t="s">
        <v>27</v>
      </c>
      <c r="N1891" s="1" t="s">
        <v>849</v>
      </c>
      <c r="O1891" s="1" t="s">
        <v>57</v>
      </c>
      <c r="P1891" s="1" t="s">
        <v>887</v>
      </c>
      <c r="Q1891" s="1" t="s">
        <v>888</v>
      </c>
      <c r="R1891" s="1">
        <v>0.0</v>
      </c>
      <c r="S1891" s="1"/>
    </row>
    <row r="1892" ht="15.75" customHeight="1">
      <c r="A1892" s="1" t="s">
        <v>4486</v>
      </c>
      <c r="B1892" s="1" t="s">
        <v>4487</v>
      </c>
      <c r="C1892" s="1" t="s">
        <v>914</v>
      </c>
      <c r="E1892" s="1">
        <v>25.1781031</v>
      </c>
      <c r="F1892" s="1">
        <v>75.85280639999999</v>
      </c>
      <c r="G1892" s="1" t="s">
        <v>54</v>
      </c>
      <c r="H1892" s="1" t="s">
        <v>55</v>
      </c>
      <c r="J1892" s="1" t="s">
        <v>56</v>
      </c>
      <c r="K1892" s="1" t="s">
        <v>26</v>
      </c>
      <c r="L1892" s="1" t="s">
        <v>27</v>
      </c>
      <c r="N1892" s="1" t="s">
        <v>849</v>
      </c>
      <c r="O1892" s="1" t="s">
        <v>57</v>
      </c>
      <c r="P1892" s="1" t="s">
        <v>887</v>
      </c>
      <c r="Q1892" s="1" t="s">
        <v>888</v>
      </c>
      <c r="R1892" s="1">
        <v>0.0</v>
      </c>
      <c r="S1892" s="1"/>
    </row>
    <row r="1893" ht="15.75" customHeight="1">
      <c r="A1893" s="1" t="s">
        <v>4488</v>
      </c>
      <c r="B1893" s="1" t="s">
        <v>4489</v>
      </c>
      <c r="C1893" s="1" t="s">
        <v>38</v>
      </c>
      <c r="E1893" s="1">
        <v>28.665062</v>
      </c>
      <c r="F1893" s="1">
        <v>77.434155</v>
      </c>
      <c r="G1893" s="1" t="s">
        <v>54</v>
      </c>
      <c r="H1893" s="1" t="s">
        <v>55</v>
      </c>
      <c r="J1893" s="1" t="s">
        <v>56</v>
      </c>
      <c r="K1893" s="1" t="s">
        <v>26</v>
      </c>
      <c r="L1893" s="1" t="s">
        <v>27</v>
      </c>
      <c r="N1893" s="1" t="s">
        <v>28</v>
      </c>
      <c r="O1893" s="1" t="s">
        <v>57</v>
      </c>
      <c r="P1893" s="1" t="s">
        <v>2167</v>
      </c>
      <c r="Q1893" s="1" t="s">
        <v>2168</v>
      </c>
      <c r="R1893" s="1">
        <v>0.0</v>
      </c>
      <c r="S1893" s="1"/>
    </row>
    <row r="1894" ht="15.75" customHeight="1">
      <c r="A1894" s="1" t="s">
        <v>4490</v>
      </c>
      <c r="B1894" s="1" t="s">
        <v>4491</v>
      </c>
      <c r="C1894" s="1" t="s">
        <v>946</v>
      </c>
      <c r="E1894" s="1">
        <v>30.8828362</v>
      </c>
      <c r="F1894" s="1">
        <v>75.78172339999999</v>
      </c>
      <c r="G1894" s="1" t="s">
        <v>54</v>
      </c>
      <c r="H1894" s="1" t="s">
        <v>55</v>
      </c>
      <c r="J1894" s="1" t="s">
        <v>56</v>
      </c>
      <c r="K1894" s="1" t="s">
        <v>26</v>
      </c>
      <c r="L1894" s="1" t="s">
        <v>27</v>
      </c>
      <c r="N1894" s="1" t="s">
        <v>123</v>
      </c>
      <c r="O1894" s="1" t="s">
        <v>57</v>
      </c>
      <c r="P1894" s="1" t="s">
        <v>938</v>
      </c>
      <c r="Q1894" s="1" t="s">
        <v>939</v>
      </c>
      <c r="R1894" s="1">
        <v>0.0</v>
      </c>
      <c r="S1894" s="1"/>
    </row>
    <row r="1895" ht="15.75" customHeight="1">
      <c r="A1895" s="1" t="s">
        <v>4492</v>
      </c>
      <c r="B1895" s="1" t="s">
        <v>4493</v>
      </c>
      <c r="C1895" s="1" t="s">
        <v>4494</v>
      </c>
      <c r="E1895" s="1">
        <v>15.4383327</v>
      </c>
      <c r="F1895" s="1">
        <v>76.5343267</v>
      </c>
      <c r="G1895" s="1" t="s">
        <v>54</v>
      </c>
      <c r="H1895" s="1" t="s">
        <v>55</v>
      </c>
      <c r="J1895" s="1" t="s">
        <v>56</v>
      </c>
      <c r="K1895" s="1" t="s">
        <v>26</v>
      </c>
      <c r="L1895" s="1" t="s">
        <v>27</v>
      </c>
      <c r="N1895" s="1" t="s">
        <v>743</v>
      </c>
      <c r="O1895" s="1" t="s">
        <v>57</v>
      </c>
      <c r="P1895" s="1" t="s">
        <v>1079</v>
      </c>
      <c r="Q1895" s="1" t="s">
        <v>1080</v>
      </c>
      <c r="R1895" s="1">
        <v>0.0</v>
      </c>
      <c r="S1895" s="1"/>
    </row>
    <row r="1896" ht="15.75" customHeight="1">
      <c r="A1896" s="1" t="s">
        <v>4495</v>
      </c>
      <c r="B1896" s="1" t="s">
        <v>4496</v>
      </c>
      <c r="C1896" s="1" t="s">
        <v>1375</v>
      </c>
      <c r="E1896" s="1">
        <v>15.8246575</v>
      </c>
      <c r="F1896" s="1">
        <v>78.04070229999999</v>
      </c>
      <c r="G1896" s="1" t="s">
        <v>54</v>
      </c>
      <c r="H1896" s="1" t="s">
        <v>55</v>
      </c>
      <c r="J1896" s="1" t="s">
        <v>56</v>
      </c>
      <c r="K1896" s="1" t="s">
        <v>26</v>
      </c>
      <c r="L1896" s="1" t="s">
        <v>27</v>
      </c>
      <c r="N1896" s="1" t="s">
        <v>464</v>
      </c>
      <c r="O1896" s="1" t="s">
        <v>57</v>
      </c>
      <c r="P1896" s="1" t="s">
        <v>2074</v>
      </c>
      <c r="Q1896" s="1" t="s">
        <v>2075</v>
      </c>
      <c r="R1896" s="1">
        <v>0.0</v>
      </c>
      <c r="S1896" s="1"/>
    </row>
    <row r="1897" ht="15.75" customHeight="1">
      <c r="A1897" s="1" t="s">
        <v>4497</v>
      </c>
      <c r="B1897" s="1" t="s">
        <v>4498</v>
      </c>
      <c r="C1897" s="1" t="s">
        <v>617</v>
      </c>
      <c r="E1897" s="1">
        <v>26.8082667</v>
      </c>
      <c r="F1897" s="1">
        <v>80.8986563</v>
      </c>
      <c r="G1897" s="1" t="s">
        <v>54</v>
      </c>
      <c r="H1897" s="1" t="s">
        <v>55</v>
      </c>
      <c r="J1897" s="1" t="s">
        <v>56</v>
      </c>
      <c r="K1897" s="1" t="s">
        <v>26</v>
      </c>
      <c r="L1897" s="1" t="s">
        <v>27</v>
      </c>
      <c r="N1897" s="1" t="s">
        <v>28</v>
      </c>
      <c r="O1897" s="1" t="s">
        <v>57</v>
      </c>
      <c r="P1897" s="1" t="s">
        <v>733</v>
      </c>
      <c r="Q1897" s="1" t="s">
        <v>734</v>
      </c>
      <c r="R1897" s="1">
        <v>2.0</v>
      </c>
      <c r="S1897" s="1"/>
    </row>
    <row r="1898" ht="15.75" customHeight="1">
      <c r="A1898" s="1" t="s">
        <v>4499</v>
      </c>
      <c r="B1898" s="1" t="s">
        <v>4500</v>
      </c>
      <c r="C1898" s="1" t="s">
        <v>185</v>
      </c>
      <c r="E1898" s="1">
        <v>17.3737168</v>
      </c>
      <c r="F1898" s="1">
        <v>78.5023446</v>
      </c>
      <c r="G1898" s="1" t="s">
        <v>54</v>
      </c>
      <c r="H1898" s="1" t="s">
        <v>55</v>
      </c>
      <c r="J1898" s="1" t="s">
        <v>56</v>
      </c>
      <c r="K1898" s="1" t="s">
        <v>26</v>
      </c>
      <c r="L1898" s="1" t="s">
        <v>27</v>
      </c>
      <c r="N1898" s="1" t="s">
        <v>186</v>
      </c>
      <c r="O1898" s="1" t="s">
        <v>57</v>
      </c>
      <c r="P1898" s="1" t="s">
        <v>2074</v>
      </c>
      <c r="Q1898" s="1" t="s">
        <v>2075</v>
      </c>
      <c r="R1898" s="1">
        <v>0.0</v>
      </c>
      <c r="S1898" s="1"/>
    </row>
    <row r="1899" ht="15.75" customHeight="1">
      <c r="A1899" s="1" t="s">
        <v>4501</v>
      </c>
      <c r="B1899" s="1" t="s">
        <v>4502</v>
      </c>
      <c r="C1899" s="1" t="s">
        <v>526</v>
      </c>
      <c r="E1899" s="1">
        <v>19.8503212</v>
      </c>
      <c r="F1899" s="1">
        <v>75.348868</v>
      </c>
      <c r="G1899" s="1" t="s">
        <v>54</v>
      </c>
      <c r="H1899" s="1" t="s">
        <v>55</v>
      </c>
      <c r="J1899" s="1" t="s">
        <v>56</v>
      </c>
      <c r="K1899" s="1" t="s">
        <v>26</v>
      </c>
      <c r="L1899" s="1" t="s">
        <v>27</v>
      </c>
      <c r="N1899" s="1" t="s">
        <v>498</v>
      </c>
      <c r="O1899" s="1" t="s">
        <v>57</v>
      </c>
      <c r="P1899" s="1" t="s">
        <v>2239</v>
      </c>
      <c r="Q1899" s="1" t="s">
        <v>2240</v>
      </c>
      <c r="R1899" s="1">
        <v>0.0</v>
      </c>
      <c r="S1899" s="1"/>
    </row>
    <row r="1900" ht="15.75" customHeight="1">
      <c r="A1900" s="1" t="s">
        <v>4503</v>
      </c>
      <c r="B1900" s="1" t="s">
        <v>4504</v>
      </c>
      <c r="C1900" s="1" t="s">
        <v>215</v>
      </c>
      <c r="E1900" s="1">
        <v>23.03875</v>
      </c>
      <c r="F1900" s="1">
        <v>72.6294406</v>
      </c>
      <c r="G1900" s="1" t="s">
        <v>54</v>
      </c>
      <c r="H1900" s="1" t="s">
        <v>55</v>
      </c>
      <c r="J1900" s="1" t="s">
        <v>56</v>
      </c>
      <c r="K1900" s="1" t="s">
        <v>26</v>
      </c>
      <c r="L1900" s="1" t="s">
        <v>27</v>
      </c>
      <c r="N1900" s="1" t="s">
        <v>216</v>
      </c>
      <c r="O1900" s="1" t="s">
        <v>57</v>
      </c>
      <c r="P1900" s="1" t="s">
        <v>3830</v>
      </c>
      <c r="Q1900" s="1" t="s">
        <v>3831</v>
      </c>
      <c r="R1900" s="1">
        <v>0.0</v>
      </c>
      <c r="S1900" s="1"/>
    </row>
    <row r="1901" ht="15.75" customHeight="1">
      <c r="A1901" s="1" t="s">
        <v>4505</v>
      </c>
      <c r="B1901" s="1" t="s">
        <v>4506</v>
      </c>
      <c r="C1901" s="1" t="s">
        <v>1398</v>
      </c>
      <c r="E1901" s="1">
        <v>13.5545841</v>
      </c>
      <c r="F1901" s="1">
        <v>78.5077805</v>
      </c>
      <c r="G1901" s="1" t="s">
        <v>54</v>
      </c>
      <c r="H1901" s="1" t="s">
        <v>55</v>
      </c>
      <c r="J1901" s="1" t="s">
        <v>56</v>
      </c>
      <c r="K1901" s="1" t="s">
        <v>26</v>
      </c>
      <c r="L1901" s="1" t="s">
        <v>27</v>
      </c>
      <c r="N1901" s="1" t="s">
        <v>464</v>
      </c>
      <c r="O1901" s="1" t="s">
        <v>57</v>
      </c>
      <c r="P1901" s="1" t="s">
        <v>2074</v>
      </c>
      <c r="Q1901" s="1" t="s">
        <v>2075</v>
      </c>
      <c r="R1901" s="1">
        <v>0.0</v>
      </c>
      <c r="S1901" s="1"/>
    </row>
    <row r="1902" ht="15.75" customHeight="1">
      <c r="A1902" s="1" t="s">
        <v>4507</v>
      </c>
      <c r="B1902" s="1" t="s">
        <v>4508</v>
      </c>
      <c r="C1902" s="1" t="s">
        <v>4509</v>
      </c>
      <c r="E1902" s="1">
        <v>27.8990509</v>
      </c>
      <c r="F1902" s="1">
        <v>78.09404719999999</v>
      </c>
      <c r="G1902" s="1" t="s">
        <v>54</v>
      </c>
      <c r="H1902" s="1" t="s">
        <v>55</v>
      </c>
      <c r="J1902" s="1" t="s">
        <v>56</v>
      </c>
      <c r="K1902" s="1" t="s">
        <v>26</v>
      </c>
      <c r="L1902" s="1" t="s">
        <v>27</v>
      </c>
      <c r="N1902" s="1" t="s">
        <v>28</v>
      </c>
      <c r="O1902" s="1" t="s">
        <v>57</v>
      </c>
      <c r="P1902" s="1" t="s">
        <v>1990</v>
      </c>
      <c r="Q1902" s="1" t="s">
        <v>1991</v>
      </c>
      <c r="R1902" s="1">
        <v>0.0</v>
      </c>
      <c r="S1902" s="1"/>
    </row>
    <row r="1903" ht="15.75" customHeight="1">
      <c r="A1903" s="1" t="s">
        <v>4510</v>
      </c>
      <c r="B1903" s="1" t="s">
        <v>4511</v>
      </c>
      <c r="C1903" s="1" t="s">
        <v>993</v>
      </c>
      <c r="E1903" s="1">
        <v>30.138005</v>
      </c>
      <c r="F1903" s="1">
        <v>77.293706</v>
      </c>
      <c r="G1903" s="1" t="s">
        <v>54</v>
      </c>
      <c r="H1903" s="1" t="s">
        <v>55</v>
      </c>
      <c r="J1903" s="1" t="s">
        <v>56</v>
      </c>
      <c r="K1903" s="1" t="s">
        <v>26</v>
      </c>
      <c r="L1903" s="1" t="s">
        <v>27</v>
      </c>
      <c r="N1903" s="1" t="s">
        <v>163</v>
      </c>
      <c r="O1903" s="1" t="s">
        <v>57</v>
      </c>
      <c r="P1903" s="1" t="s">
        <v>938</v>
      </c>
      <c r="Q1903" s="1" t="s">
        <v>939</v>
      </c>
      <c r="R1903" s="1">
        <v>0.0</v>
      </c>
      <c r="S1903" s="1"/>
    </row>
    <row r="1904" ht="15.75" customHeight="1">
      <c r="A1904" s="1" t="s">
        <v>4512</v>
      </c>
      <c r="B1904" s="1" t="s">
        <v>4513</v>
      </c>
      <c r="C1904" s="1" t="s">
        <v>1274</v>
      </c>
      <c r="E1904" s="1">
        <v>15.8242969</v>
      </c>
      <c r="F1904" s="1">
        <v>80.3522517</v>
      </c>
      <c r="G1904" s="1" t="s">
        <v>54</v>
      </c>
      <c r="H1904" s="1" t="s">
        <v>55</v>
      </c>
      <c r="J1904" s="1" t="s">
        <v>56</v>
      </c>
      <c r="K1904" s="1" t="s">
        <v>26</v>
      </c>
      <c r="L1904" s="1" t="s">
        <v>27</v>
      </c>
      <c r="N1904" s="1" t="s">
        <v>464</v>
      </c>
      <c r="O1904" s="1" t="s">
        <v>57</v>
      </c>
      <c r="P1904" s="1" t="s">
        <v>2074</v>
      </c>
      <c r="Q1904" s="1" t="s">
        <v>2075</v>
      </c>
      <c r="R1904" s="1">
        <v>0.0</v>
      </c>
      <c r="S1904" s="1"/>
    </row>
    <row r="1905" ht="15.75" customHeight="1">
      <c r="A1905" s="1" t="s">
        <v>4514</v>
      </c>
      <c r="B1905" s="1" t="s">
        <v>4515</v>
      </c>
      <c r="C1905" s="1" t="s">
        <v>531</v>
      </c>
      <c r="E1905" s="1">
        <v>22.4868739</v>
      </c>
      <c r="F1905" s="1">
        <v>88.19342929999999</v>
      </c>
      <c r="G1905" s="1" t="s">
        <v>54</v>
      </c>
      <c r="H1905" s="1" t="s">
        <v>55</v>
      </c>
      <c r="J1905" s="1" t="s">
        <v>56</v>
      </c>
      <c r="K1905" s="1" t="s">
        <v>26</v>
      </c>
      <c r="L1905" s="1" t="s">
        <v>27</v>
      </c>
      <c r="N1905" s="1" t="s">
        <v>532</v>
      </c>
      <c r="O1905" s="1" t="s">
        <v>57</v>
      </c>
      <c r="P1905" s="1" t="s">
        <v>3135</v>
      </c>
      <c r="Q1905" s="1" t="s">
        <v>3136</v>
      </c>
      <c r="R1905" s="1">
        <v>0.0</v>
      </c>
      <c r="S1905" s="1"/>
    </row>
    <row r="1906" ht="15.75" customHeight="1">
      <c r="A1906" s="1" t="s">
        <v>4516</v>
      </c>
      <c r="B1906" s="1" t="s">
        <v>4517</v>
      </c>
      <c r="C1906" s="1" t="s">
        <v>185</v>
      </c>
      <c r="E1906" s="1">
        <v>17.4906471</v>
      </c>
      <c r="F1906" s="1">
        <v>78.6016195</v>
      </c>
      <c r="G1906" s="1" t="s">
        <v>54</v>
      </c>
      <c r="H1906" s="1" t="s">
        <v>55</v>
      </c>
      <c r="J1906" s="1" t="s">
        <v>56</v>
      </c>
      <c r="K1906" s="1" t="s">
        <v>26</v>
      </c>
      <c r="L1906" s="1" t="s">
        <v>27</v>
      </c>
      <c r="N1906" s="1" t="s">
        <v>186</v>
      </c>
      <c r="O1906" s="1" t="s">
        <v>57</v>
      </c>
      <c r="P1906" s="1" t="s">
        <v>2074</v>
      </c>
      <c r="Q1906" s="1" t="s">
        <v>2075</v>
      </c>
      <c r="R1906" s="1">
        <v>1.0</v>
      </c>
      <c r="S1906" s="1"/>
    </row>
    <row r="1907" ht="15.75" customHeight="1">
      <c r="A1907" s="1" t="s">
        <v>4518</v>
      </c>
      <c r="B1907" s="1" t="s">
        <v>4519</v>
      </c>
      <c r="C1907" s="1" t="s">
        <v>3747</v>
      </c>
      <c r="E1907" s="1">
        <v>14.6765614</v>
      </c>
      <c r="F1907" s="1">
        <v>77.5816813</v>
      </c>
      <c r="G1907" s="1" t="s">
        <v>54</v>
      </c>
      <c r="H1907" s="1" t="s">
        <v>55</v>
      </c>
      <c r="J1907" s="1" t="s">
        <v>56</v>
      </c>
      <c r="K1907" s="1" t="s">
        <v>26</v>
      </c>
      <c r="L1907" s="1" t="s">
        <v>27</v>
      </c>
      <c r="N1907" s="1" t="s">
        <v>464</v>
      </c>
      <c r="O1907" s="1" t="s">
        <v>57</v>
      </c>
      <c r="P1907" s="1" t="s">
        <v>2074</v>
      </c>
      <c r="Q1907" s="1" t="s">
        <v>2075</v>
      </c>
      <c r="R1907" s="1">
        <v>0.0</v>
      </c>
      <c r="S1907" s="1"/>
    </row>
    <row r="1908" ht="15.75" customHeight="1">
      <c r="A1908" s="1" t="s">
        <v>4520</v>
      </c>
      <c r="B1908" s="1" t="s">
        <v>4521</v>
      </c>
      <c r="C1908" s="1" t="s">
        <v>526</v>
      </c>
      <c r="E1908" s="1">
        <v>19.8765161</v>
      </c>
      <c r="F1908" s="1">
        <v>75.3423554</v>
      </c>
      <c r="G1908" s="1" t="s">
        <v>54</v>
      </c>
      <c r="H1908" s="1" t="s">
        <v>55</v>
      </c>
      <c r="J1908" s="1" t="s">
        <v>56</v>
      </c>
      <c r="K1908" s="1" t="s">
        <v>26</v>
      </c>
      <c r="L1908" s="1" t="s">
        <v>27</v>
      </c>
      <c r="N1908" s="1" t="s">
        <v>498</v>
      </c>
      <c r="O1908" s="1" t="s">
        <v>57</v>
      </c>
      <c r="P1908" s="1" t="s">
        <v>3253</v>
      </c>
      <c r="Q1908" s="1" t="s">
        <v>3254</v>
      </c>
      <c r="R1908" s="1">
        <v>0.0</v>
      </c>
      <c r="S1908" s="1"/>
    </row>
    <row r="1909" ht="15.75" customHeight="1">
      <c r="A1909" s="1" t="s">
        <v>4522</v>
      </c>
      <c r="B1909" s="1" t="s">
        <v>4523</v>
      </c>
      <c r="C1909" s="1" t="s">
        <v>1104</v>
      </c>
      <c r="E1909" s="1">
        <v>13.3381014</v>
      </c>
      <c r="F1909" s="1">
        <v>77.1048435</v>
      </c>
      <c r="G1909" s="1" t="s">
        <v>54</v>
      </c>
      <c r="H1909" s="1" t="s">
        <v>55</v>
      </c>
      <c r="J1909" s="1" t="s">
        <v>56</v>
      </c>
      <c r="K1909" s="1" t="s">
        <v>26</v>
      </c>
      <c r="L1909" s="1" t="s">
        <v>27</v>
      </c>
      <c r="N1909" s="1" t="s">
        <v>743</v>
      </c>
      <c r="O1909" s="1" t="s">
        <v>57</v>
      </c>
      <c r="P1909" s="1" t="s">
        <v>1079</v>
      </c>
      <c r="Q1909" s="1" t="s">
        <v>1080</v>
      </c>
      <c r="R1909" s="1">
        <v>0.0</v>
      </c>
      <c r="S1909" s="1"/>
    </row>
    <row r="1910" ht="15.75" customHeight="1">
      <c r="A1910" s="1" t="s">
        <v>4524</v>
      </c>
      <c r="B1910" s="1" t="s">
        <v>4525</v>
      </c>
      <c r="C1910" s="1" t="s">
        <v>2431</v>
      </c>
      <c r="E1910" s="1">
        <v>8.6989628</v>
      </c>
      <c r="F1910" s="1">
        <v>77.7274741</v>
      </c>
      <c r="G1910" s="1" t="s">
        <v>54</v>
      </c>
      <c r="H1910" s="1" t="s">
        <v>55</v>
      </c>
      <c r="J1910" s="1" t="s">
        <v>56</v>
      </c>
      <c r="K1910" s="1" t="s">
        <v>26</v>
      </c>
      <c r="L1910" s="1" t="s">
        <v>27</v>
      </c>
      <c r="N1910" s="1" t="s">
        <v>1097</v>
      </c>
      <c r="O1910" s="1" t="s">
        <v>57</v>
      </c>
      <c r="P1910" s="1" t="s">
        <v>3219</v>
      </c>
      <c r="Q1910" s="1" t="s">
        <v>3220</v>
      </c>
      <c r="R1910" s="1">
        <v>0.0</v>
      </c>
      <c r="S1910" s="1"/>
    </row>
    <row r="1911" ht="15.75" customHeight="1">
      <c r="A1911" s="1" t="s">
        <v>4526</v>
      </c>
      <c r="B1911" s="1" t="s">
        <v>4527</v>
      </c>
      <c r="C1911" s="1" t="s">
        <v>4528</v>
      </c>
      <c r="E1911" s="1">
        <v>13.2047078</v>
      </c>
      <c r="F1911" s="1">
        <v>79.09708069999999</v>
      </c>
      <c r="G1911" s="1" t="s">
        <v>54</v>
      </c>
      <c r="H1911" s="1" t="s">
        <v>55</v>
      </c>
      <c r="J1911" s="1" t="s">
        <v>56</v>
      </c>
      <c r="K1911" s="1" t="s">
        <v>26</v>
      </c>
      <c r="L1911" s="1" t="s">
        <v>27</v>
      </c>
      <c r="N1911" s="1" t="s">
        <v>464</v>
      </c>
      <c r="O1911" s="1" t="s">
        <v>57</v>
      </c>
      <c r="P1911" s="1" t="s">
        <v>2074</v>
      </c>
      <c r="Q1911" s="1" t="s">
        <v>2075</v>
      </c>
      <c r="R1911" s="1">
        <v>0.0</v>
      </c>
      <c r="S1911" s="1"/>
    </row>
    <row r="1912" ht="15.75" customHeight="1">
      <c r="A1912" s="1" t="s">
        <v>4529</v>
      </c>
      <c r="B1912" s="1" t="s">
        <v>4530</v>
      </c>
      <c r="C1912" s="1" t="s">
        <v>174</v>
      </c>
      <c r="E1912" s="1">
        <v>28.6504386</v>
      </c>
      <c r="F1912" s="1">
        <v>77.1605518</v>
      </c>
      <c r="G1912" s="1" t="s">
        <v>54</v>
      </c>
      <c r="H1912" s="1" t="s">
        <v>55</v>
      </c>
      <c r="J1912" s="1" t="s">
        <v>56</v>
      </c>
      <c r="K1912" s="1" t="s">
        <v>26</v>
      </c>
      <c r="L1912" s="1" t="s">
        <v>27</v>
      </c>
      <c r="N1912" s="1" t="s">
        <v>174</v>
      </c>
      <c r="O1912" s="1" t="s">
        <v>57</v>
      </c>
      <c r="P1912" s="1" t="s">
        <v>1749</v>
      </c>
      <c r="Q1912" s="1" t="s">
        <v>1750</v>
      </c>
      <c r="R1912" s="1">
        <v>1.0</v>
      </c>
      <c r="S1912" s="1"/>
    </row>
    <row r="1913" ht="15.75" customHeight="1">
      <c r="A1913" s="1" t="s">
        <v>4531</v>
      </c>
      <c r="B1913" s="1" t="s">
        <v>4532</v>
      </c>
      <c r="C1913" s="1" t="s">
        <v>1002</v>
      </c>
      <c r="E1913" s="1">
        <v>30.821074</v>
      </c>
      <c r="F1913" s="1">
        <v>75.19841</v>
      </c>
      <c r="G1913" s="1" t="s">
        <v>54</v>
      </c>
      <c r="H1913" s="1" t="s">
        <v>55</v>
      </c>
      <c r="J1913" s="1" t="s">
        <v>56</v>
      </c>
      <c r="K1913" s="1" t="s">
        <v>26</v>
      </c>
      <c r="L1913" s="1" t="s">
        <v>27</v>
      </c>
      <c r="N1913" s="1" t="s">
        <v>123</v>
      </c>
      <c r="O1913" s="1" t="s">
        <v>57</v>
      </c>
      <c r="P1913" s="1" t="s">
        <v>938</v>
      </c>
      <c r="Q1913" s="1" t="s">
        <v>939</v>
      </c>
      <c r="R1913" s="1">
        <v>0.0</v>
      </c>
      <c r="S1913" s="1"/>
    </row>
    <row r="1914" ht="15.75" customHeight="1">
      <c r="A1914" s="1" t="s">
        <v>4533</v>
      </c>
      <c r="B1914" s="1" t="s">
        <v>4534</v>
      </c>
      <c r="C1914" s="1" t="s">
        <v>1573</v>
      </c>
      <c r="E1914" s="1">
        <v>22.4713972</v>
      </c>
      <c r="F1914" s="1">
        <v>70.0490457</v>
      </c>
      <c r="G1914" s="1" t="s">
        <v>54</v>
      </c>
      <c r="H1914" s="1" t="s">
        <v>55</v>
      </c>
      <c r="J1914" s="1" t="s">
        <v>56</v>
      </c>
      <c r="K1914" s="1" t="s">
        <v>26</v>
      </c>
      <c r="L1914" s="1" t="s">
        <v>27</v>
      </c>
      <c r="N1914" s="1" t="s">
        <v>216</v>
      </c>
      <c r="O1914" s="1" t="s">
        <v>57</v>
      </c>
      <c r="P1914" s="1" t="s">
        <v>3342</v>
      </c>
      <c r="Q1914" s="1" t="s">
        <v>3343</v>
      </c>
      <c r="R1914" s="1">
        <v>0.0</v>
      </c>
      <c r="S1914" s="1"/>
    </row>
    <row r="1915" ht="15.75" customHeight="1">
      <c r="A1915" s="1" t="s">
        <v>4535</v>
      </c>
      <c r="B1915" s="1" t="s">
        <v>4536</v>
      </c>
      <c r="C1915" s="1" t="s">
        <v>4537</v>
      </c>
      <c r="E1915" s="1">
        <v>29.0019331</v>
      </c>
      <c r="F1915" s="1">
        <v>79.39943219999999</v>
      </c>
      <c r="G1915" s="1" t="s">
        <v>54</v>
      </c>
      <c r="H1915" s="1" t="s">
        <v>55</v>
      </c>
      <c r="J1915" s="1" t="s">
        <v>56</v>
      </c>
      <c r="K1915" s="1" t="s">
        <v>26</v>
      </c>
      <c r="L1915" s="1" t="s">
        <v>27</v>
      </c>
      <c r="N1915" s="1" t="s">
        <v>1950</v>
      </c>
      <c r="O1915" s="1" t="s">
        <v>57</v>
      </c>
      <c r="P1915" s="1" t="s">
        <v>887</v>
      </c>
      <c r="Q1915" s="1" t="s">
        <v>888</v>
      </c>
      <c r="R1915" s="1">
        <v>0.0</v>
      </c>
      <c r="S1915" s="1"/>
    </row>
    <row r="1916" ht="15.75" customHeight="1">
      <c r="A1916" s="1" t="s">
        <v>4538</v>
      </c>
      <c r="B1916" s="1" t="s">
        <v>4539</v>
      </c>
      <c r="C1916" s="1" t="s">
        <v>4540</v>
      </c>
      <c r="E1916" s="1">
        <v>27.0357104</v>
      </c>
      <c r="F1916" s="1">
        <v>88.26048209999999</v>
      </c>
      <c r="G1916" s="1" t="s">
        <v>54</v>
      </c>
      <c r="H1916" s="1" t="s">
        <v>55</v>
      </c>
      <c r="J1916" s="1" t="s">
        <v>56</v>
      </c>
      <c r="K1916" s="1" t="s">
        <v>26</v>
      </c>
      <c r="L1916" s="1" t="s">
        <v>27</v>
      </c>
      <c r="N1916" s="1" t="s">
        <v>532</v>
      </c>
      <c r="O1916" s="1" t="s">
        <v>57</v>
      </c>
      <c r="P1916" s="1" t="s">
        <v>3131</v>
      </c>
      <c r="Q1916" s="1" t="s">
        <v>3132</v>
      </c>
      <c r="R1916" s="1">
        <v>0.0</v>
      </c>
      <c r="S1916" s="1"/>
    </row>
    <row r="1917" ht="15.75" customHeight="1">
      <c r="A1917" s="1" t="s">
        <v>4541</v>
      </c>
      <c r="B1917" s="1" t="s">
        <v>4542</v>
      </c>
      <c r="C1917" s="1" t="s">
        <v>4543</v>
      </c>
      <c r="E1917" s="1">
        <v>10.9603159</v>
      </c>
      <c r="F1917" s="1">
        <v>78.0757838</v>
      </c>
      <c r="G1917" s="1" t="s">
        <v>54</v>
      </c>
      <c r="H1917" s="1" t="s">
        <v>55</v>
      </c>
      <c r="J1917" s="1" t="s">
        <v>56</v>
      </c>
      <c r="K1917" s="1" t="s">
        <v>26</v>
      </c>
      <c r="L1917" s="1" t="s">
        <v>27</v>
      </c>
      <c r="N1917" s="1" t="s">
        <v>1097</v>
      </c>
      <c r="O1917" s="1" t="s">
        <v>57</v>
      </c>
      <c r="P1917" s="1" t="s">
        <v>3219</v>
      </c>
      <c r="Q1917" s="1" t="s">
        <v>3220</v>
      </c>
      <c r="R1917" s="1">
        <v>0.0</v>
      </c>
      <c r="S1917" s="1"/>
    </row>
    <row r="1918" ht="15.75" customHeight="1">
      <c r="A1918" s="1" t="s">
        <v>4544</v>
      </c>
      <c r="B1918" s="1" t="s">
        <v>4545</v>
      </c>
      <c r="C1918" s="1" t="s">
        <v>1078</v>
      </c>
      <c r="E1918" s="1">
        <v>12.9970559</v>
      </c>
      <c r="F1918" s="1">
        <v>77.4898132</v>
      </c>
      <c r="G1918" s="1" t="s">
        <v>54</v>
      </c>
      <c r="H1918" s="1" t="s">
        <v>55</v>
      </c>
      <c r="J1918" s="1" t="s">
        <v>56</v>
      </c>
      <c r="K1918" s="1" t="s">
        <v>26</v>
      </c>
      <c r="L1918" s="1" t="s">
        <v>27</v>
      </c>
      <c r="N1918" s="1" t="s">
        <v>743</v>
      </c>
      <c r="O1918" s="1" t="s">
        <v>57</v>
      </c>
      <c r="P1918" s="1" t="s">
        <v>1079</v>
      </c>
      <c r="Q1918" s="1" t="s">
        <v>1080</v>
      </c>
      <c r="R1918" s="1">
        <v>0.0</v>
      </c>
      <c r="S1918" s="1"/>
    </row>
    <row r="1919" ht="15.75" customHeight="1">
      <c r="A1919" s="1" t="s">
        <v>4546</v>
      </c>
      <c r="B1919" s="1" t="s">
        <v>4547</v>
      </c>
      <c r="C1919" s="1" t="s">
        <v>1565</v>
      </c>
      <c r="E1919" s="1">
        <v>21.7499121</v>
      </c>
      <c r="F1919" s="1">
        <v>72.13711640000001</v>
      </c>
      <c r="G1919" s="1" t="s">
        <v>54</v>
      </c>
      <c r="H1919" s="1" t="s">
        <v>55</v>
      </c>
      <c r="J1919" s="1" t="s">
        <v>56</v>
      </c>
      <c r="K1919" s="1" t="s">
        <v>26</v>
      </c>
      <c r="L1919" s="1" t="s">
        <v>27</v>
      </c>
      <c r="N1919" s="1" t="s">
        <v>216</v>
      </c>
      <c r="O1919" s="1" t="s">
        <v>57</v>
      </c>
      <c r="P1919" s="1" t="s">
        <v>3342</v>
      </c>
      <c r="Q1919" s="1" t="s">
        <v>3343</v>
      </c>
      <c r="R1919" s="1">
        <v>0.0</v>
      </c>
      <c r="S1919" s="1"/>
    </row>
    <row r="1920" ht="15.75" customHeight="1">
      <c r="A1920" s="1" t="s">
        <v>4548</v>
      </c>
      <c r="B1920" s="1" t="s">
        <v>4549</v>
      </c>
      <c r="C1920" s="1" t="s">
        <v>4550</v>
      </c>
      <c r="E1920" s="1">
        <v>28.4075564</v>
      </c>
      <c r="F1920" s="1">
        <v>77.8527223</v>
      </c>
      <c r="G1920" s="1" t="s">
        <v>54</v>
      </c>
      <c r="H1920" s="1" t="s">
        <v>55</v>
      </c>
      <c r="J1920" s="1" t="s">
        <v>56</v>
      </c>
      <c r="K1920" s="1" t="s">
        <v>26</v>
      </c>
      <c r="L1920" s="1" t="s">
        <v>27</v>
      </c>
      <c r="N1920" s="1" t="s">
        <v>28</v>
      </c>
      <c r="O1920" s="1" t="s">
        <v>57</v>
      </c>
      <c r="P1920" s="1" t="s">
        <v>1990</v>
      </c>
      <c r="Q1920" s="1" t="s">
        <v>1991</v>
      </c>
      <c r="R1920" s="1">
        <v>0.0</v>
      </c>
      <c r="S1920" s="1"/>
    </row>
    <row r="1921" ht="15.75" customHeight="1">
      <c r="A1921" s="1" t="s">
        <v>4551</v>
      </c>
      <c r="B1921" s="1" t="s">
        <v>4552</v>
      </c>
      <c r="C1921" s="1" t="s">
        <v>1384</v>
      </c>
      <c r="E1921" s="1">
        <v>10.8000092</v>
      </c>
      <c r="F1921" s="1">
        <v>78.7478746</v>
      </c>
      <c r="G1921" s="1" t="s">
        <v>54</v>
      </c>
      <c r="H1921" s="1" t="s">
        <v>55</v>
      </c>
      <c r="J1921" s="1" t="s">
        <v>56</v>
      </c>
      <c r="K1921" s="1" t="s">
        <v>26</v>
      </c>
      <c r="L1921" s="1" t="s">
        <v>27</v>
      </c>
      <c r="N1921" s="1" t="s">
        <v>1097</v>
      </c>
      <c r="O1921" s="1" t="s">
        <v>57</v>
      </c>
      <c r="P1921" s="1" t="s">
        <v>3219</v>
      </c>
      <c r="Q1921" s="1" t="s">
        <v>3220</v>
      </c>
      <c r="R1921" s="1">
        <v>0.0</v>
      </c>
      <c r="S1921" s="1"/>
    </row>
    <row r="1922" ht="15.75" customHeight="1">
      <c r="A1922" s="1" t="s">
        <v>4553</v>
      </c>
      <c r="B1922" s="1" t="s">
        <v>4554</v>
      </c>
      <c r="C1922" s="1" t="s">
        <v>1652</v>
      </c>
      <c r="E1922" s="1">
        <v>21.61182</v>
      </c>
      <c r="F1922" s="1">
        <v>71.23288769999999</v>
      </c>
      <c r="G1922" s="1" t="s">
        <v>54</v>
      </c>
      <c r="H1922" s="1" t="s">
        <v>55</v>
      </c>
      <c r="J1922" s="1" t="s">
        <v>56</v>
      </c>
      <c r="K1922" s="1" t="s">
        <v>26</v>
      </c>
      <c r="L1922" s="1" t="s">
        <v>27</v>
      </c>
      <c r="N1922" s="1" t="s">
        <v>216</v>
      </c>
      <c r="O1922" s="1" t="s">
        <v>57</v>
      </c>
      <c r="P1922" s="1" t="s">
        <v>3342</v>
      </c>
      <c r="Q1922" s="1" t="s">
        <v>3343</v>
      </c>
      <c r="R1922" s="1">
        <v>0.0</v>
      </c>
      <c r="S1922" s="1"/>
    </row>
    <row r="1923" ht="15.75" customHeight="1">
      <c r="A1923" s="1" t="s">
        <v>4555</v>
      </c>
      <c r="B1923" s="1" t="s">
        <v>4556</v>
      </c>
      <c r="C1923" s="1" t="s">
        <v>215</v>
      </c>
      <c r="E1923" s="1">
        <v>23.0450929</v>
      </c>
      <c r="F1923" s="1">
        <v>72.58824729999999</v>
      </c>
      <c r="G1923" s="1" t="s">
        <v>54</v>
      </c>
      <c r="H1923" s="1" t="s">
        <v>55</v>
      </c>
      <c r="J1923" s="1" t="s">
        <v>56</v>
      </c>
      <c r="K1923" s="1" t="s">
        <v>26</v>
      </c>
      <c r="L1923" s="1" t="s">
        <v>27</v>
      </c>
      <c r="N1923" s="1" t="s">
        <v>216</v>
      </c>
      <c r="O1923" s="1" t="s">
        <v>57</v>
      </c>
      <c r="P1923" s="1" t="s">
        <v>3830</v>
      </c>
      <c r="Q1923" s="1" t="s">
        <v>3831</v>
      </c>
      <c r="R1923" s="1">
        <v>0.0</v>
      </c>
      <c r="S1923" s="1"/>
    </row>
    <row r="1924" ht="15.75" customHeight="1">
      <c r="A1924" s="1" t="s">
        <v>4557</v>
      </c>
      <c r="B1924" s="1" t="s">
        <v>4558</v>
      </c>
      <c r="C1924" s="1" t="s">
        <v>4559</v>
      </c>
      <c r="E1924" s="1">
        <v>20.9438806</v>
      </c>
      <c r="F1924" s="1">
        <v>85.2063501</v>
      </c>
      <c r="G1924" s="1" t="s">
        <v>54</v>
      </c>
      <c r="H1924" s="1" t="s">
        <v>55</v>
      </c>
      <c r="J1924" s="1" t="s">
        <v>56</v>
      </c>
      <c r="K1924" s="1" t="s">
        <v>26</v>
      </c>
      <c r="L1924" s="1" t="s">
        <v>27</v>
      </c>
      <c r="N1924" s="1" t="s">
        <v>1874</v>
      </c>
      <c r="O1924" s="1" t="s">
        <v>57</v>
      </c>
      <c r="P1924" s="1" t="s">
        <v>3131</v>
      </c>
      <c r="Q1924" s="1" t="s">
        <v>3132</v>
      </c>
      <c r="R1924" s="1">
        <v>0.0</v>
      </c>
      <c r="S1924" s="1"/>
    </row>
    <row r="1925" ht="15.75" customHeight="1">
      <c r="A1925" s="1" t="s">
        <v>4560</v>
      </c>
      <c r="B1925" s="1" t="s">
        <v>4561</v>
      </c>
      <c r="C1925" s="1" t="s">
        <v>4562</v>
      </c>
      <c r="E1925" s="1">
        <v>24.184511</v>
      </c>
      <c r="F1925" s="1">
        <v>86.3078979</v>
      </c>
      <c r="G1925" s="1" t="s">
        <v>54</v>
      </c>
      <c r="H1925" s="1" t="s">
        <v>55</v>
      </c>
      <c r="J1925" s="1" t="s">
        <v>56</v>
      </c>
      <c r="K1925" s="1" t="s">
        <v>26</v>
      </c>
      <c r="L1925" s="1" t="s">
        <v>27</v>
      </c>
      <c r="N1925" s="1" t="s">
        <v>506</v>
      </c>
      <c r="O1925" s="1" t="s">
        <v>57</v>
      </c>
      <c r="P1925" s="1" t="s">
        <v>3253</v>
      </c>
      <c r="Q1925" s="1" t="s">
        <v>3254</v>
      </c>
      <c r="R1925" s="1">
        <v>0.0</v>
      </c>
      <c r="S1925" s="1"/>
    </row>
    <row r="1926" ht="15.75" customHeight="1">
      <c r="A1926" s="1" t="s">
        <v>4563</v>
      </c>
      <c r="B1926" s="1" t="s">
        <v>4564</v>
      </c>
      <c r="C1926" s="1" t="s">
        <v>4565</v>
      </c>
      <c r="E1926" s="1">
        <v>25.698116</v>
      </c>
      <c r="F1926" s="1">
        <v>85.213651</v>
      </c>
      <c r="G1926" s="1" t="s">
        <v>54</v>
      </c>
      <c r="H1926" s="1" t="s">
        <v>55</v>
      </c>
      <c r="J1926" s="1" t="s">
        <v>56</v>
      </c>
      <c r="K1926" s="1" t="s">
        <v>26</v>
      </c>
      <c r="L1926" s="1" t="s">
        <v>27</v>
      </c>
      <c r="N1926" s="1" t="s">
        <v>498</v>
      </c>
      <c r="O1926" s="1" t="s">
        <v>57</v>
      </c>
      <c r="P1926" s="1" t="s">
        <v>4064</v>
      </c>
      <c r="Q1926" s="1" t="s">
        <v>4065</v>
      </c>
      <c r="R1926" s="1">
        <v>0.0</v>
      </c>
      <c r="S1926" s="1"/>
    </row>
    <row r="1927" ht="15.75" customHeight="1">
      <c r="A1927" s="1" t="s">
        <v>4566</v>
      </c>
      <c r="B1927" s="1" t="s">
        <v>4567</v>
      </c>
      <c r="C1927" s="1" t="s">
        <v>1078</v>
      </c>
      <c r="E1927" s="1">
        <v>22.3723044</v>
      </c>
      <c r="F1927" s="1">
        <v>88.27206590000002</v>
      </c>
      <c r="G1927" s="1" t="s">
        <v>54</v>
      </c>
      <c r="H1927" s="1" t="s">
        <v>55</v>
      </c>
      <c r="J1927" s="1" t="s">
        <v>56</v>
      </c>
      <c r="K1927" s="1" t="s">
        <v>26</v>
      </c>
      <c r="L1927" s="1" t="s">
        <v>27</v>
      </c>
      <c r="N1927" s="1" t="s">
        <v>743</v>
      </c>
      <c r="O1927" s="1" t="s">
        <v>57</v>
      </c>
      <c r="P1927" s="1" t="s">
        <v>3135</v>
      </c>
      <c r="Q1927" s="1" t="s">
        <v>3136</v>
      </c>
      <c r="R1927" s="1">
        <v>0.0</v>
      </c>
      <c r="S1927" s="1"/>
    </row>
    <row r="1928" ht="15.75" customHeight="1">
      <c r="A1928" s="1" t="s">
        <v>4568</v>
      </c>
      <c r="B1928" s="1" t="s">
        <v>4569</v>
      </c>
      <c r="C1928" s="1" t="s">
        <v>148</v>
      </c>
      <c r="E1928" s="1">
        <v>19.1385361</v>
      </c>
      <c r="F1928" s="1">
        <v>72.8322479</v>
      </c>
      <c r="G1928" s="1" t="s">
        <v>54</v>
      </c>
      <c r="H1928" s="1" t="s">
        <v>55</v>
      </c>
      <c r="J1928" s="1" t="s">
        <v>56</v>
      </c>
      <c r="K1928" s="1" t="s">
        <v>26</v>
      </c>
      <c r="L1928" s="1" t="s">
        <v>27</v>
      </c>
      <c r="N1928" s="1" t="s">
        <v>143</v>
      </c>
      <c r="O1928" s="1" t="s">
        <v>57</v>
      </c>
      <c r="P1928" s="1" t="s">
        <v>2300</v>
      </c>
      <c r="Q1928" s="1" t="s">
        <v>2301</v>
      </c>
      <c r="R1928" s="1">
        <v>0.0</v>
      </c>
      <c r="S1928" s="1"/>
    </row>
    <row r="1929" ht="15.75" customHeight="1">
      <c r="A1929" s="1" t="s">
        <v>4570</v>
      </c>
      <c r="B1929" s="1" t="s">
        <v>4571</v>
      </c>
      <c r="C1929" s="1" t="s">
        <v>2404</v>
      </c>
      <c r="E1929" s="1">
        <v>12.2507082</v>
      </c>
      <c r="F1929" s="1">
        <v>79.0704076</v>
      </c>
      <c r="G1929" s="1" t="s">
        <v>54</v>
      </c>
      <c r="H1929" s="1" t="s">
        <v>55</v>
      </c>
      <c r="J1929" s="1" t="s">
        <v>56</v>
      </c>
      <c r="K1929" s="1" t="s">
        <v>26</v>
      </c>
      <c r="L1929" s="1" t="s">
        <v>27</v>
      </c>
      <c r="N1929" s="1" t="s">
        <v>1097</v>
      </c>
      <c r="O1929" s="1" t="s">
        <v>57</v>
      </c>
      <c r="P1929" s="1" t="s">
        <v>3219</v>
      </c>
      <c r="Q1929" s="1" t="s">
        <v>3220</v>
      </c>
      <c r="R1929" s="1">
        <v>0.0</v>
      </c>
      <c r="S1929" s="1"/>
    </row>
    <row r="1930" ht="15.75" customHeight="1">
      <c r="A1930" s="1" t="s">
        <v>4572</v>
      </c>
      <c r="B1930" s="1" t="s">
        <v>4573</v>
      </c>
      <c r="C1930" s="1" t="s">
        <v>215</v>
      </c>
      <c r="E1930" s="1">
        <v>23.0584037</v>
      </c>
      <c r="F1930" s="1">
        <v>72.53894</v>
      </c>
      <c r="G1930" s="1" t="s">
        <v>54</v>
      </c>
      <c r="H1930" s="1" t="s">
        <v>55</v>
      </c>
      <c r="J1930" s="1" t="s">
        <v>56</v>
      </c>
      <c r="K1930" s="1" t="s">
        <v>26</v>
      </c>
      <c r="L1930" s="1" t="s">
        <v>27</v>
      </c>
      <c r="N1930" s="1" t="s">
        <v>216</v>
      </c>
      <c r="O1930" s="1" t="s">
        <v>57</v>
      </c>
      <c r="P1930" s="1" t="s">
        <v>3830</v>
      </c>
      <c r="Q1930" s="1" t="s">
        <v>3831</v>
      </c>
      <c r="R1930" s="1">
        <v>0.0</v>
      </c>
      <c r="S1930" s="1"/>
    </row>
    <row r="1931" ht="15.75" customHeight="1">
      <c r="A1931" s="1" t="s">
        <v>4574</v>
      </c>
      <c r="B1931" s="1" t="s">
        <v>4575</v>
      </c>
      <c r="C1931" s="1" t="s">
        <v>1112</v>
      </c>
      <c r="E1931" s="1">
        <v>13.1640606</v>
      </c>
      <c r="F1931" s="1">
        <v>80.3034878</v>
      </c>
      <c r="G1931" s="1" t="s">
        <v>54</v>
      </c>
      <c r="H1931" s="1" t="s">
        <v>55</v>
      </c>
      <c r="J1931" s="1" t="s">
        <v>56</v>
      </c>
      <c r="K1931" s="1" t="s">
        <v>26</v>
      </c>
      <c r="L1931" s="1" t="s">
        <v>27</v>
      </c>
      <c r="N1931" s="1" t="s">
        <v>1097</v>
      </c>
      <c r="O1931" s="1" t="s">
        <v>57</v>
      </c>
      <c r="P1931" s="1" t="s">
        <v>3219</v>
      </c>
      <c r="Q1931" s="1" t="s">
        <v>3220</v>
      </c>
      <c r="R1931" s="1">
        <v>1.0</v>
      </c>
      <c r="S1931" s="1"/>
    </row>
    <row r="1932" ht="15.75" customHeight="1">
      <c r="A1932" s="1" t="s">
        <v>4576</v>
      </c>
      <c r="B1932" s="1" t="s">
        <v>4577</v>
      </c>
      <c r="C1932" s="1" t="s">
        <v>1112</v>
      </c>
      <c r="E1932" s="1">
        <v>12.8469204</v>
      </c>
      <c r="F1932" s="1">
        <v>80.22639579999999</v>
      </c>
      <c r="G1932" s="1" t="s">
        <v>54</v>
      </c>
      <c r="H1932" s="1" t="s">
        <v>55</v>
      </c>
      <c r="J1932" s="1" t="s">
        <v>56</v>
      </c>
      <c r="K1932" s="1" t="s">
        <v>26</v>
      </c>
      <c r="L1932" s="1" t="s">
        <v>27</v>
      </c>
      <c r="N1932" s="1" t="s">
        <v>1097</v>
      </c>
      <c r="O1932" s="1" t="s">
        <v>57</v>
      </c>
      <c r="P1932" s="1" t="s">
        <v>3219</v>
      </c>
      <c r="Q1932" s="1" t="s">
        <v>3220</v>
      </c>
      <c r="R1932" s="1">
        <v>3.0</v>
      </c>
      <c r="S1932" s="1"/>
    </row>
    <row r="1933" ht="15.75" customHeight="1">
      <c r="A1933" s="1" t="s">
        <v>4578</v>
      </c>
      <c r="B1933" s="1" t="s">
        <v>4579</v>
      </c>
      <c r="C1933" s="1" t="s">
        <v>4580</v>
      </c>
      <c r="E1933" s="1">
        <v>25.4226916</v>
      </c>
      <c r="F1933" s="1">
        <v>86.12452019999999</v>
      </c>
      <c r="G1933" s="1" t="s">
        <v>54</v>
      </c>
      <c r="H1933" s="1" t="s">
        <v>55</v>
      </c>
      <c r="J1933" s="1" t="s">
        <v>56</v>
      </c>
      <c r="K1933" s="1" t="s">
        <v>26</v>
      </c>
      <c r="L1933" s="1" t="s">
        <v>27</v>
      </c>
      <c r="N1933" s="1" t="s">
        <v>498</v>
      </c>
      <c r="O1933" s="1" t="s">
        <v>57</v>
      </c>
      <c r="P1933" s="1" t="s">
        <v>4064</v>
      </c>
      <c r="Q1933" s="1" t="s">
        <v>4065</v>
      </c>
      <c r="R1933" s="1">
        <v>0.0</v>
      </c>
      <c r="S1933" s="1"/>
    </row>
    <row r="1934" ht="15.75" customHeight="1">
      <c r="A1934" s="1" t="s">
        <v>4581</v>
      </c>
      <c r="B1934" s="1" t="s">
        <v>4582</v>
      </c>
      <c r="C1934" s="1" t="s">
        <v>1265</v>
      </c>
      <c r="E1934" s="1">
        <v>12.0560194</v>
      </c>
      <c r="F1934" s="1">
        <v>78.47696049999999</v>
      </c>
      <c r="G1934" s="1" t="s">
        <v>54</v>
      </c>
      <c r="H1934" s="1" t="s">
        <v>55</v>
      </c>
      <c r="J1934" s="1" t="s">
        <v>56</v>
      </c>
      <c r="K1934" s="1" t="s">
        <v>26</v>
      </c>
      <c r="L1934" s="1" t="s">
        <v>27</v>
      </c>
      <c r="N1934" s="1" t="s">
        <v>1097</v>
      </c>
      <c r="O1934" s="1" t="s">
        <v>57</v>
      </c>
      <c r="P1934" s="1" t="s">
        <v>3219</v>
      </c>
      <c r="Q1934" s="1" t="s">
        <v>3220</v>
      </c>
      <c r="R1934" s="1">
        <v>0.0</v>
      </c>
      <c r="S1934" s="1"/>
    </row>
    <row r="1935" ht="15.75" customHeight="1">
      <c r="A1935" s="1" t="s">
        <v>4583</v>
      </c>
      <c r="B1935" s="1" t="s">
        <v>4584</v>
      </c>
      <c r="C1935" s="1" t="s">
        <v>4585</v>
      </c>
      <c r="E1935" s="1">
        <v>16.2353161</v>
      </c>
      <c r="F1935" s="1">
        <v>80.0477434</v>
      </c>
      <c r="G1935" s="1" t="s">
        <v>54</v>
      </c>
      <c r="H1935" s="1" t="s">
        <v>55</v>
      </c>
      <c r="J1935" s="1" t="s">
        <v>56</v>
      </c>
      <c r="K1935" s="1" t="s">
        <v>26</v>
      </c>
      <c r="L1935" s="1" t="s">
        <v>27</v>
      </c>
      <c r="N1935" s="1" t="s">
        <v>464</v>
      </c>
      <c r="O1935" s="1" t="s">
        <v>57</v>
      </c>
      <c r="P1935" s="1" t="s">
        <v>2074</v>
      </c>
      <c r="Q1935" s="1" t="s">
        <v>2075</v>
      </c>
      <c r="R1935" s="1">
        <v>0.0</v>
      </c>
      <c r="S1935" s="1"/>
    </row>
    <row r="1936" ht="15.75" customHeight="1">
      <c r="A1936" s="1" t="s">
        <v>4586</v>
      </c>
      <c r="B1936" s="1" t="s">
        <v>4587</v>
      </c>
      <c r="C1936" s="1" t="s">
        <v>4588</v>
      </c>
      <c r="E1936" s="1">
        <v>23.6323881</v>
      </c>
      <c r="F1936" s="1">
        <v>86.168167</v>
      </c>
      <c r="G1936" s="1" t="s">
        <v>54</v>
      </c>
      <c r="H1936" s="1" t="s">
        <v>55</v>
      </c>
      <c r="J1936" s="1" t="s">
        <v>56</v>
      </c>
      <c r="K1936" s="1" t="s">
        <v>26</v>
      </c>
      <c r="L1936" s="1" t="s">
        <v>27</v>
      </c>
      <c r="N1936" s="1" t="s">
        <v>506</v>
      </c>
      <c r="O1936" s="1" t="s">
        <v>57</v>
      </c>
      <c r="P1936" s="1" t="s">
        <v>3253</v>
      </c>
      <c r="Q1936" s="1" t="s">
        <v>3254</v>
      </c>
      <c r="R1936" s="1">
        <v>0.0</v>
      </c>
      <c r="S1936" s="1"/>
    </row>
    <row r="1937" ht="15.75" customHeight="1">
      <c r="A1937" s="1" t="s">
        <v>4589</v>
      </c>
      <c r="B1937" s="1" t="s">
        <v>4590</v>
      </c>
      <c r="C1937" s="1" t="s">
        <v>4591</v>
      </c>
      <c r="E1937" s="1">
        <v>29.3181455</v>
      </c>
      <c r="F1937" s="1">
        <v>76.31684849999999</v>
      </c>
      <c r="G1937" s="1" t="s">
        <v>54</v>
      </c>
      <c r="H1937" s="1" t="s">
        <v>55</v>
      </c>
      <c r="J1937" s="1" t="s">
        <v>56</v>
      </c>
      <c r="K1937" s="1" t="s">
        <v>26</v>
      </c>
      <c r="L1937" s="1" t="s">
        <v>27</v>
      </c>
      <c r="N1937" s="1" t="s">
        <v>163</v>
      </c>
      <c r="O1937" s="1" t="s">
        <v>57</v>
      </c>
      <c r="P1937" s="1" t="s">
        <v>938</v>
      </c>
      <c r="Q1937" s="1" t="s">
        <v>939</v>
      </c>
      <c r="R1937" s="1">
        <v>0.0</v>
      </c>
      <c r="S1937" s="1"/>
    </row>
    <row r="1938" ht="15.75" customHeight="1">
      <c r="A1938" s="1" t="s">
        <v>4592</v>
      </c>
      <c r="B1938" s="1" t="s">
        <v>4593</v>
      </c>
      <c r="C1938" s="1" t="s">
        <v>2407</v>
      </c>
      <c r="E1938" s="1">
        <v>11.5277983</v>
      </c>
      <c r="F1938" s="1">
        <v>79.3216628</v>
      </c>
      <c r="G1938" s="1" t="s">
        <v>54</v>
      </c>
      <c r="H1938" s="1" t="s">
        <v>55</v>
      </c>
      <c r="J1938" s="1" t="s">
        <v>56</v>
      </c>
      <c r="K1938" s="1" t="s">
        <v>26</v>
      </c>
      <c r="L1938" s="1" t="s">
        <v>27</v>
      </c>
      <c r="N1938" s="1" t="s">
        <v>464</v>
      </c>
      <c r="O1938" s="1" t="s">
        <v>57</v>
      </c>
      <c r="P1938" s="1" t="s">
        <v>3219</v>
      </c>
      <c r="Q1938" s="1" t="s">
        <v>3220</v>
      </c>
      <c r="R1938" s="1">
        <v>0.0</v>
      </c>
      <c r="S1938" s="1"/>
    </row>
    <row r="1939" ht="15.75" customHeight="1">
      <c r="A1939" s="1" t="s">
        <v>4594</v>
      </c>
      <c r="B1939" s="1" t="s">
        <v>4595</v>
      </c>
      <c r="C1939" s="1" t="s">
        <v>2697</v>
      </c>
      <c r="E1939" s="1">
        <v>12.4852266</v>
      </c>
      <c r="F1939" s="1">
        <v>78.56028529999999</v>
      </c>
      <c r="G1939" s="1" t="s">
        <v>54</v>
      </c>
      <c r="H1939" s="1" t="s">
        <v>55</v>
      </c>
      <c r="J1939" s="1" t="s">
        <v>56</v>
      </c>
      <c r="K1939" s="1" t="s">
        <v>26</v>
      </c>
      <c r="L1939" s="1" t="s">
        <v>27</v>
      </c>
      <c r="N1939" s="1" t="s">
        <v>1097</v>
      </c>
      <c r="O1939" s="1" t="s">
        <v>57</v>
      </c>
      <c r="P1939" s="1" t="s">
        <v>3219</v>
      </c>
      <c r="Q1939" s="1" t="s">
        <v>3220</v>
      </c>
      <c r="R1939" s="1">
        <v>0.0</v>
      </c>
      <c r="S1939" s="1"/>
    </row>
    <row r="1940" ht="15.75" customHeight="1">
      <c r="A1940" s="1" t="s">
        <v>4596</v>
      </c>
      <c r="B1940" s="1" t="s">
        <v>4597</v>
      </c>
      <c r="C1940" s="1" t="s">
        <v>505</v>
      </c>
      <c r="E1940" s="1">
        <v>23.8276047</v>
      </c>
      <c r="F1940" s="1">
        <v>86.4341184</v>
      </c>
      <c r="G1940" s="1" t="s">
        <v>54</v>
      </c>
      <c r="H1940" s="1" t="s">
        <v>55</v>
      </c>
      <c r="J1940" s="1" t="s">
        <v>56</v>
      </c>
      <c r="K1940" s="1" t="s">
        <v>26</v>
      </c>
      <c r="L1940" s="1" t="s">
        <v>27</v>
      </c>
      <c r="N1940" s="1" t="s">
        <v>506</v>
      </c>
      <c r="O1940" s="1" t="s">
        <v>57</v>
      </c>
      <c r="P1940" s="1" t="s">
        <v>3253</v>
      </c>
      <c r="Q1940" s="1" t="s">
        <v>3254</v>
      </c>
      <c r="R1940" s="1">
        <v>0.0</v>
      </c>
      <c r="S1940" s="1"/>
    </row>
    <row r="1941" ht="15.75" customHeight="1">
      <c r="A1941" s="1" t="s">
        <v>4598</v>
      </c>
      <c r="B1941" s="1" t="s">
        <v>4599</v>
      </c>
      <c r="C1941" s="1" t="s">
        <v>242</v>
      </c>
      <c r="E1941" s="1">
        <v>21.2097158</v>
      </c>
      <c r="F1941" s="1">
        <v>72.8490443</v>
      </c>
      <c r="G1941" s="1" t="s">
        <v>54</v>
      </c>
      <c r="H1941" s="1" t="s">
        <v>55</v>
      </c>
      <c r="J1941" s="1" t="s">
        <v>56</v>
      </c>
      <c r="K1941" s="1" t="s">
        <v>26</v>
      </c>
      <c r="L1941" s="1" t="s">
        <v>27</v>
      </c>
      <c r="N1941" s="1" t="s">
        <v>216</v>
      </c>
      <c r="O1941" s="1" t="s">
        <v>57</v>
      </c>
      <c r="P1941" s="1" t="s">
        <v>3342</v>
      </c>
      <c r="Q1941" s="1" t="s">
        <v>3343</v>
      </c>
      <c r="R1941" s="1">
        <v>7.0</v>
      </c>
      <c r="S1941" s="1"/>
    </row>
    <row r="1942" ht="15.75" customHeight="1">
      <c r="A1942" s="1" t="s">
        <v>4600</v>
      </c>
      <c r="B1942" s="1" t="s">
        <v>4601</v>
      </c>
      <c r="C1942" s="1" t="s">
        <v>1957</v>
      </c>
      <c r="E1942" s="1">
        <v>29.948067</v>
      </c>
      <c r="F1942" s="1">
        <v>78.07573760000001</v>
      </c>
      <c r="G1942" s="1" t="s">
        <v>54</v>
      </c>
      <c r="H1942" s="1" t="s">
        <v>55</v>
      </c>
      <c r="J1942" s="1" t="s">
        <v>56</v>
      </c>
      <c r="K1942" s="1" t="s">
        <v>26</v>
      </c>
      <c r="L1942" s="1" t="s">
        <v>27</v>
      </c>
      <c r="N1942" s="1" t="s">
        <v>1950</v>
      </c>
      <c r="O1942" s="1" t="s">
        <v>57</v>
      </c>
      <c r="P1942" s="1" t="s">
        <v>887</v>
      </c>
      <c r="Q1942" s="1" t="s">
        <v>888</v>
      </c>
      <c r="R1942" s="1">
        <v>0.0</v>
      </c>
      <c r="S1942" s="1"/>
    </row>
    <row r="1943" ht="15.75" customHeight="1">
      <c r="A1943" s="1" t="s">
        <v>4602</v>
      </c>
      <c r="B1943" s="1" t="s">
        <v>4603</v>
      </c>
      <c r="C1943" s="1" t="s">
        <v>4604</v>
      </c>
      <c r="E1943" s="1">
        <v>15.4833247</v>
      </c>
      <c r="F1943" s="1">
        <v>78.4857711</v>
      </c>
      <c r="G1943" s="1" t="s">
        <v>54</v>
      </c>
      <c r="H1943" s="1" t="s">
        <v>55</v>
      </c>
      <c r="J1943" s="1" t="s">
        <v>56</v>
      </c>
      <c r="K1943" s="1" t="s">
        <v>26</v>
      </c>
      <c r="L1943" s="1" t="s">
        <v>27</v>
      </c>
      <c r="N1943" s="1" t="s">
        <v>464</v>
      </c>
      <c r="O1943" s="1" t="s">
        <v>57</v>
      </c>
      <c r="P1943" s="1" t="s">
        <v>2074</v>
      </c>
      <c r="Q1943" s="1" t="s">
        <v>2075</v>
      </c>
      <c r="R1943" s="1">
        <v>0.0</v>
      </c>
      <c r="S1943" s="1"/>
    </row>
    <row r="1944" ht="15.75" customHeight="1">
      <c r="A1944" s="1" t="s">
        <v>4605</v>
      </c>
      <c r="B1944" s="1" t="s">
        <v>4606</v>
      </c>
      <c r="C1944" s="1" t="s">
        <v>4607</v>
      </c>
      <c r="E1944" s="1">
        <v>27.1456833</v>
      </c>
      <c r="F1944" s="1">
        <v>81.9681701</v>
      </c>
      <c r="G1944" s="1" t="s">
        <v>54</v>
      </c>
      <c r="H1944" s="1" t="s">
        <v>55</v>
      </c>
      <c r="J1944" s="1" t="s">
        <v>56</v>
      </c>
      <c r="K1944" s="1" t="s">
        <v>26</v>
      </c>
      <c r="L1944" s="1" t="s">
        <v>27</v>
      </c>
      <c r="N1944" s="1" t="s">
        <v>28</v>
      </c>
      <c r="O1944" s="1" t="s">
        <v>57</v>
      </c>
      <c r="P1944" s="1" t="s">
        <v>733</v>
      </c>
      <c r="Q1944" s="1" t="s">
        <v>734</v>
      </c>
      <c r="R1944" s="1">
        <v>0.0</v>
      </c>
      <c r="S1944" s="1"/>
    </row>
    <row r="1945" ht="15.75" customHeight="1">
      <c r="A1945" s="1" t="s">
        <v>4608</v>
      </c>
      <c r="B1945" s="1" t="s">
        <v>4609</v>
      </c>
      <c r="C1945" s="1" t="s">
        <v>4528</v>
      </c>
      <c r="E1945" s="1">
        <v>13.2157864</v>
      </c>
      <c r="F1945" s="1">
        <v>79.1129735</v>
      </c>
      <c r="G1945" s="1" t="s">
        <v>54</v>
      </c>
      <c r="H1945" s="1" t="s">
        <v>55</v>
      </c>
      <c r="J1945" s="1" t="s">
        <v>56</v>
      </c>
      <c r="K1945" s="1" t="s">
        <v>26</v>
      </c>
      <c r="L1945" s="1" t="s">
        <v>27</v>
      </c>
      <c r="N1945" s="1" t="s">
        <v>464</v>
      </c>
      <c r="O1945" s="1" t="s">
        <v>57</v>
      </c>
      <c r="P1945" s="1" t="s">
        <v>2074</v>
      </c>
      <c r="Q1945" s="1" t="s">
        <v>2075</v>
      </c>
      <c r="R1945" s="1">
        <v>0.0</v>
      </c>
      <c r="S1945" s="1"/>
    </row>
    <row r="1946" ht="15.75" customHeight="1">
      <c r="A1946" s="1" t="s">
        <v>4610</v>
      </c>
      <c r="B1946" s="1" t="s">
        <v>4611</v>
      </c>
      <c r="C1946" s="1" t="s">
        <v>2461</v>
      </c>
      <c r="E1946" s="1">
        <v>11.143431</v>
      </c>
      <c r="F1946" s="1">
        <v>77.3176917</v>
      </c>
      <c r="G1946" s="1" t="s">
        <v>54</v>
      </c>
      <c r="H1946" s="1" t="s">
        <v>55</v>
      </c>
      <c r="J1946" s="1" t="s">
        <v>56</v>
      </c>
      <c r="K1946" s="1" t="s">
        <v>26</v>
      </c>
      <c r="L1946" s="1" t="s">
        <v>27</v>
      </c>
      <c r="N1946" s="1" t="s">
        <v>464</v>
      </c>
      <c r="O1946" s="1" t="s">
        <v>57</v>
      </c>
      <c r="P1946" s="1" t="s">
        <v>3219</v>
      </c>
      <c r="Q1946" s="1" t="s">
        <v>3220</v>
      </c>
      <c r="R1946" s="1">
        <v>0.0</v>
      </c>
      <c r="S1946" s="1"/>
    </row>
    <row r="1947" ht="15.75" customHeight="1">
      <c r="A1947" s="1" t="s">
        <v>4612</v>
      </c>
      <c r="B1947" s="1" t="s">
        <v>4613</v>
      </c>
      <c r="C1947" s="1" t="s">
        <v>3647</v>
      </c>
      <c r="E1947" s="1">
        <v>13.9290791</v>
      </c>
      <c r="F1947" s="1">
        <v>75.5677187</v>
      </c>
      <c r="G1947" s="1" t="s">
        <v>54</v>
      </c>
      <c r="H1947" s="1" t="s">
        <v>55</v>
      </c>
      <c r="J1947" s="1" t="s">
        <v>56</v>
      </c>
      <c r="K1947" s="1" t="s">
        <v>26</v>
      </c>
      <c r="L1947" s="1" t="s">
        <v>27</v>
      </c>
      <c r="N1947" s="1" t="s">
        <v>743</v>
      </c>
      <c r="O1947" s="1" t="s">
        <v>57</v>
      </c>
      <c r="P1947" s="1" t="s">
        <v>1079</v>
      </c>
      <c r="Q1947" s="1" t="s">
        <v>1080</v>
      </c>
      <c r="R1947" s="1">
        <v>0.0</v>
      </c>
      <c r="S1947" s="1"/>
    </row>
    <row r="1948" ht="15.75" customHeight="1">
      <c r="A1948" s="1" t="s">
        <v>4614</v>
      </c>
      <c r="B1948" s="1" t="s">
        <v>4615</v>
      </c>
      <c r="C1948" s="1" t="s">
        <v>4616</v>
      </c>
      <c r="E1948" s="1">
        <v>23.6263511</v>
      </c>
      <c r="F1948" s="1">
        <v>87.1142229</v>
      </c>
      <c r="G1948" s="1" t="s">
        <v>54</v>
      </c>
      <c r="H1948" s="1" t="s">
        <v>55</v>
      </c>
      <c r="J1948" s="1" t="s">
        <v>56</v>
      </c>
      <c r="K1948" s="1" t="s">
        <v>26</v>
      </c>
      <c r="L1948" s="1" t="s">
        <v>27</v>
      </c>
      <c r="N1948" s="1" t="s">
        <v>532</v>
      </c>
      <c r="O1948" s="1" t="s">
        <v>57</v>
      </c>
      <c r="P1948" s="1" t="s">
        <v>3131</v>
      </c>
      <c r="Q1948" s="1" t="s">
        <v>3132</v>
      </c>
      <c r="R1948" s="1">
        <v>0.0</v>
      </c>
      <c r="S1948" s="1"/>
    </row>
    <row r="1949" ht="15.75" customHeight="1">
      <c r="A1949" s="1" t="s">
        <v>4617</v>
      </c>
      <c r="B1949" s="1" t="s">
        <v>4618</v>
      </c>
      <c r="C1949" s="1" t="s">
        <v>2053</v>
      </c>
      <c r="E1949" s="1">
        <v>22.3544913</v>
      </c>
      <c r="F1949" s="1">
        <v>82.7048106</v>
      </c>
      <c r="G1949" s="1" t="s">
        <v>54</v>
      </c>
      <c r="H1949" s="1" t="s">
        <v>55</v>
      </c>
      <c r="J1949" s="1" t="s">
        <v>56</v>
      </c>
      <c r="K1949" s="1" t="s">
        <v>26</v>
      </c>
      <c r="L1949" s="1" t="s">
        <v>27</v>
      </c>
      <c r="N1949" s="1" t="s">
        <v>1989</v>
      </c>
      <c r="O1949" s="1" t="s">
        <v>57</v>
      </c>
      <c r="P1949" s="1" t="s">
        <v>3243</v>
      </c>
      <c r="Q1949" s="1" t="s">
        <v>3244</v>
      </c>
      <c r="R1949" s="1">
        <v>0.0</v>
      </c>
      <c r="S1949" s="1"/>
    </row>
    <row r="1950" ht="15.75" customHeight="1">
      <c r="A1950" s="1" t="s">
        <v>4619</v>
      </c>
      <c r="B1950" s="1" t="s">
        <v>4620</v>
      </c>
      <c r="C1950" s="1" t="s">
        <v>4621</v>
      </c>
      <c r="E1950" s="1">
        <v>23.591211</v>
      </c>
      <c r="F1950" s="1">
        <v>72.377827</v>
      </c>
      <c r="G1950" s="1" t="s">
        <v>54</v>
      </c>
      <c r="H1950" s="1" t="s">
        <v>55</v>
      </c>
      <c r="J1950" s="1" t="s">
        <v>56</v>
      </c>
      <c r="K1950" s="1" t="s">
        <v>26</v>
      </c>
      <c r="L1950" s="1" t="s">
        <v>27</v>
      </c>
      <c r="N1950" s="1" t="s">
        <v>216</v>
      </c>
      <c r="O1950" s="1" t="s">
        <v>57</v>
      </c>
      <c r="P1950" s="1" t="s">
        <v>3342</v>
      </c>
      <c r="Q1950" s="1" t="s">
        <v>3343</v>
      </c>
      <c r="R1950" s="1">
        <v>0.0</v>
      </c>
      <c r="S1950" s="1"/>
    </row>
    <row r="1951" ht="15.75" customHeight="1">
      <c r="A1951" s="1" t="s">
        <v>4622</v>
      </c>
      <c r="B1951" s="1" t="s">
        <v>4623</v>
      </c>
      <c r="C1951" s="1" t="s">
        <v>4624</v>
      </c>
      <c r="E1951" s="1">
        <v>18.7942818</v>
      </c>
      <c r="F1951" s="1">
        <v>78.9201458</v>
      </c>
      <c r="G1951" s="1" t="s">
        <v>54</v>
      </c>
      <c r="H1951" s="1" t="s">
        <v>55</v>
      </c>
      <c r="J1951" s="1" t="s">
        <v>56</v>
      </c>
      <c r="K1951" s="1" t="s">
        <v>26</v>
      </c>
      <c r="L1951" s="1" t="s">
        <v>27</v>
      </c>
      <c r="N1951" s="1" t="s">
        <v>464</v>
      </c>
      <c r="O1951" s="1" t="s">
        <v>57</v>
      </c>
      <c r="P1951" s="1" t="s">
        <v>2074</v>
      </c>
      <c r="Q1951" s="1" t="s">
        <v>2075</v>
      </c>
      <c r="R1951" s="1">
        <v>0.0</v>
      </c>
      <c r="S1951" s="1"/>
    </row>
    <row r="1952" ht="15.75" customHeight="1">
      <c r="A1952" s="1" t="s">
        <v>4625</v>
      </c>
      <c r="B1952" s="1" t="s">
        <v>4626</v>
      </c>
      <c r="C1952" s="1" t="s">
        <v>1112</v>
      </c>
      <c r="E1952" s="1">
        <v>13.1196109</v>
      </c>
      <c r="F1952" s="1">
        <v>80.22485630000001</v>
      </c>
      <c r="G1952" s="1" t="s">
        <v>54</v>
      </c>
      <c r="H1952" s="1" t="s">
        <v>55</v>
      </c>
      <c r="J1952" s="1" t="s">
        <v>56</v>
      </c>
      <c r="K1952" s="1" t="s">
        <v>26</v>
      </c>
      <c r="L1952" s="1" t="s">
        <v>27</v>
      </c>
      <c r="N1952" s="1" t="s">
        <v>1097</v>
      </c>
      <c r="O1952" s="1" t="s">
        <v>57</v>
      </c>
      <c r="P1952" s="1" t="s">
        <v>3219</v>
      </c>
      <c r="Q1952" s="1" t="s">
        <v>3220</v>
      </c>
      <c r="R1952" s="1">
        <v>0.0</v>
      </c>
      <c r="S1952" s="1"/>
    </row>
    <row r="1953" ht="15.75" customHeight="1">
      <c r="A1953" s="1" t="s">
        <v>4627</v>
      </c>
      <c r="B1953" s="1" t="s">
        <v>4628</v>
      </c>
      <c r="C1953" s="1" t="s">
        <v>4629</v>
      </c>
      <c r="E1953" s="1">
        <v>29.86599859999999</v>
      </c>
      <c r="F1953" s="1">
        <v>77.8864057</v>
      </c>
      <c r="G1953" s="1" t="s">
        <v>54</v>
      </c>
      <c r="H1953" s="1" t="s">
        <v>55</v>
      </c>
      <c r="J1953" s="1" t="s">
        <v>56</v>
      </c>
      <c r="K1953" s="1" t="s">
        <v>26</v>
      </c>
      <c r="L1953" s="1" t="s">
        <v>27</v>
      </c>
      <c r="N1953" s="1" t="s">
        <v>1950</v>
      </c>
      <c r="O1953" s="1" t="s">
        <v>57</v>
      </c>
      <c r="P1953" s="1" t="s">
        <v>887</v>
      </c>
      <c r="Q1953" s="1" t="s">
        <v>888</v>
      </c>
      <c r="R1953" s="1">
        <v>0.0</v>
      </c>
      <c r="S1953" s="1"/>
    </row>
    <row r="1954" ht="15.75" customHeight="1">
      <c r="A1954" s="1" t="s">
        <v>4630</v>
      </c>
      <c r="B1954" s="1" t="s">
        <v>4631</v>
      </c>
      <c r="C1954" s="1" t="s">
        <v>4632</v>
      </c>
      <c r="E1954" s="1">
        <v>19.0884156</v>
      </c>
      <c r="F1954" s="1">
        <v>82.011705</v>
      </c>
      <c r="G1954" s="1" t="s">
        <v>54</v>
      </c>
      <c r="H1954" s="1" t="s">
        <v>55</v>
      </c>
      <c r="J1954" s="1" t="s">
        <v>56</v>
      </c>
      <c r="K1954" s="1" t="s">
        <v>26</v>
      </c>
      <c r="L1954" s="1" t="s">
        <v>27</v>
      </c>
      <c r="N1954" s="1" t="s">
        <v>1989</v>
      </c>
      <c r="O1954" s="1" t="s">
        <v>57</v>
      </c>
      <c r="P1954" s="1" t="s">
        <v>3243</v>
      </c>
      <c r="Q1954" s="1" t="s">
        <v>3244</v>
      </c>
      <c r="R1954" s="1">
        <v>0.0</v>
      </c>
      <c r="S1954" s="1"/>
    </row>
    <row r="1955" ht="15.75" customHeight="1">
      <c r="A1955" s="1" t="s">
        <v>4633</v>
      </c>
      <c r="B1955" s="1" t="s">
        <v>4634</v>
      </c>
      <c r="C1955" s="1" t="s">
        <v>185</v>
      </c>
      <c r="E1955" s="1">
        <v>17.4414042</v>
      </c>
      <c r="F1955" s="1">
        <v>78.4996991</v>
      </c>
      <c r="G1955" s="1" t="s">
        <v>54</v>
      </c>
      <c r="H1955" s="1" t="s">
        <v>55</v>
      </c>
      <c r="J1955" s="1" t="s">
        <v>56</v>
      </c>
      <c r="K1955" s="1" t="s">
        <v>26</v>
      </c>
      <c r="L1955" s="1" t="s">
        <v>27</v>
      </c>
      <c r="N1955" s="1" t="s">
        <v>186</v>
      </c>
      <c r="O1955" s="1" t="s">
        <v>57</v>
      </c>
      <c r="P1955" s="1" t="s">
        <v>2074</v>
      </c>
      <c r="Q1955" s="1" t="s">
        <v>2075</v>
      </c>
      <c r="R1955" s="1">
        <v>0.0</v>
      </c>
      <c r="S1955" s="1"/>
    </row>
    <row r="1956" ht="15.75" customHeight="1">
      <c r="A1956" s="1" t="s">
        <v>4635</v>
      </c>
      <c r="B1956" s="1" t="s">
        <v>4636</v>
      </c>
      <c r="C1956" s="1" t="s">
        <v>185</v>
      </c>
      <c r="E1956" s="1">
        <v>17.4023341</v>
      </c>
      <c r="F1956" s="1">
        <v>78.5720048</v>
      </c>
      <c r="G1956" s="1" t="s">
        <v>54</v>
      </c>
      <c r="H1956" s="1" t="s">
        <v>55</v>
      </c>
      <c r="J1956" s="1" t="s">
        <v>56</v>
      </c>
      <c r="K1956" s="1" t="s">
        <v>26</v>
      </c>
      <c r="L1956" s="1" t="s">
        <v>27</v>
      </c>
      <c r="N1956" s="1" t="s">
        <v>186</v>
      </c>
      <c r="O1956" s="1" t="s">
        <v>57</v>
      </c>
      <c r="P1956" s="1" t="s">
        <v>2074</v>
      </c>
      <c r="Q1956" s="1" t="s">
        <v>2075</v>
      </c>
      <c r="R1956" s="1">
        <v>0.0</v>
      </c>
      <c r="S1956" s="1"/>
    </row>
    <row r="1957" ht="15.75" customHeight="1">
      <c r="A1957" s="1" t="s">
        <v>4637</v>
      </c>
      <c r="B1957" s="1" t="s">
        <v>4638</v>
      </c>
      <c r="C1957" s="1" t="s">
        <v>1459</v>
      </c>
      <c r="E1957" s="1">
        <v>20.3703027</v>
      </c>
      <c r="F1957" s="1">
        <v>72.9216673</v>
      </c>
      <c r="G1957" s="1" t="s">
        <v>54</v>
      </c>
      <c r="H1957" s="1" t="s">
        <v>55</v>
      </c>
      <c r="J1957" s="1" t="s">
        <v>56</v>
      </c>
      <c r="K1957" s="1" t="s">
        <v>26</v>
      </c>
      <c r="L1957" s="1" t="s">
        <v>27</v>
      </c>
      <c r="N1957" s="1" t="s">
        <v>216</v>
      </c>
      <c r="O1957" s="1" t="s">
        <v>57</v>
      </c>
      <c r="P1957" s="1" t="s">
        <v>3342</v>
      </c>
      <c r="Q1957" s="1" t="s">
        <v>3343</v>
      </c>
      <c r="R1957" s="1">
        <v>0.0</v>
      </c>
      <c r="S1957" s="1"/>
    </row>
    <row r="1958" ht="15.75" customHeight="1">
      <c r="A1958" s="1" t="s">
        <v>4639</v>
      </c>
      <c r="B1958" s="1" t="s">
        <v>4640</v>
      </c>
      <c r="C1958" s="1" t="s">
        <v>162</v>
      </c>
      <c r="E1958" s="1">
        <v>28.386974</v>
      </c>
      <c r="F1958" s="1">
        <v>77.2989655</v>
      </c>
      <c r="G1958" s="1" t="s">
        <v>54</v>
      </c>
      <c r="H1958" s="1" t="s">
        <v>55</v>
      </c>
      <c r="J1958" s="1" t="s">
        <v>56</v>
      </c>
      <c r="K1958" s="1" t="s">
        <v>26</v>
      </c>
      <c r="L1958" s="1" t="s">
        <v>27</v>
      </c>
      <c r="N1958" s="1" t="s">
        <v>163</v>
      </c>
      <c r="O1958" s="1" t="s">
        <v>57</v>
      </c>
      <c r="P1958" s="1" t="s">
        <v>2318</v>
      </c>
      <c r="Q1958" s="1" t="s">
        <v>2319</v>
      </c>
      <c r="R1958" s="1">
        <v>1.0</v>
      </c>
      <c r="S1958" s="1"/>
    </row>
    <row r="1959" ht="15.75" customHeight="1">
      <c r="A1959" s="1" t="s">
        <v>4641</v>
      </c>
      <c r="B1959" s="1" t="s">
        <v>4642</v>
      </c>
      <c r="C1959" s="1" t="s">
        <v>4643</v>
      </c>
      <c r="E1959" s="1">
        <v>14.119401</v>
      </c>
      <c r="F1959" s="1">
        <v>78.15596099999999</v>
      </c>
      <c r="G1959" s="1" t="s">
        <v>54</v>
      </c>
      <c r="H1959" s="1" t="s">
        <v>55</v>
      </c>
      <c r="J1959" s="1" t="s">
        <v>56</v>
      </c>
      <c r="K1959" s="1" t="s">
        <v>26</v>
      </c>
      <c r="L1959" s="1" t="s">
        <v>27</v>
      </c>
      <c r="N1959" s="1" t="s">
        <v>464</v>
      </c>
      <c r="O1959" s="1" t="s">
        <v>57</v>
      </c>
      <c r="P1959" s="1" t="s">
        <v>2074</v>
      </c>
      <c r="Q1959" s="1" t="s">
        <v>2075</v>
      </c>
      <c r="R1959" s="1">
        <v>0.0</v>
      </c>
      <c r="S1959" s="1"/>
    </row>
    <row r="1960" ht="15.75" customHeight="1">
      <c r="A1960" s="1" t="s">
        <v>4644</v>
      </c>
      <c r="B1960" s="1" t="s">
        <v>4645</v>
      </c>
      <c r="C1960" s="1" t="s">
        <v>467</v>
      </c>
      <c r="E1960" s="1">
        <v>16.5169363</v>
      </c>
      <c r="F1960" s="1">
        <v>80.64382429999999</v>
      </c>
      <c r="G1960" s="1" t="s">
        <v>54</v>
      </c>
      <c r="H1960" s="1" t="s">
        <v>55</v>
      </c>
      <c r="J1960" s="1" t="s">
        <v>56</v>
      </c>
      <c r="K1960" s="1" t="s">
        <v>26</v>
      </c>
      <c r="L1960" s="1" t="s">
        <v>27</v>
      </c>
      <c r="N1960" s="1" t="s">
        <v>464</v>
      </c>
      <c r="O1960" s="1" t="s">
        <v>57</v>
      </c>
      <c r="P1960" s="1" t="s">
        <v>2074</v>
      </c>
      <c r="Q1960" s="1" t="s">
        <v>2075</v>
      </c>
      <c r="R1960" s="1">
        <v>0.0</v>
      </c>
      <c r="S1960" s="1"/>
    </row>
    <row r="1961" ht="15.75" customHeight="1">
      <c r="A1961" s="1" t="s">
        <v>4646</v>
      </c>
      <c r="B1961" s="1" t="s">
        <v>4647</v>
      </c>
      <c r="C1961" s="1" t="s">
        <v>148</v>
      </c>
      <c r="E1961" s="1">
        <v>19.4202641</v>
      </c>
      <c r="F1961" s="1">
        <v>72.8134736</v>
      </c>
      <c r="G1961" s="1" t="s">
        <v>54</v>
      </c>
      <c r="H1961" s="1" t="s">
        <v>55</v>
      </c>
      <c r="J1961" s="1" t="s">
        <v>56</v>
      </c>
      <c r="K1961" s="1" t="s">
        <v>26</v>
      </c>
      <c r="L1961" s="1" t="s">
        <v>27</v>
      </c>
      <c r="N1961" s="1" t="s">
        <v>143</v>
      </c>
      <c r="O1961" s="1" t="s">
        <v>57</v>
      </c>
      <c r="P1961" s="1" t="s">
        <v>2300</v>
      </c>
      <c r="Q1961" s="1" t="s">
        <v>2301</v>
      </c>
      <c r="R1961" s="1">
        <v>0.0</v>
      </c>
      <c r="S1961" s="1"/>
    </row>
    <row r="1962" ht="15.75" customHeight="1">
      <c r="A1962" s="1" t="s">
        <v>4648</v>
      </c>
      <c r="B1962" s="1" t="s">
        <v>4649</v>
      </c>
      <c r="C1962" s="1" t="s">
        <v>1516</v>
      </c>
      <c r="E1962" s="1">
        <v>22.264152</v>
      </c>
      <c r="F1962" s="1">
        <v>70.7995096</v>
      </c>
      <c r="G1962" s="1" t="s">
        <v>54</v>
      </c>
      <c r="H1962" s="1" t="s">
        <v>55</v>
      </c>
      <c r="J1962" s="1" t="s">
        <v>56</v>
      </c>
      <c r="K1962" s="1" t="s">
        <v>26</v>
      </c>
      <c r="L1962" s="1" t="s">
        <v>27</v>
      </c>
      <c r="N1962" s="1" t="s">
        <v>216</v>
      </c>
      <c r="O1962" s="1" t="s">
        <v>57</v>
      </c>
      <c r="P1962" s="1" t="s">
        <v>3342</v>
      </c>
      <c r="Q1962" s="1" t="s">
        <v>3343</v>
      </c>
      <c r="R1962" s="1">
        <v>0.0</v>
      </c>
      <c r="S1962" s="1"/>
    </row>
    <row r="1963" ht="15.75" customHeight="1">
      <c r="A1963" s="1" t="s">
        <v>4650</v>
      </c>
      <c r="B1963" s="1" t="s">
        <v>4651</v>
      </c>
      <c r="C1963" s="1" t="s">
        <v>4652</v>
      </c>
      <c r="E1963" s="1">
        <v>13.9644485</v>
      </c>
      <c r="F1963" s="1">
        <v>79.3469368</v>
      </c>
      <c r="G1963" s="1" t="s">
        <v>54</v>
      </c>
      <c r="H1963" s="1" t="s">
        <v>55</v>
      </c>
      <c r="J1963" s="1" t="s">
        <v>56</v>
      </c>
      <c r="K1963" s="1" t="s">
        <v>26</v>
      </c>
      <c r="L1963" s="1" t="s">
        <v>27</v>
      </c>
      <c r="N1963" s="1" t="s">
        <v>464</v>
      </c>
      <c r="O1963" s="1" t="s">
        <v>57</v>
      </c>
      <c r="P1963" s="1" t="s">
        <v>2074</v>
      </c>
      <c r="Q1963" s="1" t="s">
        <v>2075</v>
      </c>
      <c r="R1963" s="1">
        <v>1.0</v>
      </c>
      <c r="S1963" s="1"/>
    </row>
    <row r="1964" ht="15.75" customHeight="1">
      <c r="A1964" s="1" t="s">
        <v>4653</v>
      </c>
      <c r="B1964" s="1" t="s">
        <v>4654</v>
      </c>
      <c r="C1964" s="1" t="s">
        <v>3072</v>
      </c>
      <c r="E1964" s="1">
        <v>29.6064214</v>
      </c>
      <c r="F1964" s="1">
        <v>74.29184409999999</v>
      </c>
      <c r="G1964" s="1" t="s">
        <v>54</v>
      </c>
      <c r="H1964" s="1" t="s">
        <v>55</v>
      </c>
      <c r="J1964" s="1" t="s">
        <v>56</v>
      </c>
      <c r="K1964" s="1" t="s">
        <v>26</v>
      </c>
      <c r="L1964" s="1" t="s">
        <v>27</v>
      </c>
      <c r="N1964" s="1" t="s">
        <v>849</v>
      </c>
      <c r="O1964" s="1" t="s">
        <v>57</v>
      </c>
      <c r="P1964" s="1" t="s">
        <v>887</v>
      </c>
      <c r="Q1964" s="1" t="s">
        <v>888</v>
      </c>
      <c r="R1964" s="1">
        <v>0.0</v>
      </c>
      <c r="S1964" s="1"/>
    </row>
    <row r="1965" ht="15.75" customHeight="1">
      <c r="A1965" s="1" t="s">
        <v>4655</v>
      </c>
      <c r="B1965" s="1" t="s">
        <v>4656</v>
      </c>
      <c r="C1965" s="1" t="s">
        <v>1403</v>
      </c>
      <c r="E1965" s="1">
        <v>15.512517</v>
      </c>
      <c r="F1965" s="1">
        <v>80.0463801</v>
      </c>
      <c r="G1965" s="1" t="s">
        <v>54</v>
      </c>
      <c r="H1965" s="1" t="s">
        <v>55</v>
      </c>
      <c r="J1965" s="1" t="s">
        <v>56</v>
      </c>
      <c r="K1965" s="1" t="s">
        <v>26</v>
      </c>
      <c r="L1965" s="1" t="s">
        <v>27</v>
      </c>
      <c r="N1965" s="1" t="s">
        <v>464</v>
      </c>
      <c r="O1965" s="1" t="s">
        <v>57</v>
      </c>
      <c r="P1965" s="1" t="s">
        <v>2074</v>
      </c>
      <c r="Q1965" s="1" t="s">
        <v>2075</v>
      </c>
      <c r="R1965" s="1">
        <v>0.0</v>
      </c>
      <c r="S1965" s="1"/>
    </row>
    <row r="1966" ht="15.75" customHeight="1">
      <c r="A1966" s="1" t="s">
        <v>4657</v>
      </c>
      <c r="B1966" s="1" t="s">
        <v>4658</v>
      </c>
      <c r="C1966" s="1" t="s">
        <v>215</v>
      </c>
      <c r="E1966" s="1">
        <v>23.0033377</v>
      </c>
      <c r="F1966" s="1">
        <v>72.5946884</v>
      </c>
      <c r="G1966" s="1" t="s">
        <v>54</v>
      </c>
      <c r="H1966" s="1" t="s">
        <v>55</v>
      </c>
      <c r="J1966" s="1" t="s">
        <v>56</v>
      </c>
      <c r="K1966" s="1" t="s">
        <v>26</v>
      </c>
      <c r="L1966" s="1" t="s">
        <v>27</v>
      </c>
      <c r="N1966" s="1" t="s">
        <v>216</v>
      </c>
      <c r="O1966" s="1" t="s">
        <v>57</v>
      </c>
      <c r="P1966" s="1" t="s">
        <v>3830</v>
      </c>
      <c r="Q1966" s="1" t="s">
        <v>3831</v>
      </c>
      <c r="R1966" s="1">
        <v>0.0</v>
      </c>
      <c r="S1966" s="1"/>
    </row>
    <row r="1967" ht="15.75" customHeight="1">
      <c r="A1967" s="1" t="s">
        <v>4659</v>
      </c>
      <c r="B1967" s="1" t="s">
        <v>4660</v>
      </c>
      <c r="C1967" s="1" t="s">
        <v>1716</v>
      </c>
      <c r="E1967" s="1">
        <v>28.3926277</v>
      </c>
      <c r="F1967" s="1">
        <v>77.0660455</v>
      </c>
      <c r="G1967" s="1" t="s">
        <v>54</v>
      </c>
      <c r="H1967" s="1" t="s">
        <v>55</v>
      </c>
      <c r="J1967" s="1" t="s">
        <v>56</v>
      </c>
      <c r="K1967" s="1" t="s">
        <v>26</v>
      </c>
      <c r="L1967" s="1" t="s">
        <v>27</v>
      </c>
      <c r="N1967" s="1" t="s">
        <v>163</v>
      </c>
      <c r="O1967" s="1" t="s">
        <v>57</v>
      </c>
      <c r="P1967" s="1" t="s">
        <v>2163</v>
      </c>
      <c r="Q1967" s="1" t="s">
        <v>2164</v>
      </c>
      <c r="R1967" s="1">
        <v>1.0</v>
      </c>
      <c r="S1967" s="1"/>
    </row>
    <row r="1968" ht="15.75" customHeight="1">
      <c r="A1968" s="1" t="s">
        <v>4661</v>
      </c>
      <c r="B1968" s="1" t="s">
        <v>4662</v>
      </c>
      <c r="C1968" s="1" t="s">
        <v>2419</v>
      </c>
      <c r="E1968" s="1">
        <v>13.1371478</v>
      </c>
      <c r="F1968" s="1">
        <v>79.9086761</v>
      </c>
      <c r="G1968" s="1" t="s">
        <v>54</v>
      </c>
      <c r="H1968" s="1" t="s">
        <v>55</v>
      </c>
      <c r="J1968" s="1" t="s">
        <v>56</v>
      </c>
      <c r="K1968" s="1" t="s">
        <v>26</v>
      </c>
      <c r="L1968" s="1" t="s">
        <v>27</v>
      </c>
      <c r="N1968" s="1" t="s">
        <v>1097</v>
      </c>
      <c r="O1968" s="1" t="s">
        <v>57</v>
      </c>
      <c r="P1968" s="1" t="s">
        <v>3219</v>
      </c>
      <c r="Q1968" s="1" t="s">
        <v>3220</v>
      </c>
      <c r="R1968" s="1">
        <v>0.0</v>
      </c>
      <c r="S1968" s="1"/>
    </row>
    <row r="1969" ht="15.75" customHeight="1">
      <c r="A1969" s="1" t="s">
        <v>4663</v>
      </c>
      <c r="B1969" s="1" t="s">
        <v>4664</v>
      </c>
      <c r="C1969" s="1" t="s">
        <v>1274</v>
      </c>
      <c r="E1969" s="1">
        <v>16.4786447</v>
      </c>
      <c r="F1969" s="1">
        <v>79.893819</v>
      </c>
      <c r="G1969" s="1" t="s">
        <v>54</v>
      </c>
      <c r="H1969" s="1" t="s">
        <v>55</v>
      </c>
      <c r="J1969" s="1" t="s">
        <v>56</v>
      </c>
      <c r="K1969" s="1" t="s">
        <v>26</v>
      </c>
      <c r="L1969" s="1" t="s">
        <v>27</v>
      </c>
      <c r="N1969" s="1" t="s">
        <v>464</v>
      </c>
      <c r="O1969" s="1" t="s">
        <v>57</v>
      </c>
      <c r="P1969" s="1" t="s">
        <v>2074</v>
      </c>
      <c r="Q1969" s="1" t="s">
        <v>2075</v>
      </c>
      <c r="R1969" s="1">
        <v>0.0</v>
      </c>
      <c r="S1969" s="1"/>
    </row>
    <row r="1970" ht="15.75" customHeight="1">
      <c r="A1970" s="1" t="s">
        <v>4665</v>
      </c>
      <c r="B1970" s="1" t="s">
        <v>4666</v>
      </c>
      <c r="C1970" s="1" t="s">
        <v>4667</v>
      </c>
      <c r="E1970" s="1">
        <v>12.8308248</v>
      </c>
      <c r="F1970" s="1">
        <v>79.7034864</v>
      </c>
      <c r="G1970" s="1" t="s">
        <v>54</v>
      </c>
      <c r="H1970" s="1" t="s">
        <v>55</v>
      </c>
      <c r="J1970" s="1" t="s">
        <v>56</v>
      </c>
      <c r="K1970" s="1" t="s">
        <v>26</v>
      </c>
      <c r="L1970" s="1" t="s">
        <v>27</v>
      </c>
      <c r="N1970" s="1" t="s">
        <v>1097</v>
      </c>
      <c r="O1970" s="1" t="s">
        <v>57</v>
      </c>
      <c r="P1970" s="1" t="s">
        <v>3219</v>
      </c>
      <c r="Q1970" s="1" t="s">
        <v>3220</v>
      </c>
      <c r="R1970" s="1">
        <v>0.0</v>
      </c>
      <c r="S1970" s="1"/>
    </row>
    <row r="1971" ht="15.75" customHeight="1">
      <c r="A1971" s="1" t="s">
        <v>4668</v>
      </c>
      <c r="B1971" s="1" t="s">
        <v>4669</v>
      </c>
      <c r="C1971" s="1" t="s">
        <v>4670</v>
      </c>
      <c r="E1971" s="1">
        <v>10.0688383</v>
      </c>
      <c r="F1971" s="1">
        <v>78.7672126</v>
      </c>
      <c r="G1971" s="1" t="s">
        <v>54</v>
      </c>
      <c r="H1971" s="1" t="s">
        <v>55</v>
      </c>
      <c r="J1971" s="1" t="s">
        <v>56</v>
      </c>
      <c r="K1971" s="1" t="s">
        <v>26</v>
      </c>
      <c r="L1971" s="1" t="s">
        <v>27</v>
      </c>
      <c r="N1971" s="1" t="s">
        <v>1097</v>
      </c>
      <c r="O1971" s="1" t="s">
        <v>57</v>
      </c>
      <c r="P1971" s="1" t="s">
        <v>3219</v>
      </c>
      <c r="Q1971" s="1" t="s">
        <v>3220</v>
      </c>
      <c r="R1971" s="1">
        <v>0.0</v>
      </c>
      <c r="S1971" s="1"/>
    </row>
    <row r="1972" ht="15.75" customHeight="1">
      <c r="A1972" s="1" t="s">
        <v>4671</v>
      </c>
      <c r="B1972" s="1" t="s">
        <v>4672</v>
      </c>
      <c r="C1972" s="1" t="s">
        <v>4673</v>
      </c>
      <c r="E1972" s="1">
        <v>10.959281</v>
      </c>
      <c r="F1972" s="1">
        <v>79.377721</v>
      </c>
      <c r="G1972" s="1" t="s">
        <v>54</v>
      </c>
      <c r="H1972" s="1" t="s">
        <v>55</v>
      </c>
      <c r="J1972" s="1" t="s">
        <v>56</v>
      </c>
      <c r="K1972" s="1" t="s">
        <v>26</v>
      </c>
      <c r="L1972" s="1" t="s">
        <v>27</v>
      </c>
      <c r="N1972" s="1" t="s">
        <v>1097</v>
      </c>
      <c r="O1972" s="1" t="s">
        <v>57</v>
      </c>
      <c r="P1972" s="1" t="s">
        <v>3219</v>
      </c>
      <c r="Q1972" s="1" t="s">
        <v>3220</v>
      </c>
      <c r="R1972" s="1">
        <v>0.0</v>
      </c>
      <c r="S1972" s="1"/>
    </row>
    <row r="1973" ht="15.75" customHeight="1">
      <c r="A1973" s="1" t="s">
        <v>4674</v>
      </c>
      <c r="B1973" s="1" t="s">
        <v>4675</v>
      </c>
      <c r="C1973" s="1" t="s">
        <v>4676</v>
      </c>
      <c r="E1973" s="1">
        <v>25.561321</v>
      </c>
      <c r="F1973" s="1">
        <v>87.556264</v>
      </c>
      <c r="G1973" s="1" t="s">
        <v>54</v>
      </c>
      <c r="H1973" s="1" t="s">
        <v>55</v>
      </c>
      <c r="J1973" s="1" t="s">
        <v>56</v>
      </c>
      <c r="K1973" s="1" t="s">
        <v>26</v>
      </c>
      <c r="L1973" s="1" t="s">
        <v>27</v>
      </c>
      <c r="N1973" s="1" t="s">
        <v>498</v>
      </c>
      <c r="O1973" s="1" t="s">
        <v>57</v>
      </c>
      <c r="P1973" s="1" t="s">
        <v>3253</v>
      </c>
      <c r="Q1973" s="1" t="s">
        <v>3254</v>
      </c>
      <c r="R1973" s="1">
        <v>0.0</v>
      </c>
      <c r="S1973" s="1"/>
    </row>
    <row r="1974" ht="15.75" customHeight="1">
      <c r="A1974" s="1" t="s">
        <v>4677</v>
      </c>
      <c r="B1974" s="1" t="s">
        <v>4678</v>
      </c>
      <c r="C1974" s="1" t="s">
        <v>4679</v>
      </c>
      <c r="E1974" s="1">
        <v>28.609551</v>
      </c>
      <c r="F1974" s="1">
        <v>76.64705099999999</v>
      </c>
      <c r="G1974" s="1" t="s">
        <v>54</v>
      </c>
      <c r="H1974" s="1" t="s">
        <v>55</v>
      </c>
      <c r="J1974" s="1" t="s">
        <v>56</v>
      </c>
      <c r="K1974" s="1" t="s">
        <v>26</v>
      </c>
      <c r="L1974" s="1" t="s">
        <v>27</v>
      </c>
      <c r="N1974" s="1" t="s">
        <v>163</v>
      </c>
      <c r="O1974" s="1" t="s">
        <v>57</v>
      </c>
      <c r="P1974" s="1" t="s">
        <v>938</v>
      </c>
      <c r="Q1974" s="1" t="s">
        <v>939</v>
      </c>
      <c r="R1974" s="1">
        <v>0.0</v>
      </c>
      <c r="S1974" s="1"/>
    </row>
    <row r="1975" ht="15.75" customHeight="1">
      <c r="A1975" s="1" t="s">
        <v>4680</v>
      </c>
      <c r="B1975" s="1" t="s">
        <v>4681</v>
      </c>
      <c r="C1975" s="1" t="s">
        <v>1078</v>
      </c>
      <c r="E1975" s="1">
        <v>12.9977745</v>
      </c>
      <c r="F1975" s="1">
        <v>77.6966211</v>
      </c>
      <c r="G1975" s="1" t="s">
        <v>54</v>
      </c>
      <c r="H1975" s="1" t="s">
        <v>55</v>
      </c>
      <c r="J1975" s="1" t="s">
        <v>56</v>
      </c>
      <c r="K1975" s="1" t="s">
        <v>26</v>
      </c>
      <c r="L1975" s="1" t="s">
        <v>27</v>
      </c>
      <c r="N1975" s="1" t="s">
        <v>743</v>
      </c>
      <c r="O1975" s="1" t="s">
        <v>57</v>
      </c>
      <c r="P1975" s="1" t="s">
        <v>1079</v>
      </c>
      <c r="Q1975" s="1" t="s">
        <v>1080</v>
      </c>
      <c r="R1975" s="1">
        <v>2.0</v>
      </c>
      <c r="S1975" s="1"/>
    </row>
    <row r="1976" ht="15.75" customHeight="1">
      <c r="A1976" s="1" t="s">
        <v>4682</v>
      </c>
      <c r="B1976" s="1" t="s">
        <v>4683</v>
      </c>
      <c r="C1976" s="1" t="s">
        <v>531</v>
      </c>
      <c r="E1976" s="1">
        <v>22.507619</v>
      </c>
      <c r="F1976" s="1">
        <v>88.770067</v>
      </c>
      <c r="G1976" s="1" t="s">
        <v>54</v>
      </c>
      <c r="H1976" s="1" t="s">
        <v>55</v>
      </c>
      <c r="J1976" s="1" t="s">
        <v>56</v>
      </c>
      <c r="K1976" s="1" t="s">
        <v>26</v>
      </c>
      <c r="L1976" s="1" t="s">
        <v>27</v>
      </c>
      <c r="N1976" s="1" t="s">
        <v>532</v>
      </c>
      <c r="O1976" s="1" t="s">
        <v>57</v>
      </c>
      <c r="P1976" s="1" t="s">
        <v>3131</v>
      </c>
      <c r="Q1976" s="1" t="s">
        <v>3132</v>
      </c>
      <c r="R1976" s="1">
        <v>0.0</v>
      </c>
      <c r="S1976" s="1"/>
    </row>
    <row r="1977" ht="15.75" customHeight="1">
      <c r="A1977" s="1" t="s">
        <v>4684</v>
      </c>
      <c r="B1977" s="1" t="s">
        <v>4685</v>
      </c>
      <c r="C1977" s="1" t="s">
        <v>1340</v>
      </c>
      <c r="E1977" s="1">
        <v>16.7880033</v>
      </c>
      <c r="F1977" s="1">
        <v>80.8477838</v>
      </c>
      <c r="G1977" s="1" t="s">
        <v>54</v>
      </c>
      <c r="H1977" s="1" t="s">
        <v>55</v>
      </c>
      <c r="J1977" s="1" t="s">
        <v>56</v>
      </c>
      <c r="K1977" s="1" t="s">
        <v>26</v>
      </c>
      <c r="L1977" s="1" t="s">
        <v>27</v>
      </c>
      <c r="N1977" s="1" t="s">
        <v>464</v>
      </c>
      <c r="O1977" s="1" t="s">
        <v>57</v>
      </c>
      <c r="P1977" s="1" t="s">
        <v>2074</v>
      </c>
      <c r="Q1977" s="1" t="s">
        <v>2075</v>
      </c>
      <c r="R1977" s="1">
        <v>0.0</v>
      </c>
      <c r="S1977" s="1"/>
    </row>
    <row r="1978" ht="15.75" customHeight="1">
      <c r="A1978" s="1" t="s">
        <v>4686</v>
      </c>
      <c r="B1978" s="1" t="s">
        <v>4687</v>
      </c>
      <c r="C1978" s="1" t="s">
        <v>4688</v>
      </c>
      <c r="E1978" s="1">
        <v>26.8578088</v>
      </c>
      <c r="F1978" s="1">
        <v>89.3815438</v>
      </c>
      <c r="G1978" s="1" t="s">
        <v>54</v>
      </c>
      <c r="H1978" s="1" t="s">
        <v>55</v>
      </c>
      <c r="J1978" s="1" t="s">
        <v>56</v>
      </c>
      <c r="K1978" s="1" t="s">
        <v>26</v>
      </c>
      <c r="L1978" s="1" t="s">
        <v>27</v>
      </c>
      <c r="N1978" s="1" t="s">
        <v>143</v>
      </c>
      <c r="O1978" s="1" t="s">
        <v>57</v>
      </c>
      <c r="P1978" s="1" t="s">
        <v>3131</v>
      </c>
      <c r="Q1978" s="1" t="s">
        <v>3132</v>
      </c>
      <c r="R1978" s="1">
        <v>0.0</v>
      </c>
      <c r="S1978" s="1"/>
    </row>
    <row r="1979" ht="15.75" customHeight="1">
      <c r="A1979" s="1" t="s">
        <v>4689</v>
      </c>
      <c r="B1979" s="1" t="s">
        <v>4690</v>
      </c>
      <c r="C1979" s="1" t="s">
        <v>2073</v>
      </c>
      <c r="E1979" s="1">
        <v>16.1969312</v>
      </c>
      <c r="F1979" s="1">
        <v>81.1383123</v>
      </c>
      <c r="G1979" s="1" t="s">
        <v>54</v>
      </c>
      <c r="H1979" s="1" t="s">
        <v>55</v>
      </c>
      <c r="J1979" s="1" t="s">
        <v>56</v>
      </c>
      <c r="K1979" s="1" t="s">
        <v>26</v>
      </c>
      <c r="L1979" s="1" t="s">
        <v>27</v>
      </c>
      <c r="N1979" s="1" t="s">
        <v>464</v>
      </c>
      <c r="O1979" s="1" t="s">
        <v>57</v>
      </c>
      <c r="P1979" s="1" t="s">
        <v>2074</v>
      </c>
      <c r="Q1979" s="1" t="s">
        <v>2075</v>
      </c>
      <c r="R1979" s="1">
        <v>0.0</v>
      </c>
      <c r="S1979" s="1"/>
    </row>
    <row r="1980" ht="15.75" customHeight="1">
      <c r="A1980" s="1" t="s">
        <v>4691</v>
      </c>
      <c r="B1980" s="1" t="s">
        <v>4692</v>
      </c>
      <c r="C1980" s="1" t="s">
        <v>4693</v>
      </c>
      <c r="E1980" s="1">
        <v>24.1792159</v>
      </c>
      <c r="F1980" s="1">
        <v>87.79249680000001</v>
      </c>
      <c r="G1980" s="1" t="s">
        <v>54</v>
      </c>
      <c r="H1980" s="1" t="s">
        <v>55</v>
      </c>
      <c r="J1980" s="1" t="s">
        <v>56</v>
      </c>
      <c r="K1980" s="1" t="s">
        <v>26</v>
      </c>
      <c r="L1980" s="1" t="s">
        <v>27</v>
      </c>
      <c r="N1980" s="1" t="s">
        <v>532</v>
      </c>
      <c r="O1980" s="1" t="s">
        <v>57</v>
      </c>
      <c r="P1980" s="1" t="s">
        <v>3131</v>
      </c>
      <c r="Q1980" s="1" t="s">
        <v>3132</v>
      </c>
      <c r="R1980" s="1">
        <v>0.0</v>
      </c>
      <c r="S1980" s="1"/>
    </row>
    <row r="1981" ht="15.75" customHeight="1">
      <c r="A1981" s="1" t="s">
        <v>4694</v>
      </c>
      <c r="B1981" s="1" t="s">
        <v>4695</v>
      </c>
      <c r="C1981" s="1" t="s">
        <v>4696</v>
      </c>
      <c r="E1981" s="1">
        <v>14.755494</v>
      </c>
      <c r="F1981" s="1">
        <v>78.5562854</v>
      </c>
      <c r="G1981" s="1" t="s">
        <v>54</v>
      </c>
      <c r="H1981" s="1" t="s">
        <v>55</v>
      </c>
      <c r="J1981" s="1" t="s">
        <v>56</v>
      </c>
      <c r="K1981" s="1" t="s">
        <v>26</v>
      </c>
      <c r="L1981" s="1" t="s">
        <v>27</v>
      </c>
      <c r="N1981" s="1" t="s">
        <v>464</v>
      </c>
      <c r="O1981" s="1" t="s">
        <v>57</v>
      </c>
      <c r="P1981" s="1" t="s">
        <v>2074</v>
      </c>
      <c r="Q1981" s="1" t="s">
        <v>2075</v>
      </c>
      <c r="R1981" s="1">
        <v>0.0</v>
      </c>
      <c r="S1981" s="1"/>
    </row>
    <row r="1982" ht="15.75" customHeight="1">
      <c r="A1982" s="1" t="s">
        <v>4697</v>
      </c>
      <c r="B1982" s="1" t="s">
        <v>4698</v>
      </c>
      <c r="C1982" s="1" t="s">
        <v>151</v>
      </c>
      <c r="E1982" s="1">
        <v>18.5940958</v>
      </c>
      <c r="F1982" s="1">
        <v>73.7257278</v>
      </c>
      <c r="G1982" s="1" t="s">
        <v>54</v>
      </c>
      <c r="H1982" s="1" t="s">
        <v>55</v>
      </c>
      <c r="J1982" s="1" t="s">
        <v>56</v>
      </c>
      <c r="K1982" s="1" t="s">
        <v>26</v>
      </c>
      <c r="L1982" s="1" t="s">
        <v>27</v>
      </c>
      <c r="N1982" s="1" t="s">
        <v>143</v>
      </c>
      <c r="O1982" s="1" t="s">
        <v>57</v>
      </c>
      <c r="P1982" s="1" t="s">
        <v>3233</v>
      </c>
      <c r="Q1982" s="1" t="s">
        <v>3234</v>
      </c>
      <c r="R1982" s="1">
        <v>0.0</v>
      </c>
      <c r="S1982" s="1"/>
    </row>
    <row r="1983" ht="15.75" customHeight="1">
      <c r="A1983" s="1" t="s">
        <v>4699</v>
      </c>
      <c r="B1983" s="1" t="s">
        <v>4700</v>
      </c>
      <c r="C1983" s="1" t="s">
        <v>148</v>
      </c>
      <c r="E1983" s="1">
        <v>19.242976</v>
      </c>
      <c r="F1983" s="1">
        <v>73.159273</v>
      </c>
      <c r="G1983" s="1" t="s">
        <v>54</v>
      </c>
      <c r="H1983" s="1" t="s">
        <v>55</v>
      </c>
      <c r="J1983" s="1" t="s">
        <v>56</v>
      </c>
      <c r="K1983" s="1" t="s">
        <v>26</v>
      </c>
      <c r="L1983" s="1" t="s">
        <v>27</v>
      </c>
      <c r="N1983" s="1" t="s">
        <v>143</v>
      </c>
      <c r="O1983" s="1" t="s">
        <v>57</v>
      </c>
      <c r="P1983" s="1" t="s">
        <v>2300</v>
      </c>
      <c r="Q1983" s="1" t="s">
        <v>2301</v>
      </c>
      <c r="R1983" s="1">
        <v>0.0</v>
      </c>
      <c r="S1983" s="1"/>
    </row>
    <row r="1984" ht="15.75" customHeight="1">
      <c r="A1984" s="1" t="s">
        <v>4701</v>
      </c>
      <c r="B1984" s="1" t="s">
        <v>4702</v>
      </c>
      <c r="C1984" s="1" t="s">
        <v>4703</v>
      </c>
      <c r="E1984" s="1">
        <v>29.5350682</v>
      </c>
      <c r="F1984" s="1">
        <v>75.0456028</v>
      </c>
      <c r="G1984" s="1" t="s">
        <v>54</v>
      </c>
      <c r="H1984" s="1" t="s">
        <v>55</v>
      </c>
      <c r="J1984" s="1" t="s">
        <v>56</v>
      </c>
      <c r="K1984" s="1" t="s">
        <v>26</v>
      </c>
      <c r="L1984" s="1" t="s">
        <v>27</v>
      </c>
      <c r="N1984" s="1" t="s">
        <v>163</v>
      </c>
      <c r="O1984" s="1" t="s">
        <v>57</v>
      </c>
      <c r="P1984" s="1" t="s">
        <v>938</v>
      </c>
      <c r="Q1984" s="1" t="s">
        <v>939</v>
      </c>
      <c r="R1984" s="1">
        <v>0.0</v>
      </c>
      <c r="S1984" s="1"/>
    </row>
    <row r="1985" ht="15.75" customHeight="1">
      <c r="A1985" s="1" t="s">
        <v>4704</v>
      </c>
      <c r="B1985" s="1" t="s">
        <v>4705</v>
      </c>
      <c r="C1985" s="1" t="s">
        <v>1112</v>
      </c>
      <c r="E1985" s="1">
        <v>13.0508306</v>
      </c>
      <c r="F1985" s="1">
        <v>80.2336373</v>
      </c>
      <c r="G1985" s="1" t="s">
        <v>54</v>
      </c>
      <c r="H1985" s="1" t="s">
        <v>55</v>
      </c>
      <c r="J1985" s="1" t="s">
        <v>56</v>
      </c>
      <c r="K1985" s="1" t="s">
        <v>26</v>
      </c>
      <c r="L1985" s="1" t="s">
        <v>27</v>
      </c>
      <c r="N1985" s="1" t="s">
        <v>1097</v>
      </c>
      <c r="O1985" s="1" t="s">
        <v>57</v>
      </c>
      <c r="P1985" s="1" t="s">
        <v>3219</v>
      </c>
      <c r="Q1985" s="1" t="s">
        <v>3220</v>
      </c>
      <c r="R1985" s="1">
        <v>0.0</v>
      </c>
      <c r="S1985" s="1"/>
    </row>
    <row r="1986" ht="15.75" customHeight="1">
      <c r="A1986" s="1" t="s">
        <v>4706</v>
      </c>
      <c r="B1986" s="1" t="s">
        <v>4707</v>
      </c>
      <c r="C1986" s="1" t="s">
        <v>531</v>
      </c>
      <c r="E1986" s="1">
        <v>22.5377508</v>
      </c>
      <c r="F1986" s="1">
        <v>88.3522723</v>
      </c>
      <c r="G1986" s="1" t="s">
        <v>54</v>
      </c>
      <c r="H1986" s="1" t="s">
        <v>55</v>
      </c>
      <c r="J1986" s="1" t="s">
        <v>221</v>
      </c>
      <c r="K1986" s="1" t="s">
        <v>26</v>
      </c>
      <c r="L1986" s="1" t="s">
        <v>27</v>
      </c>
      <c r="N1986" s="1" t="s">
        <v>532</v>
      </c>
      <c r="O1986" s="1" t="s">
        <v>57</v>
      </c>
      <c r="P1986" s="1" t="s">
        <v>3135</v>
      </c>
      <c r="Q1986" s="1" t="s">
        <v>3136</v>
      </c>
      <c r="R1986" s="1">
        <v>0.0</v>
      </c>
      <c r="S1986" s="1"/>
    </row>
    <row r="1987" ht="15.75" customHeight="1">
      <c r="A1987" s="1" t="s">
        <v>4708</v>
      </c>
      <c r="B1987" s="1" t="s">
        <v>4709</v>
      </c>
      <c r="C1987" s="1" t="s">
        <v>2116</v>
      </c>
      <c r="E1987" s="1">
        <v>22.6821267</v>
      </c>
      <c r="F1987" s="1">
        <v>88.278806</v>
      </c>
      <c r="G1987" s="1" t="s">
        <v>54</v>
      </c>
      <c r="H1987" s="1" t="s">
        <v>55</v>
      </c>
      <c r="J1987" s="1" t="s">
        <v>221</v>
      </c>
      <c r="K1987" s="1" t="s">
        <v>26</v>
      </c>
      <c r="L1987" s="1" t="s">
        <v>27</v>
      </c>
      <c r="N1987" s="1" t="s">
        <v>532</v>
      </c>
      <c r="O1987" s="1" t="s">
        <v>57</v>
      </c>
      <c r="P1987" s="1" t="s">
        <v>3131</v>
      </c>
      <c r="Q1987" s="1" t="s">
        <v>3132</v>
      </c>
      <c r="R1987" s="1">
        <v>0.0</v>
      </c>
      <c r="S1987" s="1"/>
    </row>
    <row r="1988" ht="15.75" customHeight="1">
      <c r="A1988" s="1" t="s">
        <v>4710</v>
      </c>
      <c r="B1988" s="1" t="s">
        <v>4711</v>
      </c>
      <c r="C1988" s="1" t="s">
        <v>21</v>
      </c>
      <c r="E1988" s="1">
        <v>28.5679575</v>
      </c>
      <c r="F1988" s="1">
        <v>77.3265517</v>
      </c>
      <c r="G1988" s="1" t="s">
        <v>54</v>
      </c>
      <c r="H1988" s="1" t="s">
        <v>55</v>
      </c>
      <c r="J1988" s="1" t="s">
        <v>221</v>
      </c>
      <c r="K1988" s="1" t="s">
        <v>26</v>
      </c>
      <c r="L1988" s="1" t="s">
        <v>27</v>
      </c>
      <c r="N1988" s="1" t="s">
        <v>28</v>
      </c>
      <c r="O1988" s="1" t="s">
        <v>57</v>
      </c>
      <c r="P1988" s="1" t="s">
        <v>2167</v>
      </c>
      <c r="Q1988" s="1" t="s">
        <v>2168</v>
      </c>
      <c r="R1988" s="1">
        <v>1.0</v>
      </c>
      <c r="S1988" s="1"/>
    </row>
    <row r="1989" ht="15.75" customHeight="1">
      <c r="A1989" s="1" t="s">
        <v>4712</v>
      </c>
      <c r="B1989" s="1" t="s">
        <v>4713</v>
      </c>
      <c r="C1989" s="1" t="s">
        <v>185</v>
      </c>
      <c r="E1989" s="1">
        <v>17.3980517</v>
      </c>
      <c r="F1989" s="1">
        <v>78.5339766</v>
      </c>
      <c r="G1989" s="1" t="s">
        <v>54</v>
      </c>
      <c r="H1989" s="1" t="s">
        <v>55</v>
      </c>
      <c r="J1989" s="1" t="s">
        <v>221</v>
      </c>
      <c r="K1989" s="1" t="s">
        <v>26</v>
      </c>
      <c r="L1989" s="1" t="s">
        <v>27</v>
      </c>
      <c r="N1989" s="1" t="s">
        <v>186</v>
      </c>
      <c r="O1989" s="1" t="s">
        <v>57</v>
      </c>
      <c r="P1989" s="1" t="s">
        <v>2074</v>
      </c>
      <c r="Q1989" s="1" t="s">
        <v>2075</v>
      </c>
      <c r="R1989" s="1">
        <v>0.0</v>
      </c>
      <c r="S1989" s="1"/>
    </row>
    <row r="1990" ht="15.75" customHeight="1">
      <c r="A1990" s="1" t="s">
        <v>4714</v>
      </c>
      <c r="B1990" s="1" t="s">
        <v>4715</v>
      </c>
      <c r="C1990" s="1" t="s">
        <v>185</v>
      </c>
      <c r="E1990" s="1">
        <v>17.441901</v>
      </c>
      <c r="F1990" s="1">
        <v>78.44111649999999</v>
      </c>
      <c r="G1990" s="1" t="s">
        <v>54</v>
      </c>
      <c r="H1990" s="1" t="s">
        <v>55</v>
      </c>
      <c r="J1990" s="1" t="s">
        <v>221</v>
      </c>
      <c r="K1990" s="1" t="s">
        <v>26</v>
      </c>
      <c r="L1990" s="1" t="s">
        <v>27</v>
      </c>
      <c r="N1990" s="1" t="s">
        <v>186</v>
      </c>
      <c r="O1990" s="1" t="s">
        <v>57</v>
      </c>
      <c r="P1990" s="1" t="s">
        <v>2074</v>
      </c>
      <c r="Q1990" s="1" t="s">
        <v>2075</v>
      </c>
      <c r="R1990" s="1">
        <v>0.0</v>
      </c>
      <c r="S1990" s="1"/>
    </row>
    <row r="1991" ht="15.75" customHeight="1">
      <c r="A1991" s="1" t="s">
        <v>4716</v>
      </c>
      <c r="B1991" s="1" t="s">
        <v>4717</v>
      </c>
      <c r="C1991" s="1" t="s">
        <v>1255</v>
      </c>
      <c r="E1991" s="1">
        <v>14.4695493</v>
      </c>
      <c r="F1991" s="1">
        <v>75.905442</v>
      </c>
      <c r="G1991" s="1" t="s">
        <v>54</v>
      </c>
      <c r="H1991" s="1" t="s">
        <v>55</v>
      </c>
      <c r="J1991" s="1" t="s">
        <v>221</v>
      </c>
      <c r="K1991" s="1" t="s">
        <v>26</v>
      </c>
      <c r="L1991" s="1" t="s">
        <v>27</v>
      </c>
      <c r="N1991" s="1" t="s">
        <v>743</v>
      </c>
      <c r="O1991" s="1" t="s">
        <v>57</v>
      </c>
      <c r="P1991" s="1" t="s">
        <v>1079</v>
      </c>
      <c r="Q1991" s="1" t="s">
        <v>1080</v>
      </c>
      <c r="R1991" s="1">
        <v>0.0</v>
      </c>
      <c r="S1991" s="1"/>
    </row>
    <row r="1992" ht="15.75" customHeight="1">
      <c r="A1992" s="1" t="s">
        <v>4718</v>
      </c>
      <c r="B1992" s="1" t="s">
        <v>4719</v>
      </c>
      <c r="C1992" s="1" t="s">
        <v>1078</v>
      </c>
      <c r="E1992" s="1">
        <v>12.82391</v>
      </c>
      <c r="F1992" s="1">
        <v>77.6842121</v>
      </c>
      <c r="G1992" s="1" t="s">
        <v>54</v>
      </c>
      <c r="H1992" s="1" t="s">
        <v>55</v>
      </c>
      <c r="J1992" s="1" t="s">
        <v>221</v>
      </c>
      <c r="K1992" s="1" t="s">
        <v>26</v>
      </c>
      <c r="L1992" s="1" t="s">
        <v>27</v>
      </c>
      <c r="N1992" s="1" t="s">
        <v>743</v>
      </c>
      <c r="O1992" s="1" t="s">
        <v>57</v>
      </c>
      <c r="P1992" s="1" t="s">
        <v>1079</v>
      </c>
      <c r="Q1992" s="1" t="s">
        <v>1080</v>
      </c>
      <c r="R1992" s="1">
        <v>1.0</v>
      </c>
      <c r="S1992" s="1"/>
    </row>
    <row r="1993" ht="15.75" customHeight="1">
      <c r="A1993" s="1" t="s">
        <v>4720</v>
      </c>
      <c r="B1993" s="1" t="s">
        <v>4721</v>
      </c>
      <c r="C1993" s="1" t="s">
        <v>1573</v>
      </c>
      <c r="E1993" s="1">
        <v>22.380335</v>
      </c>
      <c r="F1993" s="1">
        <v>69.828874</v>
      </c>
      <c r="G1993" s="1" t="s">
        <v>54</v>
      </c>
      <c r="H1993" s="1" t="s">
        <v>55</v>
      </c>
      <c r="J1993" s="1" t="s">
        <v>221</v>
      </c>
      <c r="K1993" s="1" t="s">
        <v>26</v>
      </c>
      <c r="L1993" s="1" t="s">
        <v>27</v>
      </c>
      <c r="N1993" s="1" t="s">
        <v>216</v>
      </c>
      <c r="O1993" s="1" t="s">
        <v>57</v>
      </c>
      <c r="P1993" s="1" t="s">
        <v>3342</v>
      </c>
      <c r="Q1993" s="1" t="s">
        <v>3343</v>
      </c>
      <c r="R1993" s="1">
        <v>0.0</v>
      </c>
      <c r="S1993" s="1"/>
    </row>
    <row r="1994" ht="15.75" customHeight="1">
      <c r="A1994" s="1" t="s">
        <v>4722</v>
      </c>
      <c r="B1994" s="1" t="s">
        <v>4723</v>
      </c>
      <c r="C1994" s="1" t="s">
        <v>151</v>
      </c>
      <c r="E1994" s="1">
        <v>18.5040502</v>
      </c>
      <c r="F1994" s="1">
        <v>73.83332349999999</v>
      </c>
      <c r="G1994" s="1" t="s">
        <v>54</v>
      </c>
      <c r="H1994" s="1" t="s">
        <v>55</v>
      </c>
      <c r="J1994" s="1" t="s">
        <v>221</v>
      </c>
      <c r="K1994" s="1" t="s">
        <v>26</v>
      </c>
      <c r="L1994" s="1" t="s">
        <v>27</v>
      </c>
      <c r="N1994" s="1" t="s">
        <v>143</v>
      </c>
      <c r="O1994" s="1" t="s">
        <v>57</v>
      </c>
      <c r="P1994" s="1" t="s">
        <v>3233</v>
      </c>
      <c r="Q1994" s="1" t="s">
        <v>3234</v>
      </c>
      <c r="R1994" s="1">
        <v>0.0</v>
      </c>
      <c r="S1994" s="1"/>
    </row>
    <row r="1995" ht="15.75" customHeight="1">
      <c r="A1995" s="1" t="s">
        <v>4724</v>
      </c>
      <c r="B1995" s="1" t="s">
        <v>4725</v>
      </c>
      <c r="C1995" s="1" t="s">
        <v>148</v>
      </c>
      <c r="E1995" s="1">
        <v>19.2241593</v>
      </c>
      <c r="F1995" s="1">
        <v>72.8502857</v>
      </c>
      <c r="G1995" s="1" t="s">
        <v>54</v>
      </c>
      <c r="H1995" s="1" t="s">
        <v>55</v>
      </c>
      <c r="J1995" s="1" t="s">
        <v>221</v>
      </c>
      <c r="K1995" s="1" t="s">
        <v>26</v>
      </c>
      <c r="L1995" s="1" t="s">
        <v>27</v>
      </c>
      <c r="N1995" s="1" t="s">
        <v>143</v>
      </c>
      <c r="O1995" s="1" t="s">
        <v>57</v>
      </c>
      <c r="P1995" s="1" t="s">
        <v>2300</v>
      </c>
      <c r="Q1995" s="1" t="s">
        <v>2301</v>
      </c>
      <c r="R1995" s="1">
        <v>0.0</v>
      </c>
      <c r="S1995" s="1"/>
    </row>
    <row r="1996" ht="15.75" customHeight="1">
      <c r="A1996" s="1" t="s">
        <v>4726</v>
      </c>
      <c r="B1996" s="1" t="s">
        <v>4727</v>
      </c>
      <c r="C1996" s="1" t="s">
        <v>174</v>
      </c>
      <c r="E1996" s="1">
        <v>28.5046807</v>
      </c>
      <c r="F1996" s="1">
        <v>77.3206285</v>
      </c>
      <c r="G1996" s="1" t="s">
        <v>97</v>
      </c>
      <c r="H1996" s="1" t="s">
        <v>98</v>
      </c>
      <c r="J1996" s="1" t="s">
        <v>56</v>
      </c>
      <c r="K1996" s="1" t="s">
        <v>99</v>
      </c>
      <c r="L1996" s="1" t="s">
        <v>27</v>
      </c>
      <c r="N1996" s="1" t="s">
        <v>174</v>
      </c>
      <c r="O1996" s="1" t="s">
        <v>29</v>
      </c>
      <c r="P1996" s="1" t="s">
        <v>4728</v>
      </c>
      <c r="Q1996" s="1" t="s">
        <v>4729</v>
      </c>
      <c r="R1996" s="1">
        <v>2.0</v>
      </c>
      <c r="S1996" s="1"/>
    </row>
    <row r="1997" ht="15.75" customHeight="1">
      <c r="A1997" s="1" t="s">
        <v>4730</v>
      </c>
      <c r="B1997" s="1" t="s">
        <v>4731</v>
      </c>
      <c r="C1997" s="1" t="s">
        <v>174</v>
      </c>
      <c r="E1997" s="1">
        <v>28.5015903</v>
      </c>
      <c r="F1997" s="1">
        <v>77.3170675</v>
      </c>
      <c r="G1997" s="1" t="s">
        <v>1676</v>
      </c>
      <c r="H1997" s="1" t="s">
        <v>1677</v>
      </c>
      <c r="I1997" s="1" t="s">
        <v>24</v>
      </c>
      <c r="J1997" s="1" t="s">
        <v>56</v>
      </c>
      <c r="K1997" s="1" t="s">
        <v>99</v>
      </c>
      <c r="L1997" s="1" t="s">
        <v>27</v>
      </c>
      <c r="N1997" s="1" t="s">
        <v>174</v>
      </c>
      <c r="O1997" s="1" t="s">
        <v>29</v>
      </c>
      <c r="P1997" s="1" t="s">
        <v>4732</v>
      </c>
      <c r="Q1997" s="1" t="s">
        <v>4733</v>
      </c>
      <c r="R1997" s="1">
        <v>5.0</v>
      </c>
      <c r="S1997" s="1"/>
    </row>
    <row r="1998" ht="15.75" customHeight="1">
      <c r="A1998" s="1" t="s">
        <v>4734</v>
      </c>
      <c r="B1998" s="1" t="s">
        <v>4735</v>
      </c>
      <c r="C1998" s="1" t="s">
        <v>162</v>
      </c>
      <c r="E1998" s="1">
        <v>28.3873554</v>
      </c>
      <c r="F1998" s="1">
        <v>77.3544876</v>
      </c>
      <c r="G1998" s="1" t="s">
        <v>54</v>
      </c>
      <c r="H1998" s="1" t="s">
        <v>55</v>
      </c>
      <c r="J1998" s="1" t="s">
        <v>44</v>
      </c>
      <c r="K1998" s="1" t="s">
        <v>26</v>
      </c>
      <c r="L1998" s="1" t="s">
        <v>27</v>
      </c>
      <c r="N1998" s="1" t="s">
        <v>163</v>
      </c>
      <c r="O1998" s="1" t="s">
        <v>57</v>
      </c>
      <c r="P1998" s="1" t="s">
        <v>2318</v>
      </c>
      <c r="Q1998" s="1" t="s">
        <v>2319</v>
      </c>
      <c r="R1998" s="1">
        <v>2.0</v>
      </c>
      <c r="S1998" s="1"/>
    </row>
    <row r="1999" ht="15.75" customHeight="1">
      <c r="A1999" s="1" t="s">
        <v>4736</v>
      </c>
      <c r="B1999" s="1" t="s">
        <v>4737</v>
      </c>
      <c r="C1999" s="1" t="s">
        <v>1078</v>
      </c>
      <c r="E1999" s="1">
        <v>12.9887094</v>
      </c>
      <c r="F1999" s="1">
        <v>77.5561025</v>
      </c>
      <c r="G1999" s="1" t="s">
        <v>22</v>
      </c>
      <c r="H1999" s="1" t="s">
        <v>23</v>
      </c>
      <c r="I1999" s="1" t="s">
        <v>24</v>
      </c>
      <c r="J1999" s="1" t="s">
        <v>56</v>
      </c>
      <c r="K1999" s="1" t="s">
        <v>26</v>
      </c>
      <c r="L1999" s="1" t="s">
        <v>27</v>
      </c>
      <c r="N1999" s="1" t="s">
        <v>743</v>
      </c>
      <c r="O1999" s="1" t="s">
        <v>57</v>
      </c>
      <c r="P1999" s="1" t="s">
        <v>1079</v>
      </c>
      <c r="Q1999" s="1" t="s">
        <v>1080</v>
      </c>
      <c r="R1999" s="1">
        <v>4.0</v>
      </c>
      <c r="S1999" s="1"/>
    </row>
    <row r="2000" ht="15.75" customHeight="1">
      <c r="A2000" s="1" t="s">
        <v>4738</v>
      </c>
      <c r="B2000" s="1" t="s">
        <v>4739</v>
      </c>
      <c r="C2000" s="1" t="s">
        <v>174</v>
      </c>
      <c r="E2000" s="1">
        <v>28.6170793</v>
      </c>
      <c r="F2000" s="1">
        <v>77.31781920000002</v>
      </c>
      <c r="G2000" s="1" t="s">
        <v>97</v>
      </c>
      <c r="H2000" s="1" t="s">
        <v>98</v>
      </c>
      <c r="J2000" s="1" t="s">
        <v>56</v>
      </c>
      <c r="P2000" s="1" t="s">
        <v>4728</v>
      </c>
      <c r="Q2000" s="1" t="s">
        <v>4729</v>
      </c>
      <c r="R2000" s="1">
        <v>1.0</v>
      </c>
      <c r="S2000" s="1"/>
    </row>
    <row r="2001" ht="15.75" customHeight="1">
      <c r="A2001" s="1" t="s">
        <v>4740</v>
      </c>
      <c r="B2001" s="1" t="s">
        <v>4741</v>
      </c>
      <c r="C2001" s="1" t="s">
        <v>3126</v>
      </c>
      <c r="K2001" s="1" t="s">
        <v>2892</v>
      </c>
      <c r="L2001" s="1" t="s">
        <v>27</v>
      </c>
      <c r="N2001" s="1" t="s">
        <v>28</v>
      </c>
      <c r="O2001" s="1" t="s">
        <v>57</v>
      </c>
      <c r="P2001" s="1" t="s">
        <v>4728</v>
      </c>
      <c r="Q2001" s="1" t="s">
        <v>4729</v>
      </c>
      <c r="R2001" s="1">
        <v>0.0</v>
      </c>
      <c r="S2001" s="1"/>
    </row>
    <row r="2002" ht="15.75" customHeight="1">
      <c r="A2002" s="1" t="s">
        <v>4742</v>
      </c>
      <c r="B2002" s="1" t="s">
        <v>4743</v>
      </c>
      <c r="C2002" s="1" t="s">
        <v>174</v>
      </c>
      <c r="E2002" s="1">
        <v>28.6463822</v>
      </c>
      <c r="F2002" s="1">
        <v>77.295305</v>
      </c>
      <c r="G2002" s="1" t="s">
        <v>97</v>
      </c>
      <c r="H2002" s="1" t="s">
        <v>98</v>
      </c>
      <c r="J2002" s="1" t="s">
        <v>56</v>
      </c>
      <c r="P2002" s="1" t="s">
        <v>4728</v>
      </c>
      <c r="Q2002" s="1" t="s">
        <v>4729</v>
      </c>
      <c r="R2002" s="1">
        <v>2.0</v>
      </c>
      <c r="S2002" s="1"/>
    </row>
    <row r="2003" ht="15.75" customHeight="1">
      <c r="A2003" s="1" t="s">
        <v>4744</v>
      </c>
      <c r="B2003" s="1" t="s">
        <v>4745</v>
      </c>
      <c r="C2003" s="1" t="s">
        <v>174</v>
      </c>
      <c r="E2003" s="1">
        <v>28.6268641</v>
      </c>
      <c r="F2003" s="1">
        <v>77.299801</v>
      </c>
      <c r="G2003" s="1" t="s">
        <v>97</v>
      </c>
      <c r="H2003" s="1" t="s">
        <v>98</v>
      </c>
      <c r="J2003" s="1" t="s">
        <v>56</v>
      </c>
      <c r="P2003" s="1" t="s">
        <v>4728</v>
      </c>
      <c r="Q2003" s="1" t="s">
        <v>4729</v>
      </c>
      <c r="R2003" s="1">
        <v>1.0</v>
      </c>
      <c r="S2003" s="1"/>
    </row>
    <row r="2004" ht="15.75" customHeight="1">
      <c r="A2004" s="1" t="s">
        <v>4746</v>
      </c>
      <c r="B2004" s="1" t="s">
        <v>4747</v>
      </c>
      <c r="C2004" s="1" t="s">
        <v>106</v>
      </c>
      <c r="K2004" s="1" t="s">
        <v>99</v>
      </c>
      <c r="L2004" s="1" t="s">
        <v>27</v>
      </c>
      <c r="N2004" s="1" t="s">
        <v>28</v>
      </c>
      <c r="O2004" s="1" t="s">
        <v>29</v>
      </c>
      <c r="P2004" s="1" t="s">
        <v>938</v>
      </c>
      <c r="Q2004" s="1" t="s">
        <v>939</v>
      </c>
      <c r="R2004" s="1">
        <v>0.0</v>
      </c>
      <c r="S2004" s="1"/>
    </row>
    <row r="2005" ht="15.75" customHeight="1">
      <c r="A2005" s="1" t="s">
        <v>4748</v>
      </c>
      <c r="B2005" s="1" t="s">
        <v>4749</v>
      </c>
      <c r="C2005" s="1" t="s">
        <v>787</v>
      </c>
      <c r="K2005" s="1" t="s">
        <v>99</v>
      </c>
      <c r="L2005" s="1" t="s">
        <v>27</v>
      </c>
      <c r="N2005" s="1" t="s">
        <v>28</v>
      </c>
      <c r="O2005" s="1" t="s">
        <v>29</v>
      </c>
      <c r="P2005" s="1" t="s">
        <v>4728</v>
      </c>
      <c r="Q2005" s="1" t="s">
        <v>4729</v>
      </c>
      <c r="R2005" s="1">
        <v>0.0</v>
      </c>
      <c r="S2005" s="1"/>
    </row>
    <row r="2006" ht="15.75" customHeight="1">
      <c r="A2006" s="1" t="s">
        <v>4750</v>
      </c>
      <c r="B2006" s="1" t="s">
        <v>4751</v>
      </c>
      <c r="C2006" s="1" t="s">
        <v>106</v>
      </c>
      <c r="K2006" s="1" t="s">
        <v>99</v>
      </c>
      <c r="L2006" s="1" t="s">
        <v>27</v>
      </c>
      <c r="N2006" s="1" t="s">
        <v>28</v>
      </c>
      <c r="O2006" s="1" t="s">
        <v>29</v>
      </c>
      <c r="P2006" s="1" t="s">
        <v>4752</v>
      </c>
      <c r="Q2006" s="1" t="s">
        <v>4753</v>
      </c>
      <c r="R2006" s="1">
        <v>0.0</v>
      </c>
      <c r="S2006" s="1"/>
    </row>
    <row r="2007" ht="15.75" customHeight="1">
      <c r="A2007" s="1" t="s">
        <v>4754</v>
      </c>
      <c r="B2007" s="1" t="s">
        <v>4755</v>
      </c>
      <c r="C2007" s="1" t="s">
        <v>174</v>
      </c>
      <c r="E2007" s="1">
        <v>28.5048406</v>
      </c>
      <c r="F2007" s="1">
        <v>77.3231031</v>
      </c>
      <c r="G2007" s="1" t="s">
        <v>97</v>
      </c>
      <c r="H2007" s="1" t="s">
        <v>98</v>
      </c>
      <c r="J2007" s="1" t="s">
        <v>56</v>
      </c>
      <c r="P2007" s="1" t="s">
        <v>4728</v>
      </c>
      <c r="Q2007" s="1" t="s">
        <v>4729</v>
      </c>
      <c r="R2007" s="1">
        <v>1.0</v>
      </c>
      <c r="S2007" s="1"/>
    </row>
    <row r="2008" ht="15.75" customHeight="1">
      <c r="A2008" s="1" t="s">
        <v>4756</v>
      </c>
      <c r="B2008" s="1" t="s">
        <v>4757</v>
      </c>
      <c r="C2008" s="1" t="s">
        <v>617</v>
      </c>
      <c r="E2008" s="1">
        <v>26.883446</v>
      </c>
      <c r="F2008" s="1">
        <v>80.969309</v>
      </c>
      <c r="G2008" s="1" t="s">
        <v>2112</v>
      </c>
      <c r="H2008" s="1" t="s">
        <v>2113</v>
      </c>
      <c r="J2008" s="1" t="s">
        <v>56</v>
      </c>
      <c r="P2008" s="1" t="s">
        <v>733</v>
      </c>
      <c r="Q2008" s="1" t="s">
        <v>734</v>
      </c>
      <c r="R2008" s="1">
        <v>2.0</v>
      </c>
      <c r="S2008" s="1"/>
    </row>
    <row r="2009" ht="15.75" customHeight="1">
      <c r="A2009" s="1" t="s">
        <v>4758</v>
      </c>
      <c r="B2009" s="1" t="s">
        <v>4759</v>
      </c>
      <c r="C2009" s="1" t="s">
        <v>174</v>
      </c>
      <c r="E2009" s="1">
        <v>28.7359435</v>
      </c>
      <c r="F2009" s="1">
        <v>77.1833533</v>
      </c>
      <c r="G2009" s="1" t="s">
        <v>97</v>
      </c>
      <c r="H2009" s="1" t="s">
        <v>98</v>
      </c>
      <c r="J2009" s="1" t="s">
        <v>56</v>
      </c>
      <c r="P2009" s="1" t="s">
        <v>4728</v>
      </c>
      <c r="Q2009" s="1" t="s">
        <v>4729</v>
      </c>
      <c r="R2009" s="1">
        <v>1.0</v>
      </c>
      <c r="S2009" s="1"/>
    </row>
    <row r="2010" ht="15.75" customHeight="1">
      <c r="A2010" s="1" t="s">
        <v>4760</v>
      </c>
      <c r="B2010" s="1" t="s">
        <v>4761</v>
      </c>
      <c r="C2010" s="1" t="s">
        <v>4762</v>
      </c>
      <c r="K2010" s="1" t="s">
        <v>99</v>
      </c>
      <c r="L2010" s="1" t="s">
        <v>27</v>
      </c>
      <c r="N2010" s="1" t="s">
        <v>28</v>
      </c>
      <c r="O2010" s="1" t="s">
        <v>29</v>
      </c>
      <c r="P2010" s="1" t="s">
        <v>4728</v>
      </c>
      <c r="Q2010" s="1" t="s">
        <v>4729</v>
      </c>
      <c r="R2010" s="1">
        <v>0.0</v>
      </c>
      <c r="S2010" s="1"/>
    </row>
    <row r="2011" ht="15.75" customHeight="1">
      <c r="A2011" s="1" t="s">
        <v>4763</v>
      </c>
      <c r="B2011" s="1" t="s">
        <v>4764</v>
      </c>
      <c r="C2011" s="1" t="s">
        <v>174</v>
      </c>
      <c r="E2011" s="1">
        <v>28.7481319</v>
      </c>
      <c r="F2011" s="1">
        <v>77.1986107</v>
      </c>
      <c r="G2011" s="1" t="s">
        <v>97</v>
      </c>
      <c r="H2011" s="1" t="s">
        <v>98</v>
      </c>
      <c r="J2011" s="1" t="s">
        <v>56</v>
      </c>
      <c r="P2011" s="1" t="s">
        <v>4728</v>
      </c>
      <c r="Q2011" s="1" t="s">
        <v>4729</v>
      </c>
      <c r="R2011" s="1">
        <v>1.0</v>
      </c>
      <c r="S2011" s="1"/>
    </row>
    <row r="2012" ht="15.75" customHeight="1">
      <c r="A2012" s="1" t="s">
        <v>4765</v>
      </c>
      <c r="B2012" s="1" t="s">
        <v>4766</v>
      </c>
      <c r="C2012" s="1" t="s">
        <v>174</v>
      </c>
      <c r="E2012" s="1">
        <v>28.570201</v>
      </c>
      <c r="F2012" s="1">
        <v>77.324958</v>
      </c>
      <c r="G2012" s="1" t="s">
        <v>2112</v>
      </c>
      <c r="H2012" s="1" t="s">
        <v>2113</v>
      </c>
      <c r="J2012" s="1" t="s">
        <v>56</v>
      </c>
      <c r="P2012" s="1" t="s">
        <v>1749</v>
      </c>
      <c r="Q2012" s="1" t="s">
        <v>1750</v>
      </c>
      <c r="R2012" s="1">
        <v>1.0</v>
      </c>
      <c r="S2012" s="1"/>
    </row>
    <row r="2013" ht="15.75" customHeight="1">
      <c r="A2013" s="1" t="s">
        <v>4767</v>
      </c>
      <c r="B2013" s="1" t="s">
        <v>4768</v>
      </c>
      <c r="C2013" s="1" t="s">
        <v>38</v>
      </c>
      <c r="K2013" s="1" t="s">
        <v>99</v>
      </c>
      <c r="L2013" s="1" t="s">
        <v>27</v>
      </c>
      <c r="N2013" s="1" t="s">
        <v>28</v>
      </c>
      <c r="O2013" s="1" t="s">
        <v>29</v>
      </c>
      <c r="P2013" s="1" t="s">
        <v>4769</v>
      </c>
      <c r="Q2013" s="1" t="s">
        <v>4770</v>
      </c>
      <c r="R2013" s="1">
        <v>0.0</v>
      </c>
      <c r="S2013" s="1"/>
    </row>
    <row r="2014" ht="15.75" customHeight="1">
      <c r="A2014" s="1" t="s">
        <v>4771</v>
      </c>
      <c r="B2014" s="1" t="s">
        <v>4772</v>
      </c>
      <c r="C2014" s="1" t="s">
        <v>4773</v>
      </c>
      <c r="K2014" s="1" t="s">
        <v>99</v>
      </c>
      <c r="L2014" s="1" t="s">
        <v>27</v>
      </c>
      <c r="N2014" s="1" t="s">
        <v>28</v>
      </c>
      <c r="O2014" s="1" t="s">
        <v>29</v>
      </c>
      <c r="P2014" s="1" t="s">
        <v>4769</v>
      </c>
      <c r="Q2014" s="1" t="s">
        <v>4770</v>
      </c>
      <c r="R2014" s="1">
        <v>0.0</v>
      </c>
      <c r="S2014" s="1"/>
    </row>
    <row r="2015" ht="15.75" customHeight="1">
      <c r="A2015" s="1" t="s">
        <v>4774</v>
      </c>
      <c r="B2015" s="1" t="s">
        <v>4775</v>
      </c>
      <c r="C2015" s="1" t="s">
        <v>174</v>
      </c>
      <c r="E2015" s="1">
        <v>28.6466415</v>
      </c>
      <c r="F2015" s="1">
        <v>77.28372700000001</v>
      </c>
      <c r="G2015" s="1" t="s">
        <v>2511</v>
      </c>
      <c r="H2015" s="1" t="s">
        <v>2512</v>
      </c>
      <c r="J2015" s="1" t="s">
        <v>56</v>
      </c>
      <c r="P2015" s="1" t="s">
        <v>4769</v>
      </c>
      <c r="Q2015" s="1" t="s">
        <v>4770</v>
      </c>
      <c r="R2015" s="1">
        <v>1.0</v>
      </c>
      <c r="S2015" s="1"/>
    </row>
    <row r="2016" ht="15.75" customHeight="1">
      <c r="A2016" s="1" t="s">
        <v>4776</v>
      </c>
      <c r="B2016" s="1" t="s">
        <v>4777</v>
      </c>
      <c r="C2016" s="1" t="s">
        <v>3467</v>
      </c>
      <c r="K2016" s="1" t="s">
        <v>99</v>
      </c>
      <c r="L2016" s="1" t="s">
        <v>27</v>
      </c>
      <c r="N2016" s="1" t="s">
        <v>28</v>
      </c>
      <c r="O2016" s="1" t="s">
        <v>29</v>
      </c>
      <c r="P2016" s="1" t="s">
        <v>4769</v>
      </c>
      <c r="Q2016" s="1" t="s">
        <v>4770</v>
      </c>
      <c r="R2016" s="1">
        <v>0.0</v>
      </c>
      <c r="S2016" s="1"/>
    </row>
    <row r="2017" ht="15.75" customHeight="1">
      <c r="A2017" s="1" t="s">
        <v>4778</v>
      </c>
      <c r="B2017" s="1" t="s">
        <v>4779</v>
      </c>
      <c r="C2017" s="1" t="s">
        <v>174</v>
      </c>
      <c r="E2017" s="1">
        <v>28.6543184</v>
      </c>
      <c r="F2017" s="1">
        <v>77.2894484</v>
      </c>
      <c r="G2017" s="1" t="s">
        <v>2511</v>
      </c>
      <c r="H2017" s="1" t="s">
        <v>2512</v>
      </c>
      <c r="J2017" s="1" t="s">
        <v>56</v>
      </c>
      <c r="P2017" s="1" t="s">
        <v>4769</v>
      </c>
      <c r="Q2017" s="1" t="s">
        <v>4770</v>
      </c>
      <c r="R2017" s="1">
        <v>1.0</v>
      </c>
      <c r="S2017" s="1"/>
    </row>
    <row r="2018" ht="15.75" customHeight="1">
      <c r="A2018" s="1" t="s">
        <v>4780</v>
      </c>
      <c r="B2018" s="1" t="s">
        <v>4781</v>
      </c>
      <c r="C2018" s="1" t="s">
        <v>3467</v>
      </c>
      <c r="K2018" s="1" t="s">
        <v>99</v>
      </c>
      <c r="L2018" s="1" t="s">
        <v>27</v>
      </c>
      <c r="N2018" s="1" t="s">
        <v>28</v>
      </c>
      <c r="O2018" s="1" t="s">
        <v>29</v>
      </c>
      <c r="P2018" s="1" t="s">
        <v>4769</v>
      </c>
      <c r="Q2018" s="1" t="s">
        <v>4770</v>
      </c>
      <c r="R2018" s="1">
        <v>0.0</v>
      </c>
      <c r="S2018" s="1"/>
    </row>
    <row r="2019" ht="15.75" customHeight="1">
      <c r="A2019" s="1" t="s">
        <v>4782</v>
      </c>
      <c r="B2019" s="1" t="s">
        <v>4783</v>
      </c>
      <c r="C2019" s="1" t="s">
        <v>174</v>
      </c>
      <c r="E2019" s="1">
        <v>28.62825</v>
      </c>
      <c r="F2019" s="1">
        <v>77.30170720000001</v>
      </c>
      <c r="G2019" s="1" t="s">
        <v>2511</v>
      </c>
      <c r="H2019" s="1" t="s">
        <v>2512</v>
      </c>
      <c r="J2019" s="1" t="s">
        <v>56</v>
      </c>
      <c r="P2019" s="1" t="s">
        <v>4769</v>
      </c>
      <c r="Q2019" s="1" t="s">
        <v>4770</v>
      </c>
      <c r="R2019" s="1">
        <v>1.0</v>
      </c>
      <c r="S2019" s="1"/>
    </row>
    <row r="2020" ht="15.75" customHeight="1">
      <c r="A2020" s="1" t="s">
        <v>4784</v>
      </c>
      <c r="B2020" s="1" t="s">
        <v>4785</v>
      </c>
      <c r="C2020" s="1" t="s">
        <v>174</v>
      </c>
      <c r="E2020" s="1">
        <v>28.6476619</v>
      </c>
      <c r="F2020" s="1">
        <v>77.2403863</v>
      </c>
      <c r="G2020" s="1" t="s">
        <v>2511</v>
      </c>
      <c r="H2020" s="1" t="s">
        <v>2512</v>
      </c>
      <c r="J2020" s="1" t="s">
        <v>56</v>
      </c>
      <c r="P2020" s="1" t="s">
        <v>4769</v>
      </c>
      <c r="Q2020" s="1" t="s">
        <v>4770</v>
      </c>
      <c r="R2020" s="1">
        <v>1.0</v>
      </c>
      <c r="S2020" s="1"/>
    </row>
    <row r="2021" ht="15.75" customHeight="1">
      <c r="A2021" s="1" t="s">
        <v>4786</v>
      </c>
      <c r="B2021" s="1" t="s">
        <v>4787</v>
      </c>
      <c r="C2021" s="1" t="s">
        <v>3683</v>
      </c>
      <c r="K2021" s="1" t="s">
        <v>99</v>
      </c>
      <c r="L2021" s="1" t="s">
        <v>27</v>
      </c>
      <c r="N2021" s="1" t="s">
        <v>28</v>
      </c>
      <c r="O2021" s="1" t="s">
        <v>29</v>
      </c>
      <c r="P2021" s="1" t="s">
        <v>4769</v>
      </c>
      <c r="Q2021" s="1" t="s">
        <v>4770</v>
      </c>
      <c r="R2021" s="1">
        <v>0.0</v>
      </c>
      <c r="S2021" s="1"/>
    </row>
    <row r="2022" ht="15.75" customHeight="1">
      <c r="A2022" s="1" t="s">
        <v>4788</v>
      </c>
      <c r="B2022" s="1" t="s">
        <v>4789</v>
      </c>
      <c r="C2022" s="1" t="s">
        <v>4790</v>
      </c>
      <c r="K2022" s="1" t="s">
        <v>99</v>
      </c>
      <c r="L2022" s="1" t="s">
        <v>27</v>
      </c>
      <c r="N2022" s="1" t="s">
        <v>28</v>
      </c>
      <c r="O2022" s="1" t="s">
        <v>29</v>
      </c>
      <c r="P2022" s="1" t="s">
        <v>4769</v>
      </c>
      <c r="Q2022" s="1" t="s">
        <v>4770</v>
      </c>
      <c r="R2022" s="1">
        <v>0.0</v>
      </c>
      <c r="S2022" s="1"/>
    </row>
    <row r="2023" ht="15.75" customHeight="1">
      <c r="A2023" s="1" t="s">
        <v>4791</v>
      </c>
      <c r="B2023" s="1" t="s">
        <v>4792</v>
      </c>
      <c r="C2023" s="1" t="s">
        <v>174</v>
      </c>
      <c r="E2023" s="1">
        <v>28.6631544</v>
      </c>
      <c r="F2023" s="1">
        <v>77.29029229999999</v>
      </c>
      <c r="G2023" s="1" t="s">
        <v>2511</v>
      </c>
      <c r="H2023" s="1" t="s">
        <v>2512</v>
      </c>
      <c r="J2023" s="1" t="s">
        <v>56</v>
      </c>
      <c r="P2023" s="1" t="s">
        <v>4793</v>
      </c>
      <c r="Q2023" s="1" t="s">
        <v>4794</v>
      </c>
      <c r="R2023" s="1">
        <v>1.0</v>
      </c>
      <c r="S2023" s="1"/>
    </row>
    <row r="2024" ht="15.75" customHeight="1">
      <c r="A2024" s="1" t="s">
        <v>4795</v>
      </c>
      <c r="B2024" s="1" t="s">
        <v>4796</v>
      </c>
      <c r="C2024" s="1" t="s">
        <v>617</v>
      </c>
      <c r="K2024" s="1" t="s">
        <v>99</v>
      </c>
      <c r="L2024" s="1" t="s">
        <v>27</v>
      </c>
      <c r="N2024" s="1" t="s">
        <v>28</v>
      </c>
      <c r="O2024" s="1" t="s">
        <v>29</v>
      </c>
      <c r="P2024" s="1" t="s">
        <v>4769</v>
      </c>
      <c r="Q2024" s="1" t="s">
        <v>4770</v>
      </c>
      <c r="R2024" s="1">
        <v>0.0</v>
      </c>
      <c r="S2024" s="1"/>
    </row>
    <row r="2025" ht="15.75" customHeight="1">
      <c r="A2025" s="1" t="s">
        <v>4797</v>
      </c>
      <c r="B2025" s="1" t="s">
        <v>4798</v>
      </c>
      <c r="C2025" s="1" t="s">
        <v>174</v>
      </c>
      <c r="E2025" s="1">
        <v>28.6895487</v>
      </c>
      <c r="F2025" s="1">
        <v>77.29663939999999</v>
      </c>
      <c r="G2025" s="1" t="s">
        <v>4799</v>
      </c>
      <c r="H2025" s="1" t="s">
        <v>4800</v>
      </c>
      <c r="I2025" s="1" t="s">
        <v>24</v>
      </c>
      <c r="J2025" s="1" t="s">
        <v>1678</v>
      </c>
      <c r="P2025" s="1" t="s">
        <v>4801</v>
      </c>
      <c r="Q2025" s="1" t="s">
        <v>4802</v>
      </c>
      <c r="R2025" s="1">
        <v>4.0</v>
      </c>
      <c r="S2025" s="1"/>
    </row>
    <row r="2026" ht="15.75" customHeight="1">
      <c r="A2026" s="1" t="s">
        <v>4803</v>
      </c>
      <c r="B2026" s="1" t="s">
        <v>4804</v>
      </c>
      <c r="C2026" s="1" t="s">
        <v>4805</v>
      </c>
      <c r="K2026" s="1" t="s">
        <v>99</v>
      </c>
      <c r="L2026" s="1" t="s">
        <v>27</v>
      </c>
      <c r="N2026" s="1" t="s">
        <v>28</v>
      </c>
      <c r="O2026" s="1" t="s">
        <v>29</v>
      </c>
      <c r="P2026" s="1" t="s">
        <v>4769</v>
      </c>
      <c r="Q2026" s="1" t="s">
        <v>4770</v>
      </c>
      <c r="R2026" s="1">
        <v>0.0</v>
      </c>
      <c r="S2026" s="1"/>
    </row>
    <row r="2027" ht="15.75" customHeight="1">
      <c r="A2027" s="1" t="s">
        <v>4806</v>
      </c>
      <c r="B2027" s="1" t="s">
        <v>4807</v>
      </c>
      <c r="C2027" s="1" t="s">
        <v>174</v>
      </c>
      <c r="E2027" s="1">
        <v>28.6079752</v>
      </c>
      <c r="F2027" s="1">
        <v>77.3055468</v>
      </c>
      <c r="G2027" s="1" t="s">
        <v>2511</v>
      </c>
      <c r="H2027" s="1" t="s">
        <v>2512</v>
      </c>
      <c r="J2027" s="1" t="s">
        <v>56</v>
      </c>
      <c r="P2027" s="1" t="s">
        <v>4769</v>
      </c>
      <c r="Q2027" s="1" t="s">
        <v>4770</v>
      </c>
      <c r="R2027" s="1">
        <v>1.0</v>
      </c>
      <c r="S2027" s="1"/>
    </row>
    <row r="2028" ht="15.75" customHeight="1">
      <c r="A2028" s="1" t="s">
        <v>4808</v>
      </c>
      <c r="B2028" s="1" t="s">
        <v>4809</v>
      </c>
      <c r="C2028" s="1" t="s">
        <v>174</v>
      </c>
      <c r="E2028" s="1">
        <v>28.6803845</v>
      </c>
      <c r="F2028" s="1">
        <v>77.2869291</v>
      </c>
      <c r="G2028" s="1" t="s">
        <v>2511</v>
      </c>
      <c r="H2028" s="1" t="s">
        <v>2512</v>
      </c>
      <c r="J2028" s="1" t="s">
        <v>56</v>
      </c>
      <c r="P2028" s="1" t="s">
        <v>4769</v>
      </c>
      <c r="Q2028" s="1" t="s">
        <v>4770</v>
      </c>
      <c r="R2028" s="1">
        <v>1.0</v>
      </c>
      <c r="S2028" s="1"/>
    </row>
    <row r="2029" ht="15.75" customHeight="1">
      <c r="A2029" s="1" t="s">
        <v>4810</v>
      </c>
      <c r="B2029" s="1" t="s">
        <v>4811</v>
      </c>
      <c r="C2029" s="1" t="s">
        <v>174</v>
      </c>
      <c r="E2029" s="1">
        <v>28.7238698</v>
      </c>
      <c r="F2029" s="1">
        <v>77.2739455</v>
      </c>
      <c r="G2029" s="1" t="s">
        <v>2511</v>
      </c>
      <c r="H2029" s="1" t="s">
        <v>2512</v>
      </c>
      <c r="J2029" s="1" t="s">
        <v>56</v>
      </c>
      <c r="P2029" s="1" t="s">
        <v>4812</v>
      </c>
      <c r="Q2029" s="1" t="s">
        <v>4813</v>
      </c>
      <c r="R2029" s="1">
        <v>1.0</v>
      </c>
      <c r="S2029" s="1"/>
    </row>
    <row r="2030" ht="15.75" customHeight="1">
      <c r="A2030" s="1" t="s">
        <v>4814</v>
      </c>
      <c r="B2030" s="1" t="s">
        <v>4815</v>
      </c>
      <c r="C2030" s="1" t="s">
        <v>4816</v>
      </c>
      <c r="K2030" s="1" t="s">
        <v>99</v>
      </c>
      <c r="L2030" s="1" t="s">
        <v>27</v>
      </c>
      <c r="N2030" s="1" t="s">
        <v>28</v>
      </c>
      <c r="O2030" s="1" t="s">
        <v>29</v>
      </c>
      <c r="P2030" s="1" t="s">
        <v>4769</v>
      </c>
      <c r="Q2030" s="1" t="s">
        <v>4770</v>
      </c>
      <c r="R2030" s="1">
        <v>0.0</v>
      </c>
      <c r="S2030" s="1"/>
    </row>
    <row r="2031" ht="15.75" customHeight="1">
      <c r="A2031" s="1" t="s">
        <v>4817</v>
      </c>
      <c r="B2031" s="1" t="s">
        <v>4818</v>
      </c>
      <c r="C2031" s="1" t="s">
        <v>4819</v>
      </c>
      <c r="K2031" s="1" t="s">
        <v>99</v>
      </c>
      <c r="L2031" s="1" t="s">
        <v>27</v>
      </c>
      <c r="N2031" s="1" t="s">
        <v>28</v>
      </c>
      <c r="O2031" s="1" t="s">
        <v>29</v>
      </c>
      <c r="P2031" s="1" t="s">
        <v>4769</v>
      </c>
      <c r="Q2031" s="1" t="s">
        <v>4770</v>
      </c>
      <c r="R2031" s="1">
        <v>0.0</v>
      </c>
      <c r="S2031" s="1"/>
    </row>
    <row r="2032" ht="15.75" customHeight="1">
      <c r="A2032" s="1" t="s">
        <v>4820</v>
      </c>
      <c r="B2032" s="1" t="s">
        <v>4821</v>
      </c>
      <c r="C2032" s="1" t="s">
        <v>174</v>
      </c>
      <c r="E2032" s="1">
        <v>28.6596335</v>
      </c>
      <c r="F2032" s="1">
        <v>77.26727389999999</v>
      </c>
      <c r="G2032" s="1" t="s">
        <v>2511</v>
      </c>
      <c r="H2032" s="1" t="s">
        <v>2512</v>
      </c>
      <c r="J2032" s="1" t="s">
        <v>56</v>
      </c>
      <c r="P2032" s="1" t="s">
        <v>4793</v>
      </c>
      <c r="Q2032" s="1" t="s">
        <v>4794</v>
      </c>
      <c r="R2032" s="1">
        <v>5.0</v>
      </c>
      <c r="S2032" s="1"/>
    </row>
    <row r="2033" ht="15.75" customHeight="1">
      <c r="A2033" s="1" t="s">
        <v>4822</v>
      </c>
      <c r="B2033" s="1" t="s">
        <v>4823</v>
      </c>
      <c r="C2033" s="1" t="s">
        <v>4824</v>
      </c>
      <c r="K2033" s="1" t="s">
        <v>99</v>
      </c>
      <c r="L2033" s="1" t="s">
        <v>27</v>
      </c>
      <c r="N2033" s="1" t="s">
        <v>28</v>
      </c>
      <c r="O2033" s="1" t="s">
        <v>29</v>
      </c>
      <c r="P2033" s="1" t="s">
        <v>4812</v>
      </c>
      <c r="Q2033" s="1" t="s">
        <v>4813</v>
      </c>
      <c r="R2033" s="1">
        <v>0.0</v>
      </c>
      <c r="S2033" s="1"/>
    </row>
    <row r="2034" ht="15.75" customHeight="1">
      <c r="A2034" s="1" t="s">
        <v>4825</v>
      </c>
      <c r="B2034" s="1" t="s">
        <v>4826</v>
      </c>
      <c r="C2034" s="1" t="s">
        <v>4827</v>
      </c>
      <c r="K2034" s="1" t="s">
        <v>99</v>
      </c>
      <c r="L2034" s="1" t="s">
        <v>27</v>
      </c>
      <c r="N2034" s="1" t="s">
        <v>28</v>
      </c>
      <c r="O2034" s="1" t="s">
        <v>29</v>
      </c>
      <c r="P2034" s="1" t="s">
        <v>4769</v>
      </c>
      <c r="Q2034" s="1" t="s">
        <v>4770</v>
      </c>
      <c r="R2034" s="1">
        <v>0.0</v>
      </c>
      <c r="S2034" s="1"/>
    </row>
    <row r="2035" ht="15.75" customHeight="1">
      <c r="A2035" s="1" t="s">
        <v>4828</v>
      </c>
      <c r="B2035" s="1" t="s">
        <v>4829</v>
      </c>
      <c r="C2035" s="1" t="s">
        <v>174</v>
      </c>
      <c r="E2035" s="1">
        <v>28.6205239</v>
      </c>
      <c r="F2035" s="1">
        <v>77.2852407</v>
      </c>
      <c r="G2035" s="1" t="s">
        <v>2511</v>
      </c>
      <c r="H2035" s="1" t="s">
        <v>2512</v>
      </c>
      <c r="J2035" s="1" t="s">
        <v>56</v>
      </c>
      <c r="P2035" s="1" t="s">
        <v>4769</v>
      </c>
      <c r="Q2035" s="1" t="s">
        <v>4770</v>
      </c>
      <c r="R2035" s="1">
        <v>1.0</v>
      </c>
      <c r="S2035" s="1"/>
    </row>
    <row r="2036" ht="15.75" customHeight="1">
      <c r="A2036" s="1" t="s">
        <v>4830</v>
      </c>
      <c r="B2036" s="1" t="s">
        <v>4831</v>
      </c>
      <c r="C2036" s="1" t="s">
        <v>174</v>
      </c>
      <c r="E2036" s="1">
        <v>28.6219913</v>
      </c>
      <c r="F2036" s="1">
        <v>77.3121487</v>
      </c>
      <c r="G2036" s="1" t="s">
        <v>2511</v>
      </c>
      <c r="H2036" s="1" t="s">
        <v>2512</v>
      </c>
      <c r="J2036" s="1" t="s">
        <v>56</v>
      </c>
      <c r="P2036" s="1" t="s">
        <v>4793</v>
      </c>
      <c r="Q2036" s="1" t="s">
        <v>4794</v>
      </c>
      <c r="R2036" s="1">
        <v>2.0</v>
      </c>
      <c r="S2036" s="1"/>
    </row>
    <row r="2037" ht="15.75" customHeight="1">
      <c r="A2037" s="1" t="s">
        <v>4832</v>
      </c>
      <c r="B2037" s="1" t="s">
        <v>4833</v>
      </c>
      <c r="C2037" s="1" t="s">
        <v>115</v>
      </c>
      <c r="K2037" s="1" t="s">
        <v>99</v>
      </c>
      <c r="L2037" s="1" t="s">
        <v>27</v>
      </c>
      <c r="N2037" s="1" t="s">
        <v>123</v>
      </c>
      <c r="O2037" s="1" t="s">
        <v>29</v>
      </c>
      <c r="P2037" s="1" t="s">
        <v>4793</v>
      </c>
      <c r="Q2037" s="1" t="s">
        <v>4794</v>
      </c>
      <c r="R2037" s="1">
        <v>0.0</v>
      </c>
      <c r="S2037" s="1"/>
    </row>
    <row r="2038" ht="15.75" customHeight="1">
      <c r="A2038" s="1" t="s">
        <v>4834</v>
      </c>
      <c r="B2038" s="1" t="s">
        <v>4835</v>
      </c>
      <c r="C2038" s="1" t="s">
        <v>174</v>
      </c>
      <c r="E2038" s="1">
        <v>28.65491369999999</v>
      </c>
      <c r="F2038" s="1">
        <v>77.2765958</v>
      </c>
      <c r="G2038" s="1" t="s">
        <v>2511</v>
      </c>
      <c r="H2038" s="1" t="s">
        <v>2512</v>
      </c>
      <c r="J2038" s="1" t="s">
        <v>56</v>
      </c>
      <c r="P2038" s="1" t="s">
        <v>4769</v>
      </c>
      <c r="Q2038" s="1" t="s">
        <v>4770</v>
      </c>
      <c r="R2038" s="1">
        <v>1.0</v>
      </c>
      <c r="S2038" s="1"/>
    </row>
    <row r="2039" ht="15.75" customHeight="1">
      <c r="A2039" s="1" t="s">
        <v>4836</v>
      </c>
      <c r="B2039" s="1" t="s">
        <v>4837</v>
      </c>
      <c r="C2039" s="1" t="s">
        <v>174</v>
      </c>
      <c r="E2039" s="1">
        <v>28.6656079</v>
      </c>
      <c r="F2039" s="1">
        <v>77.32052399999999</v>
      </c>
      <c r="G2039" s="1" t="s">
        <v>2511</v>
      </c>
      <c r="H2039" s="1" t="s">
        <v>2512</v>
      </c>
      <c r="J2039" s="1" t="s">
        <v>56</v>
      </c>
      <c r="P2039" s="1" t="s">
        <v>4769</v>
      </c>
      <c r="Q2039" s="1" t="s">
        <v>4770</v>
      </c>
      <c r="R2039" s="1">
        <v>3.0</v>
      </c>
      <c r="S2039" s="1"/>
    </row>
    <row r="2040" ht="15.75" customHeight="1">
      <c r="A2040" s="1" t="s">
        <v>4838</v>
      </c>
      <c r="B2040" s="1" t="s">
        <v>4839</v>
      </c>
      <c r="C2040" s="1" t="s">
        <v>174</v>
      </c>
      <c r="E2040" s="1">
        <v>28.6318657</v>
      </c>
      <c r="F2040" s="1">
        <v>77.27912409999999</v>
      </c>
      <c r="G2040" s="1" t="s">
        <v>4840</v>
      </c>
      <c r="H2040" s="1" t="s">
        <v>4841</v>
      </c>
      <c r="I2040" s="1" t="s">
        <v>4842</v>
      </c>
      <c r="J2040" s="1" t="s">
        <v>1678</v>
      </c>
      <c r="P2040" s="1" t="s">
        <v>4843</v>
      </c>
      <c r="Q2040" s="1" t="s">
        <v>4844</v>
      </c>
      <c r="R2040" s="1">
        <v>19.0</v>
      </c>
      <c r="S2040" s="1"/>
    </row>
    <row r="2041" ht="15.75" customHeight="1">
      <c r="A2041" s="1" t="s">
        <v>4845</v>
      </c>
      <c r="B2041" s="1" t="s">
        <v>4846</v>
      </c>
      <c r="C2041" s="1" t="s">
        <v>4847</v>
      </c>
      <c r="K2041" s="1" t="s">
        <v>99</v>
      </c>
      <c r="L2041" s="1" t="s">
        <v>27</v>
      </c>
      <c r="N2041" s="1" t="s">
        <v>532</v>
      </c>
      <c r="O2041" s="1" t="s">
        <v>29</v>
      </c>
      <c r="P2041" s="1" t="s">
        <v>4793</v>
      </c>
      <c r="Q2041" s="1" t="s">
        <v>4794</v>
      </c>
      <c r="R2041" s="1">
        <v>0.0</v>
      </c>
      <c r="S2041" s="1"/>
    </row>
    <row r="2042" ht="15.75" customHeight="1">
      <c r="A2042" s="1" t="s">
        <v>4848</v>
      </c>
      <c r="B2042" s="1" t="s">
        <v>4849</v>
      </c>
      <c r="C2042" s="1" t="s">
        <v>4850</v>
      </c>
      <c r="K2042" s="1" t="s">
        <v>99</v>
      </c>
      <c r="L2042" s="1" t="s">
        <v>27</v>
      </c>
      <c r="N2042" s="1" t="s">
        <v>532</v>
      </c>
      <c r="O2042" s="1" t="s">
        <v>29</v>
      </c>
      <c r="P2042" s="1" t="s">
        <v>4769</v>
      </c>
      <c r="Q2042" s="1" t="s">
        <v>4770</v>
      </c>
      <c r="R2042" s="1">
        <v>0.0</v>
      </c>
      <c r="S2042" s="1"/>
    </row>
    <row r="2043" ht="15.75" customHeight="1">
      <c r="A2043" s="1" t="s">
        <v>4851</v>
      </c>
      <c r="B2043" s="1" t="s">
        <v>4852</v>
      </c>
      <c r="C2043" s="1" t="s">
        <v>4679</v>
      </c>
      <c r="K2043" s="1" t="s">
        <v>99</v>
      </c>
      <c r="L2043" s="1" t="s">
        <v>27</v>
      </c>
      <c r="N2043" s="1" t="s">
        <v>163</v>
      </c>
      <c r="O2043" s="1" t="s">
        <v>29</v>
      </c>
      <c r="P2043" s="1" t="s">
        <v>4769</v>
      </c>
      <c r="Q2043" s="1" t="s">
        <v>4770</v>
      </c>
      <c r="R2043" s="1">
        <v>0.0</v>
      </c>
      <c r="S2043" s="1"/>
    </row>
    <row r="2044" ht="15.75" customHeight="1">
      <c r="A2044" s="1" t="s">
        <v>4853</v>
      </c>
      <c r="B2044" s="1" t="s">
        <v>4854</v>
      </c>
      <c r="C2044" s="1" t="s">
        <v>115</v>
      </c>
      <c r="K2044" s="1" t="s">
        <v>99</v>
      </c>
      <c r="L2044" s="1" t="s">
        <v>27</v>
      </c>
      <c r="N2044" s="1" t="s">
        <v>123</v>
      </c>
      <c r="O2044" s="1" t="s">
        <v>29</v>
      </c>
      <c r="P2044" s="1" t="s">
        <v>4769</v>
      </c>
      <c r="Q2044" s="1" t="s">
        <v>4770</v>
      </c>
      <c r="R2044" s="1">
        <v>0.0</v>
      </c>
      <c r="S2044" s="1"/>
    </row>
    <row r="2045" ht="15.75" customHeight="1">
      <c r="A2045" s="1" t="s">
        <v>4855</v>
      </c>
      <c r="B2045" s="1" t="s">
        <v>4856</v>
      </c>
      <c r="C2045" s="1" t="s">
        <v>174</v>
      </c>
      <c r="E2045" s="1">
        <v>28.612497</v>
      </c>
      <c r="F2045" s="1">
        <v>77.0879389</v>
      </c>
      <c r="G2045" s="1" t="s">
        <v>2511</v>
      </c>
      <c r="H2045" s="1" t="s">
        <v>2512</v>
      </c>
      <c r="J2045" s="1" t="s">
        <v>56</v>
      </c>
      <c r="P2045" s="1" t="s">
        <v>4769</v>
      </c>
      <c r="Q2045" s="1" t="s">
        <v>4770</v>
      </c>
      <c r="R2045" s="1">
        <v>1.0</v>
      </c>
      <c r="S2045" s="1"/>
    </row>
    <row r="2046" ht="15.75" customHeight="1">
      <c r="A2046" s="1" t="s">
        <v>4857</v>
      </c>
      <c r="B2046" s="1" t="s">
        <v>4858</v>
      </c>
      <c r="C2046" s="1" t="s">
        <v>4859</v>
      </c>
      <c r="K2046" s="1" t="s">
        <v>99</v>
      </c>
      <c r="L2046" s="1" t="s">
        <v>27</v>
      </c>
      <c r="N2046" s="1" t="s">
        <v>163</v>
      </c>
      <c r="O2046" s="1" t="s">
        <v>29</v>
      </c>
      <c r="P2046" s="1" t="s">
        <v>4769</v>
      </c>
      <c r="Q2046" s="1" t="s">
        <v>4770</v>
      </c>
      <c r="R2046" s="1">
        <v>0.0</v>
      </c>
      <c r="S2046" s="1"/>
    </row>
    <row r="2047" ht="15.75" customHeight="1">
      <c r="A2047" s="1" t="s">
        <v>4860</v>
      </c>
      <c r="B2047" s="1" t="s">
        <v>4861</v>
      </c>
      <c r="C2047" s="1" t="s">
        <v>174</v>
      </c>
      <c r="E2047" s="1">
        <v>28.6886554</v>
      </c>
      <c r="F2047" s="1">
        <v>77.2921449</v>
      </c>
      <c r="G2047" s="1" t="s">
        <v>4799</v>
      </c>
      <c r="H2047" s="1" t="s">
        <v>4800</v>
      </c>
      <c r="I2047" s="1" t="s">
        <v>24</v>
      </c>
      <c r="J2047" s="1" t="s">
        <v>4862</v>
      </c>
      <c r="P2047" s="1" t="s">
        <v>4863</v>
      </c>
      <c r="Q2047" s="1" t="s">
        <v>4864</v>
      </c>
      <c r="R2047" s="1">
        <v>11.0</v>
      </c>
      <c r="S2047" s="1"/>
    </row>
    <row r="2048" ht="15.75" customHeight="1">
      <c r="A2048" s="1" t="s">
        <v>4865</v>
      </c>
      <c r="B2048" s="1" t="s">
        <v>4866</v>
      </c>
      <c r="C2048" s="1" t="s">
        <v>4082</v>
      </c>
      <c r="K2048" s="1" t="s">
        <v>99</v>
      </c>
      <c r="L2048" s="1" t="s">
        <v>27</v>
      </c>
      <c r="N2048" s="1" t="s">
        <v>163</v>
      </c>
      <c r="O2048" s="1" t="s">
        <v>29</v>
      </c>
      <c r="P2048" s="1" t="s">
        <v>4769</v>
      </c>
      <c r="Q2048" s="1" t="s">
        <v>4770</v>
      </c>
      <c r="R2048" s="1">
        <v>0.0</v>
      </c>
      <c r="S2048" s="1"/>
    </row>
    <row r="2049" ht="15.75" customHeight="1">
      <c r="A2049" s="1" t="s">
        <v>4867</v>
      </c>
      <c r="B2049" s="1" t="s">
        <v>4868</v>
      </c>
      <c r="C2049" s="1" t="s">
        <v>174</v>
      </c>
      <c r="E2049" s="1">
        <v>28.6651931</v>
      </c>
      <c r="F2049" s="1">
        <v>77.29561629999999</v>
      </c>
      <c r="G2049" s="1" t="s">
        <v>2511</v>
      </c>
      <c r="H2049" s="1" t="s">
        <v>2512</v>
      </c>
      <c r="J2049" s="1" t="s">
        <v>56</v>
      </c>
      <c r="P2049" s="1" t="s">
        <v>4769</v>
      </c>
      <c r="Q2049" s="1" t="s">
        <v>4770</v>
      </c>
      <c r="R2049" s="1">
        <v>1.0</v>
      </c>
      <c r="S2049" s="1"/>
    </row>
    <row r="2050" ht="15.75" customHeight="1">
      <c r="A2050" s="1" t="s">
        <v>4869</v>
      </c>
      <c r="B2050" s="1" t="s">
        <v>4870</v>
      </c>
      <c r="C2050" s="1" t="s">
        <v>174</v>
      </c>
      <c r="E2050" s="1">
        <v>28.701297</v>
      </c>
      <c r="F2050" s="1">
        <v>77.0825843</v>
      </c>
      <c r="G2050" s="1" t="s">
        <v>2511</v>
      </c>
      <c r="H2050" s="1" t="s">
        <v>2512</v>
      </c>
      <c r="J2050" s="1" t="s">
        <v>56</v>
      </c>
      <c r="P2050" s="1" t="s">
        <v>4769</v>
      </c>
      <c r="Q2050" s="1" t="s">
        <v>4770</v>
      </c>
      <c r="R2050" s="1">
        <v>2.0</v>
      </c>
      <c r="S2050" s="1"/>
    </row>
    <row r="2051" ht="15.75" customHeight="1">
      <c r="A2051" s="1" t="s">
        <v>4871</v>
      </c>
      <c r="B2051" s="1" t="s">
        <v>4872</v>
      </c>
      <c r="C2051" s="1" t="s">
        <v>174</v>
      </c>
      <c r="E2051" s="1">
        <v>28.7166747</v>
      </c>
      <c r="F2051" s="1">
        <v>77.26484099999999</v>
      </c>
      <c r="G2051" s="1" t="s">
        <v>2511</v>
      </c>
      <c r="H2051" s="1" t="s">
        <v>2512</v>
      </c>
      <c r="J2051" s="1" t="s">
        <v>56</v>
      </c>
      <c r="P2051" s="1" t="s">
        <v>4769</v>
      </c>
      <c r="Q2051" s="1" t="s">
        <v>4770</v>
      </c>
      <c r="R2051" s="1">
        <v>1.0</v>
      </c>
      <c r="S2051" s="1"/>
    </row>
    <row r="2052" ht="15.75" customHeight="1">
      <c r="A2052" s="1" t="s">
        <v>4873</v>
      </c>
      <c r="B2052" s="1" t="s">
        <v>4874</v>
      </c>
      <c r="C2052" s="1" t="s">
        <v>4875</v>
      </c>
      <c r="K2052" s="1" t="s">
        <v>99</v>
      </c>
      <c r="L2052" s="1" t="s">
        <v>27</v>
      </c>
      <c r="N2052" s="1" t="s">
        <v>163</v>
      </c>
      <c r="O2052" s="1" t="s">
        <v>29</v>
      </c>
      <c r="P2052" s="1" t="s">
        <v>4769</v>
      </c>
      <c r="Q2052" s="1" t="s">
        <v>4770</v>
      </c>
      <c r="R2052" s="1">
        <v>0.0</v>
      </c>
      <c r="S2052" s="1"/>
    </row>
    <row r="2053" ht="15.75" customHeight="1">
      <c r="A2053" s="1" t="s">
        <v>4876</v>
      </c>
      <c r="B2053" s="1" t="s">
        <v>4877</v>
      </c>
      <c r="C2053" s="1" t="s">
        <v>4591</v>
      </c>
      <c r="K2053" s="1" t="s">
        <v>99</v>
      </c>
      <c r="L2053" s="1" t="s">
        <v>27</v>
      </c>
      <c r="N2053" s="1" t="s">
        <v>163</v>
      </c>
      <c r="O2053" s="1" t="s">
        <v>29</v>
      </c>
      <c r="P2053" s="1" t="s">
        <v>4769</v>
      </c>
      <c r="Q2053" s="1" t="s">
        <v>4770</v>
      </c>
      <c r="R2053" s="1">
        <v>0.0</v>
      </c>
      <c r="S2053" s="1"/>
    </row>
    <row r="2054" ht="15.75" customHeight="1">
      <c r="A2054" s="1" t="s">
        <v>4878</v>
      </c>
      <c r="B2054" s="1" t="s">
        <v>4879</v>
      </c>
      <c r="C2054" s="1" t="s">
        <v>1016</v>
      </c>
      <c r="K2054" s="1" t="s">
        <v>99</v>
      </c>
      <c r="L2054" s="1" t="s">
        <v>27</v>
      </c>
      <c r="N2054" s="1" t="s">
        <v>163</v>
      </c>
      <c r="O2054" s="1" t="s">
        <v>29</v>
      </c>
      <c r="P2054" s="1" t="s">
        <v>4769</v>
      </c>
      <c r="Q2054" s="1" t="s">
        <v>4770</v>
      </c>
      <c r="R2054" s="1">
        <v>0.0</v>
      </c>
      <c r="S2054" s="1"/>
    </row>
    <row r="2055" ht="15.75" customHeight="1">
      <c r="A2055" s="1" t="s">
        <v>4880</v>
      </c>
      <c r="B2055" s="1" t="s">
        <v>4881</v>
      </c>
      <c r="C2055" s="1" t="s">
        <v>4591</v>
      </c>
      <c r="K2055" s="1" t="s">
        <v>99</v>
      </c>
      <c r="L2055" s="1" t="s">
        <v>27</v>
      </c>
      <c r="N2055" s="1" t="s">
        <v>163</v>
      </c>
      <c r="O2055" s="1" t="s">
        <v>29</v>
      </c>
      <c r="P2055" s="1" t="s">
        <v>4769</v>
      </c>
      <c r="Q2055" s="1" t="s">
        <v>4770</v>
      </c>
      <c r="R2055" s="1">
        <v>0.0</v>
      </c>
      <c r="S2055" s="1"/>
    </row>
    <row r="2056" ht="15.75" customHeight="1">
      <c r="A2056" s="1" t="s">
        <v>4882</v>
      </c>
      <c r="B2056" s="1" t="s">
        <v>4883</v>
      </c>
      <c r="C2056" s="1" t="s">
        <v>174</v>
      </c>
      <c r="E2056" s="1">
        <v>28.6177876</v>
      </c>
      <c r="F2056" s="1">
        <v>77.3182546</v>
      </c>
      <c r="G2056" s="1" t="s">
        <v>2511</v>
      </c>
      <c r="H2056" s="1" t="s">
        <v>2512</v>
      </c>
      <c r="J2056" s="1" t="s">
        <v>56</v>
      </c>
      <c r="P2056" s="1" t="s">
        <v>4769</v>
      </c>
      <c r="Q2056" s="1" t="s">
        <v>4770</v>
      </c>
      <c r="R2056" s="1">
        <v>1.0</v>
      </c>
      <c r="S2056" s="1"/>
    </row>
    <row r="2057" ht="15.75" customHeight="1">
      <c r="A2057" s="1" t="s">
        <v>4884</v>
      </c>
      <c r="B2057" s="1" t="s">
        <v>4885</v>
      </c>
      <c r="C2057" s="1" t="s">
        <v>174</v>
      </c>
      <c r="E2057" s="1">
        <v>28.7209255</v>
      </c>
      <c r="F2057" s="1">
        <v>77.2464282</v>
      </c>
      <c r="G2057" s="1" t="s">
        <v>1676</v>
      </c>
      <c r="H2057" s="1" t="s">
        <v>1677</v>
      </c>
      <c r="I2057" s="1" t="s">
        <v>24</v>
      </c>
      <c r="J2057" s="1" t="s">
        <v>56</v>
      </c>
      <c r="P2057" s="1" t="s">
        <v>4812</v>
      </c>
      <c r="Q2057" s="1" t="s">
        <v>4813</v>
      </c>
      <c r="R2057" s="1">
        <v>3.0</v>
      </c>
      <c r="S2057" s="1"/>
    </row>
    <row r="2058" ht="15.75" customHeight="1">
      <c r="A2058" s="1" t="s">
        <v>4886</v>
      </c>
      <c r="B2058" s="1" t="s">
        <v>4887</v>
      </c>
      <c r="C2058" s="1" t="s">
        <v>174</v>
      </c>
      <c r="E2058" s="1">
        <v>28.6588465</v>
      </c>
      <c r="F2058" s="1">
        <v>77.2837667</v>
      </c>
      <c r="G2058" s="1" t="s">
        <v>2511</v>
      </c>
      <c r="H2058" s="1" t="s">
        <v>2512</v>
      </c>
      <c r="J2058" s="1" t="s">
        <v>56</v>
      </c>
      <c r="P2058" s="1" t="s">
        <v>4769</v>
      </c>
      <c r="Q2058" s="1" t="s">
        <v>4770</v>
      </c>
      <c r="R2058" s="1">
        <v>1.0</v>
      </c>
      <c r="S2058" s="1"/>
    </row>
    <row r="2059" ht="15.75" customHeight="1">
      <c r="A2059" s="1" t="s">
        <v>4888</v>
      </c>
      <c r="B2059" s="1" t="s">
        <v>4889</v>
      </c>
      <c r="C2059" s="1" t="s">
        <v>115</v>
      </c>
      <c r="K2059" s="1" t="s">
        <v>99</v>
      </c>
      <c r="L2059" s="1" t="s">
        <v>27</v>
      </c>
      <c r="N2059" s="1" t="s">
        <v>123</v>
      </c>
      <c r="O2059" s="1" t="s">
        <v>29</v>
      </c>
      <c r="P2059" s="1" t="s">
        <v>4769</v>
      </c>
      <c r="Q2059" s="1" t="s">
        <v>4770</v>
      </c>
      <c r="R2059" s="1">
        <v>0.0</v>
      </c>
      <c r="S2059" s="1"/>
    </row>
    <row r="2060" ht="15.75" customHeight="1">
      <c r="A2060" s="1" t="s">
        <v>4890</v>
      </c>
      <c r="B2060" s="1" t="s">
        <v>4891</v>
      </c>
      <c r="C2060" s="1" t="s">
        <v>3185</v>
      </c>
      <c r="K2060" s="1" t="s">
        <v>99</v>
      </c>
      <c r="L2060" s="1" t="s">
        <v>27</v>
      </c>
      <c r="N2060" s="1" t="s">
        <v>163</v>
      </c>
      <c r="O2060" s="1" t="s">
        <v>29</v>
      </c>
      <c r="P2060" s="1" t="s">
        <v>4769</v>
      </c>
      <c r="Q2060" s="1" t="s">
        <v>4770</v>
      </c>
      <c r="R2060" s="1">
        <v>0.0</v>
      </c>
      <c r="S2060" s="1"/>
    </row>
    <row r="2061" ht="15.75" customHeight="1">
      <c r="A2061" s="1" t="s">
        <v>4892</v>
      </c>
      <c r="B2061" s="1" t="s">
        <v>4893</v>
      </c>
      <c r="C2061" s="1" t="s">
        <v>174</v>
      </c>
      <c r="E2061" s="1">
        <v>28.6413422</v>
      </c>
      <c r="F2061" s="1">
        <v>77.1302628</v>
      </c>
      <c r="G2061" s="1" t="s">
        <v>2511</v>
      </c>
      <c r="H2061" s="1" t="s">
        <v>2512</v>
      </c>
      <c r="J2061" s="1" t="s">
        <v>56</v>
      </c>
      <c r="P2061" s="1" t="s">
        <v>4769</v>
      </c>
      <c r="Q2061" s="1" t="s">
        <v>4770</v>
      </c>
      <c r="R2061" s="1">
        <v>2.0</v>
      </c>
      <c r="S2061" s="1"/>
    </row>
    <row r="2062" ht="15.75" customHeight="1">
      <c r="A2062" s="1" t="s">
        <v>4894</v>
      </c>
      <c r="B2062" s="1" t="s">
        <v>4895</v>
      </c>
      <c r="C2062" s="1" t="s">
        <v>174</v>
      </c>
      <c r="E2062" s="1">
        <v>28.6299809</v>
      </c>
      <c r="F2062" s="1">
        <v>77.2761728</v>
      </c>
      <c r="G2062" s="1" t="s">
        <v>2511</v>
      </c>
      <c r="H2062" s="1" t="s">
        <v>2512</v>
      </c>
      <c r="J2062" s="1" t="s">
        <v>56</v>
      </c>
      <c r="P2062" s="1" t="s">
        <v>4769</v>
      </c>
      <c r="Q2062" s="1" t="s">
        <v>4770</v>
      </c>
      <c r="R2062" s="1">
        <v>1.0</v>
      </c>
      <c r="S2062" s="1"/>
    </row>
    <row r="2063" ht="15.75" customHeight="1">
      <c r="A2063" s="1" t="s">
        <v>4896</v>
      </c>
      <c r="B2063" s="1" t="s">
        <v>4897</v>
      </c>
      <c r="C2063" s="1" t="s">
        <v>4898</v>
      </c>
      <c r="K2063" s="1" t="s">
        <v>99</v>
      </c>
      <c r="L2063" s="1" t="s">
        <v>27</v>
      </c>
      <c r="N2063" s="1" t="s">
        <v>163</v>
      </c>
      <c r="O2063" s="1" t="s">
        <v>29</v>
      </c>
      <c r="P2063" s="1" t="s">
        <v>4769</v>
      </c>
      <c r="Q2063" s="1" t="s">
        <v>4770</v>
      </c>
      <c r="R2063" s="1">
        <v>0.0</v>
      </c>
      <c r="S2063" s="1"/>
    </row>
    <row r="2064" ht="15.75" customHeight="1">
      <c r="A2064" s="1" t="s">
        <v>4899</v>
      </c>
      <c r="B2064" s="1" t="s">
        <v>4900</v>
      </c>
      <c r="C2064" s="1" t="s">
        <v>4901</v>
      </c>
      <c r="K2064" s="1" t="s">
        <v>99</v>
      </c>
      <c r="L2064" s="1" t="s">
        <v>27</v>
      </c>
      <c r="N2064" s="1" t="s">
        <v>163</v>
      </c>
      <c r="O2064" s="1" t="s">
        <v>29</v>
      </c>
      <c r="P2064" s="1" t="s">
        <v>4769</v>
      </c>
      <c r="Q2064" s="1" t="s">
        <v>4770</v>
      </c>
      <c r="R2064" s="1">
        <v>0.0</v>
      </c>
      <c r="S2064" s="1"/>
    </row>
    <row r="2065" ht="15.75" customHeight="1">
      <c r="A2065" s="1" t="s">
        <v>4902</v>
      </c>
      <c r="B2065" s="1" t="s">
        <v>4903</v>
      </c>
      <c r="C2065" s="1" t="s">
        <v>174</v>
      </c>
      <c r="E2065" s="1">
        <v>28.6509247</v>
      </c>
      <c r="F2065" s="1">
        <v>77.22482629999999</v>
      </c>
      <c r="G2065" s="1" t="s">
        <v>2511</v>
      </c>
      <c r="H2065" s="1" t="s">
        <v>2512</v>
      </c>
      <c r="J2065" s="1" t="s">
        <v>56</v>
      </c>
      <c r="P2065" s="1" t="s">
        <v>4769</v>
      </c>
      <c r="Q2065" s="1" t="s">
        <v>4770</v>
      </c>
      <c r="R2065" s="1">
        <v>4.0</v>
      </c>
      <c r="S2065" s="1"/>
    </row>
    <row r="2066" ht="15.75" customHeight="1">
      <c r="A2066" s="1" t="s">
        <v>4904</v>
      </c>
      <c r="B2066" s="1" t="s">
        <v>4905</v>
      </c>
      <c r="C2066" s="1" t="s">
        <v>630</v>
      </c>
      <c r="E2066" s="1">
        <v>26.4167823</v>
      </c>
      <c r="F2066" s="1">
        <v>80.3200536</v>
      </c>
      <c r="G2066" s="1" t="s">
        <v>2511</v>
      </c>
      <c r="H2066" s="1" t="s">
        <v>2512</v>
      </c>
      <c r="J2066" s="1" t="s">
        <v>56</v>
      </c>
      <c r="P2066" s="1" t="s">
        <v>733</v>
      </c>
      <c r="Q2066" s="1" t="s">
        <v>734</v>
      </c>
      <c r="R2066" s="1">
        <v>1.0</v>
      </c>
      <c r="S2066" s="1"/>
    </row>
    <row r="2067" ht="15.75" customHeight="1">
      <c r="A2067" s="1" t="s">
        <v>4906</v>
      </c>
      <c r="B2067" s="1" t="s">
        <v>4907</v>
      </c>
      <c r="C2067" s="1" t="s">
        <v>162</v>
      </c>
      <c r="K2067" s="1" t="s">
        <v>99</v>
      </c>
      <c r="L2067" s="1" t="s">
        <v>27</v>
      </c>
      <c r="N2067" s="1" t="s">
        <v>163</v>
      </c>
      <c r="O2067" s="1" t="s">
        <v>29</v>
      </c>
      <c r="P2067" s="1" t="s">
        <v>733</v>
      </c>
      <c r="Q2067" s="1" t="s">
        <v>734</v>
      </c>
      <c r="R2067" s="1">
        <v>0.0</v>
      </c>
      <c r="S2067" s="1"/>
    </row>
    <row r="2068" ht="15.75" customHeight="1">
      <c r="A2068" s="1" t="s">
        <v>4908</v>
      </c>
      <c r="B2068" s="1" t="s">
        <v>4909</v>
      </c>
      <c r="C2068" s="1" t="s">
        <v>630</v>
      </c>
      <c r="E2068" s="1">
        <v>26.4720883</v>
      </c>
      <c r="F2068" s="1">
        <v>80.32989320000001</v>
      </c>
      <c r="G2068" s="1" t="s">
        <v>2511</v>
      </c>
      <c r="H2068" s="1" t="s">
        <v>2512</v>
      </c>
      <c r="J2068" s="1" t="s">
        <v>56</v>
      </c>
      <c r="P2068" s="1" t="s">
        <v>733</v>
      </c>
      <c r="Q2068" s="1" t="s">
        <v>734</v>
      </c>
      <c r="R2068" s="1">
        <v>1.0</v>
      </c>
      <c r="S2068" s="1"/>
    </row>
    <row r="2069" ht="15.75" customHeight="1">
      <c r="A2069" s="1" t="s">
        <v>4910</v>
      </c>
      <c r="B2069" s="1" t="s">
        <v>4911</v>
      </c>
      <c r="C2069" s="1" t="s">
        <v>4679</v>
      </c>
      <c r="K2069" s="1" t="s">
        <v>99</v>
      </c>
      <c r="L2069" s="1" t="s">
        <v>27</v>
      </c>
      <c r="N2069" s="1" t="s">
        <v>163</v>
      </c>
      <c r="O2069" s="1" t="s">
        <v>29</v>
      </c>
      <c r="P2069" s="1" t="s">
        <v>733</v>
      </c>
      <c r="Q2069" s="1" t="s">
        <v>734</v>
      </c>
      <c r="R2069" s="1">
        <v>0.0</v>
      </c>
      <c r="S2069" s="1"/>
    </row>
    <row r="2070" ht="15.75" customHeight="1">
      <c r="A2070" s="1" t="s">
        <v>4912</v>
      </c>
      <c r="B2070" s="1" t="s">
        <v>4913</v>
      </c>
      <c r="C2070" s="1" t="s">
        <v>630</v>
      </c>
      <c r="E2070" s="1">
        <v>26.4105532</v>
      </c>
      <c r="F2070" s="1">
        <v>80.36843590000001</v>
      </c>
      <c r="G2070" s="1" t="s">
        <v>2511</v>
      </c>
      <c r="H2070" s="1" t="s">
        <v>2512</v>
      </c>
      <c r="J2070" s="1" t="s">
        <v>56</v>
      </c>
      <c r="P2070" s="1" t="s">
        <v>733</v>
      </c>
      <c r="Q2070" s="1" t="s">
        <v>734</v>
      </c>
      <c r="R2070" s="1">
        <v>1.0</v>
      </c>
      <c r="S2070" s="1"/>
    </row>
    <row r="2071" ht="15.75" customHeight="1">
      <c r="A2071" s="1" t="s">
        <v>4914</v>
      </c>
      <c r="B2071" s="1" t="s">
        <v>4915</v>
      </c>
      <c r="C2071" s="1" t="s">
        <v>4875</v>
      </c>
      <c r="K2071" s="1" t="s">
        <v>99</v>
      </c>
      <c r="L2071" s="1" t="s">
        <v>27</v>
      </c>
      <c r="N2071" s="1" t="s">
        <v>163</v>
      </c>
      <c r="O2071" s="1" t="s">
        <v>29</v>
      </c>
      <c r="P2071" s="1" t="s">
        <v>3219</v>
      </c>
      <c r="Q2071" s="1" t="s">
        <v>3220</v>
      </c>
      <c r="R2071" s="1">
        <v>0.0</v>
      </c>
      <c r="S2071" s="1"/>
    </row>
    <row r="2072" ht="15.75" customHeight="1">
      <c r="A2072" s="1" t="s">
        <v>4916</v>
      </c>
      <c r="B2072" s="1" t="s">
        <v>4917</v>
      </c>
      <c r="C2072" s="1" t="s">
        <v>1097</v>
      </c>
      <c r="E2072" s="1">
        <v>13.1369117</v>
      </c>
      <c r="F2072" s="1">
        <v>80.2064101</v>
      </c>
      <c r="G2072" s="1" t="s">
        <v>2511</v>
      </c>
      <c r="H2072" s="1" t="s">
        <v>2512</v>
      </c>
      <c r="J2072" s="1" t="s">
        <v>56</v>
      </c>
      <c r="P2072" s="1" t="s">
        <v>3219</v>
      </c>
      <c r="Q2072" s="1" t="s">
        <v>3220</v>
      </c>
      <c r="R2072" s="1">
        <v>1.0</v>
      </c>
      <c r="S2072" s="1"/>
    </row>
    <row r="2073" ht="15.75" customHeight="1">
      <c r="A2073" s="1" t="s">
        <v>4918</v>
      </c>
      <c r="B2073" s="1" t="s">
        <v>4919</v>
      </c>
      <c r="C2073" s="1" t="s">
        <v>174</v>
      </c>
      <c r="E2073" s="1">
        <v>28.5253142</v>
      </c>
      <c r="F2073" s="1">
        <v>77.23385549999999</v>
      </c>
      <c r="G2073" s="1" t="s">
        <v>2511</v>
      </c>
      <c r="H2073" s="1" t="s">
        <v>2512</v>
      </c>
      <c r="J2073" s="1" t="s">
        <v>56</v>
      </c>
      <c r="P2073" s="1" t="s">
        <v>4920</v>
      </c>
      <c r="Q2073" s="1" t="s">
        <v>4921</v>
      </c>
      <c r="R2073" s="1">
        <v>1.0</v>
      </c>
      <c r="S2073" s="1"/>
    </row>
    <row r="2074" ht="15.75" customHeight="1">
      <c r="A2074" s="1" t="s">
        <v>4922</v>
      </c>
      <c r="B2074" s="1" t="s">
        <v>4923</v>
      </c>
      <c r="C2074" s="1" t="s">
        <v>4924</v>
      </c>
      <c r="E2074" s="1">
        <v>28.6285902</v>
      </c>
      <c r="F2074" s="1">
        <v>77.3775749</v>
      </c>
      <c r="G2074" s="1" t="s">
        <v>2511</v>
      </c>
      <c r="H2074" s="1" t="s">
        <v>2512</v>
      </c>
      <c r="J2074" s="1" t="s">
        <v>56</v>
      </c>
      <c r="P2074" s="1" t="s">
        <v>2153</v>
      </c>
      <c r="Q2074" s="1" t="s">
        <v>2154</v>
      </c>
      <c r="R2074" s="1">
        <v>5.0</v>
      </c>
      <c r="S2074" s="1"/>
    </row>
    <row r="2075" ht="15.75" customHeight="1">
      <c r="A2075" s="1" t="s">
        <v>4925</v>
      </c>
      <c r="B2075" s="1" t="s">
        <v>4926</v>
      </c>
      <c r="C2075" s="1" t="s">
        <v>3185</v>
      </c>
      <c r="K2075" s="1" t="s">
        <v>99</v>
      </c>
      <c r="L2075" s="1" t="s">
        <v>27</v>
      </c>
      <c r="N2075" s="1" t="s">
        <v>163</v>
      </c>
      <c r="O2075" s="1" t="s">
        <v>29</v>
      </c>
      <c r="P2075" s="1" t="s">
        <v>4927</v>
      </c>
      <c r="Q2075" s="1" t="s">
        <v>4928</v>
      </c>
      <c r="R2075" s="1">
        <v>0.0</v>
      </c>
      <c r="S2075" s="1"/>
    </row>
    <row r="2076" ht="15.75" customHeight="1">
      <c r="A2076" s="1" t="s">
        <v>4929</v>
      </c>
      <c r="B2076" s="1" t="s">
        <v>4930</v>
      </c>
      <c r="C2076" s="1" t="s">
        <v>946</v>
      </c>
      <c r="E2076" s="1">
        <v>28.3605628</v>
      </c>
      <c r="F2076" s="1">
        <v>77.0649531</v>
      </c>
      <c r="G2076" s="1" t="s">
        <v>2511</v>
      </c>
      <c r="H2076" s="1" t="s">
        <v>2512</v>
      </c>
      <c r="J2076" s="1" t="s">
        <v>56</v>
      </c>
      <c r="K2076" s="1" t="s">
        <v>99</v>
      </c>
      <c r="L2076" s="1" t="s">
        <v>27</v>
      </c>
      <c r="N2076" s="1" t="s">
        <v>123</v>
      </c>
      <c r="O2076" s="1" t="s">
        <v>29</v>
      </c>
      <c r="P2076" s="1" t="s">
        <v>4927</v>
      </c>
      <c r="Q2076" s="1" t="s">
        <v>4928</v>
      </c>
      <c r="R2076" s="1">
        <v>1.0</v>
      </c>
      <c r="S2076" s="1"/>
    </row>
    <row r="2077" ht="15.75" customHeight="1">
      <c r="A2077" s="1" t="s">
        <v>4931</v>
      </c>
      <c r="B2077" s="1" t="s">
        <v>4932</v>
      </c>
      <c r="C2077" s="1" t="s">
        <v>1097</v>
      </c>
      <c r="E2077" s="1">
        <v>8.8676853</v>
      </c>
      <c r="F2077" s="1">
        <v>77.5097358</v>
      </c>
      <c r="G2077" s="1" t="s">
        <v>2511</v>
      </c>
      <c r="H2077" s="1" t="s">
        <v>2512</v>
      </c>
      <c r="J2077" s="1" t="s">
        <v>56</v>
      </c>
      <c r="P2077" s="1" t="s">
        <v>3219</v>
      </c>
      <c r="Q2077" s="1" t="s">
        <v>3220</v>
      </c>
      <c r="R2077" s="1">
        <v>1.0</v>
      </c>
      <c r="S2077" s="1"/>
    </row>
    <row r="2078" ht="15.75" customHeight="1">
      <c r="A2078" s="1" t="s">
        <v>4933</v>
      </c>
      <c r="B2078" s="1" t="s">
        <v>4934</v>
      </c>
      <c r="C2078" s="1" t="s">
        <v>4924</v>
      </c>
      <c r="E2078" s="1">
        <v>29.0345504</v>
      </c>
      <c r="F2078" s="1">
        <v>77.67916509999999</v>
      </c>
      <c r="G2078" s="1" t="s">
        <v>2511</v>
      </c>
      <c r="H2078" s="1" t="s">
        <v>2512</v>
      </c>
      <c r="J2078" s="1" t="s">
        <v>56</v>
      </c>
      <c r="P2078" s="1" t="s">
        <v>2153</v>
      </c>
      <c r="Q2078" s="1" t="s">
        <v>2154</v>
      </c>
      <c r="R2078" s="1">
        <v>1.0</v>
      </c>
      <c r="S2078" s="1"/>
    </row>
    <row r="2079" ht="15.75" customHeight="1">
      <c r="A2079" s="1" t="s">
        <v>4935</v>
      </c>
      <c r="B2079" s="1" t="s">
        <v>4936</v>
      </c>
      <c r="C2079" s="1" t="s">
        <v>4924</v>
      </c>
      <c r="E2079" s="1">
        <v>28.539582</v>
      </c>
      <c r="F2079" s="1">
        <v>77.3671197</v>
      </c>
      <c r="G2079" s="1" t="s">
        <v>2511</v>
      </c>
      <c r="H2079" s="1" t="s">
        <v>2512</v>
      </c>
      <c r="J2079" s="1" t="s">
        <v>56</v>
      </c>
      <c r="P2079" s="1" t="s">
        <v>4937</v>
      </c>
      <c r="Q2079" s="1" t="s">
        <v>4938</v>
      </c>
      <c r="R2079" s="1">
        <v>21.0</v>
      </c>
      <c r="S2079" s="1"/>
    </row>
    <row r="2080" ht="15.75" customHeight="1">
      <c r="A2080" s="1" t="s">
        <v>4939</v>
      </c>
      <c r="B2080" s="1" t="s">
        <v>4940</v>
      </c>
      <c r="C2080" s="1" t="s">
        <v>1097</v>
      </c>
      <c r="E2080" s="1">
        <v>13.0483243</v>
      </c>
      <c r="F2080" s="1">
        <v>80.23191849999999</v>
      </c>
      <c r="G2080" s="1" t="s">
        <v>2511</v>
      </c>
      <c r="H2080" s="1" t="s">
        <v>2512</v>
      </c>
      <c r="J2080" s="1" t="s">
        <v>56</v>
      </c>
      <c r="P2080" s="1" t="s">
        <v>3219</v>
      </c>
      <c r="Q2080" s="1" t="s">
        <v>3220</v>
      </c>
      <c r="R2080" s="1">
        <v>1.0</v>
      </c>
      <c r="S2080" s="1"/>
    </row>
    <row r="2081" ht="15.75" customHeight="1">
      <c r="A2081" s="1" t="s">
        <v>4941</v>
      </c>
      <c r="B2081" s="1" t="s">
        <v>4942</v>
      </c>
      <c r="C2081" s="1" t="s">
        <v>259</v>
      </c>
      <c r="K2081" s="1" t="s">
        <v>99</v>
      </c>
      <c r="L2081" s="1" t="s">
        <v>27</v>
      </c>
      <c r="N2081" s="1" t="s">
        <v>163</v>
      </c>
      <c r="O2081" s="1" t="s">
        <v>29</v>
      </c>
      <c r="P2081" s="1" t="s">
        <v>4920</v>
      </c>
      <c r="Q2081" s="1" t="s">
        <v>4921</v>
      </c>
      <c r="R2081" s="1">
        <v>0.0</v>
      </c>
      <c r="S2081" s="1"/>
    </row>
    <row r="2082" ht="15.75" customHeight="1">
      <c r="A2082" s="1" t="s">
        <v>4943</v>
      </c>
      <c r="B2082" s="1" t="s">
        <v>4944</v>
      </c>
      <c r="C2082" s="1" t="s">
        <v>174</v>
      </c>
      <c r="K2082" s="1" t="s">
        <v>99</v>
      </c>
      <c r="L2082" s="1" t="s">
        <v>27</v>
      </c>
      <c r="N2082" s="1" t="s">
        <v>174</v>
      </c>
      <c r="O2082" s="1" t="s">
        <v>29</v>
      </c>
      <c r="P2082" s="1" t="s">
        <v>4920</v>
      </c>
      <c r="Q2082" s="1" t="s">
        <v>4921</v>
      </c>
      <c r="R2082" s="1">
        <v>0.0</v>
      </c>
      <c r="S2082" s="1"/>
    </row>
    <row r="2083" ht="15.75" customHeight="1">
      <c r="A2083" s="1" t="s">
        <v>4945</v>
      </c>
      <c r="B2083" s="1" t="s">
        <v>4946</v>
      </c>
      <c r="C2083" s="1" t="s">
        <v>174</v>
      </c>
      <c r="E2083" s="1">
        <v>28.6302455</v>
      </c>
      <c r="F2083" s="1">
        <v>77.2724507</v>
      </c>
      <c r="G2083" s="1" t="s">
        <v>2511</v>
      </c>
      <c r="H2083" s="1" t="s">
        <v>2512</v>
      </c>
      <c r="J2083" s="1" t="s">
        <v>56</v>
      </c>
      <c r="P2083" s="1" t="s">
        <v>4920</v>
      </c>
      <c r="Q2083" s="1" t="s">
        <v>4921</v>
      </c>
      <c r="R2083" s="1">
        <v>3.0</v>
      </c>
      <c r="S2083" s="1"/>
    </row>
    <row r="2084" ht="15.75" customHeight="1">
      <c r="A2084" s="1" t="s">
        <v>4947</v>
      </c>
      <c r="B2084" s="1" t="s">
        <v>4948</v>
      </c>
      <c r="C2084" s="1" t="s">
        <v>174</v>
      </c>
      <c r="K2084" s="1" t="s">
        <v>99</v>
      </c>
      <c r="L2084" s="1" t="s">
        <v>27</v>
      </c>
      <c r="N2084" s="1" t="s">
        <v>174</v>
      </c>
      <c r="O2084" s="1" t="s">
        <v>29</v>
      </c>
      <c r="P2084" s="1" t="s">
        <v>4949</v>
      </c>
      <c r="Q2084" s="1" t="s">
        <v>4950</v>
      </c>
      <c r="R2084" s="1">
        <v>0.0</v>
      </c>
      <c r="S2084" s="1"/>
    </row>
    <row r="2085" ht="15.75" customHeight="1">
      <c r="A2085" s="1" t="s">
        <v>4951</v>
      </c>
      <c r="B2085" s="1" t="s">
        <v>4952</v>
      </c>
      <c r="C2085" s="1" t="s">
        <v>1786</v>
      </c>
      <c r="K2085" s="1" t="s">
        <v>99</v>
      </c>
      <c r="L2085" s="1" t="s">
        <v>27</v>
      </c>
      <c r="N2085" s="1" t="s">
        <v>1874</v>
      </c>
      <c r="O2085" s="1" t="s">
        <v>29</v>
      </c>
      <c r="P2085" s="1" t="s">
        <v>4920</v>
      </c>
      <c r="Q2085" s="1" t="s">
        <v>4921</v>
      </c>
      <c r="R2085" s="1">
        <v>0.0</v>
      </c>
      <c r="S2085" s="1"/>
    </row>
    <row r="2086" ht="15.75" customHeight="1">
      <c r="A2086" s="1" t="s">
        <v>4953</v>
      </c>
      <c r="B2086" s="1" t="s">
        <v>4954</v>
      </c>
      <c r="C2086" s="1" t="s">
        <v>174</v>
      </c>
      <c r="K2086" s="1" t="s">
        <v>99</v>
      </c>
      <c r="L2086" s="1" t="s">
        <v>27</v>
      </c>
      <c r="N2086" s="1" t="s">
        <v>174</v>
      </c>
      <c r="O2086" s="1" t="s">
        <v>29</v>
      </c>
      <c r="P2086" s="1" t="s">
        <v>4920</v>
      </c>
      <c r="Q2086" s="1" t="s">
        <v>4921</v>
      </c>
      <c r="R2086" s="1">
        <v>0.0</v>
      </c>
      <c r="S2086" s="1"/>
    </row>
    <row r="2087" ht="15.75" customHeight="1">
      <c r="A2087" s="1" t="s">
        <v>4955</v>
      </c>
      <c r="B2087" s="1" t="s">
        <v>4956</v>
      </c>
      <c r="C2087" s="1" t="s">
        <v>163</v>
      </c>
      <c r="E2087" s="1">
        <v>28.6284723</v>
      </c>
      <c r="F2087" s="1">
        <v>77.1366972</v>
      </c>
      <c r="G2087" s="1" t="s">
        <v>2511</v>
      </c>
      <c r="H2087" s="1" t="s">
        <v>2512</v>
      </c>
      <c r="J2087" s="1" t="s">
        <v>56</v>
      </c>
      <c r="P2087" s="1" t="s">
        <v>4927</v>
      </c>
      <c r="Q2087" s="1" t="s">
        <v>4928</v>
      </c>
      <c r="R2087" s="1">
        <v>1.0</v>
      </c>
      <c r="S2087" s="1"/>
    </row>
    <row r="2088" ht="15.75" customHeight="1">
      <c r="A2088" s="1" t="s">
        <v>4957</v>
      </c>
      <c r="B2088" s="1" t="s">
        <v>4958</v>
      </c>
      <c r="C2088" s="1" t="s">
        <v>1097</v>
      </c>
      <c r="E2088" s="1">
        <v>12.9872362</v>
      </c>
      <c r="F2088" s="1">
        <v>80.2530756</v>
      </c>
      <c r="G2088" s="1" t="s">
        <v>2511</v>
      </c>
      <c r="H2088" s="1" t="s">
        <v>2512</v>
      </c>
      <c r="J2088" s="1" t="s">
        <v>56</v>
      </c>
      <c r="P2088" s="1" t="s">
        <v>3219</v>
      </c>
      <c r="Q2088" s="1" t="s">
        <v>3220</v>
      </c>
      <c r="R2088" s="1">
        <v>1.0</v>
      </c>
      <c r="S2088" s="1"/>
    </row>
    <row r="2089" ht="15.75" customHeight="1">
      <c r="A2089" s="1" t="s">
        <v>4959</v>
      </c>
      <c r="B2089" s="1" t="s">
        <v>4960</v>
      </c>
      <c r="C2089" s="1" t="s">
        <v>174</v>
      </c>
      <c r="K2089" s="1" t="s">
        <v>99</v>
      </c>
      <c r="L2089" s="1" t="s">
        <v>27</v>
      </c>
      <c r="N2089" s="1" t="s">
        <v>174</v>
      </c>
      <c r="O2089" s="1" t="s">
        <v>29</v>
      </c>
      <c r="P2089" s="1" t="s">
        <v>4961</v>
      </c>
      <c r="Q2089" s="1" t="s">
        <v>4962</v>
      </c>
      <c r="R2089" s="1">
        <v>0.0</v>
      </c>
      <c r="S2089" s="1"/>
    </row>
    <row r="2090" ht="15.75" customHeight="1">
      <c r="A2090" s="1" t="s">
        <v>4963</v>
      </c>
      <c r="B2090" s="1" t="s">
        <v>4964</v>
      </c>
      <c r="C2090" s="1" t="s">
        <v>174</v>
      </c>
      <c r="K2090" s="1" t="s">
        <v>99</v>
      </c>
      <c r="L2090" s="1" t="s">
        <v>27</v>
      </c>
      <c r="N2090" s="1" t="s">
        <v>174</v>
      </c>
      <c r="O2090" s="1" t="s">
        <v>29</v>
      </c>
      <c r="P2090" s="1" t="s">
        <v>4965</v>
      </c>
      <c r="Q2090" s="1" t="s">
        <v>4966</v>
      </c>
      <c r="R2090" s="1">
        <v>0.0</v>
      </c>
      <c r="S2090" s="1"/>
    </row>
    <row r="2091" ht="15.75" customHeight="1">
      <c r="A2091" s="1" t="s">
        <v>4967</v>
      </c>
      <c r="B2091" s="1" t="s">
        <v>4968</v>
      </c>
      <c r="C2091" s="1" t="s">
        <v>4924</v>
      </c>
      <c r="E2091" s="1">
        <v>28.546131</v>
      </c>
      <c r="F2091" s="1">
        <v>77.3831968</v>
      </c>
      <c r="G2091" s="1" t="s">
        <v>2511</v>
      </c>
      <c r="H2091" s="1" t="s">
        <v>2512</v>
      </c>
      <c r="J2091" s="1" t="s">
        <v>56</v>
      </c>
      <c r="P2091" s="1" t="s">
        <v>2153</v>
      </c>
      <c r="Q2091" s="1" t="s">
        <v>2154</v>
      </c>
      <c r="R2091" s="1">
        <v>1.0</v>
      </c>
      <c r="S2091" s="1"/>
    </row>
    <row r="2092" ht="15.75" customHeight="1">
      <c r="A2092" s="1" t="s">
        <v>4969</v>
      </c>
      <c r="B2092" s="1" t="s">
        <v>4970</v>
      </c>
      <c r="C2092" s="1" t="s">
        <v>163</v>
      </c>
      <c r="E2092" s="1">
        <v>28.5117094</v>
      </c>
      <c r="F2092" s="1">
        <v>77.0217333</v>
      </c>
      <c r="G2092" s="1" t="s">
        <v>2511</v>
      </c>
      <c r="H2092" s="1" t="s">
        <v>2512</v>
      </c>
      <c r="J2092" s="1" t="s">
        <v>56</v>
      </c>
      <c r="P2092" s="1" t="s">
        <v>4927</v>
      </c>
      <c r="Q2092" s="1" t="s">
        <v>4928</v>
      </c>
      <c r="R2092" s="1">
        <v>3.0</v>
      </c>
      <c r="S2092" s="1"/>
    </row>
    <row r="2093" ht="15.75" customHeight="1">
      <c r="A2093" s="1" t="s">
        <v>4971</v>
      </c>
      <c r="B2093" s="1" t="s">
        <v>4972</v>
      </c>
      <c r="C2093" s="1" t="s">
        <v>174</v>
      </c>
      <c r="E2093" s="1">
        <v>28.6336114</v>
      </c>
      <c r="F2093" s="1">
        <v>77.2804617</v>
      </c>
      <c r="G2093" s="1" t="s">
        <v>2511</v>
      </c>
      <c r="H2093" s="1" t="s">
        <v>2512</v>
      </c>
      <c r="J2093" s="1" t="s">
        <v>56</v>
      </c>
      <c r="P2093" s="1" t="s">
        <v>4920</v>
      </c>
      <c r="Q2093" s="1" t="s">
        <v>4921</v>
      </c>
      <c r="R2093" s="1">
        <v>1.0</v>
      </c>
      <c r="S2093" s="1"/>
    </row>
    <row r="2094" ht="15.75" customHeight="1">
      <c r="A2094" s="1" t="s">
        <v>4973</v>
      </c>
      <c r="B2094" s="1" t="s">
        <v>4974</v>
      </c>
      <c r="C2094" s="1" t="s">
        <v>174</v>
      </c>
      <c r="E2094" s="1">
        <v>28.6213092</v>
      </c>
      <c r="F2094" s="1">
        <v>77.0595312</v>
      </c>
      <c r="G2094" s="1" t="s">
        <v>2511</v>
      </c>
      <c r="H2094" s="1" t="s">
        <v>2512</v>
      </c>
      <c r="J2094" s="1" t="s">
        <v>56</v>
      </c>
      <c r="P2094" s="1" t="s">
        <v>4920</v>
      </c>
      <c r="Q2094" s="1" t="s">
        <v>4921</v>
      </c>
      <c r="R2094" s="1">
        <v>1.0</v>
      </c>
      <c r="S2094" s="1"/>
    </row>
    <row r="2095" ht="15.75" customHeight="1">
      <c r="A2095" s="1" t="s">
        <v>4975</v>
      </c>
      <c r="B2095" s="1" t="s">
        <v>4976</v>
      </c>
      <c r="C2095" s="1" t="s">
        <v>143</v>
      </c>
      <c r="E2095" s="1">
        <v>19.1909052</v>
      </c>
      <c r="F2095" s="1">
        <v>73.0226569</v>
      </c>
      <c r="G2095" s="1" t="s">
        <v>2511</v>
      </c>
      <c r="H2095" s="1" t="s">
        <v>2512</v>
      </c>
      <c r="J2095" s="1" t="s">
        <v>56</v>
      </c>
      <c r="P2095" s="1" t="s">
        <v>4977</v>
      </c>
      <c r="Q2095" s="1" t="s">
        <v>4978</v>
      </c>
      <c r="R2095" s="1">
        <v>3.0</v>
      </c>
      <c r="S2095" s="1"/>
    </row>
    <row r="2096" ht="15.75" customHeight="1">
      <c r="A2096" s="1" t="s">
        <v>4979</v>
      </c>
      <c r="B2096" s="1" t="s">
        <v>4980</v>
      </c>
      <c r="C2096" s="1" t="s">
        <v>4924</v>
      </c>
      <c r="E2096" s="1">
        <v>28.64179</v>
      </c>
      <c r="F2096" s="1">
        <v>77.2766962</v>
      </c>
      <c r="G2096" s="1" t="s">
        <v>2511</v>
      </c>
      <c r="H2096" s="1" t="s">
        <v>2512</v>
      </c>
      <c r="J2096" s="1" t="s">
        <v>56</v>
      </c>
      <c r="P2096" s="1" t="s">
        <v>2153</v>
      </c>
      <c r="Q2096" s="1" t="s">
        <v>2154</v>
      </c>
      <c r="R2096" s="1">
        <v>3.0</v>
      </c>
      <c r="S2096" s="1"/>
    </row>
    <row r="2097" ht="15.75" customHeight="1">
      <c r="A2097" s="1" t="s">
        <v>4981</v>
      </c>
      <c r="B2097" s="1" t="s">
        <v>4982</v>
      </c>
      <c r="C2097" s="1" t="s">
        <v>174</v>
      </c>
      <c r="E2097" s="1">
        <v>28.6467704</v>
      </c>
      <c r="F2097" s="1">
        <v>77.2889079</v>
      </c>
      <c r="G2097" s="1" t="s">
        <v>2511</v>
      </c>
      <c r="H2097" s="1" t="s">
        <v>2512</v>
      </c>
      <c r="J2097" s="1" t="s">
        <v>56</v>
      </c>
      <c r="P2097" s="1" t="s">
        <v>4920</v>
      </c>
      <c r="Q2097" s="1" t="s">
        <v>4921</v>
      </c>
      <c r="R2097" s="1">
        <v>3.0</v>
      </c>
      <c r="S2097" s="1"/>
    </row>
    <row r="2098" ht="15.75" customHeight="1">
      <c r="A2098" s="1" t="s">
        <v>4983</v>
      </c>
      <c r="B2098" s="1" t="s">
        <v>4984</v>
      </c>
      <c r="C2098" s="1" t="s">
        <v>1786</v>
      </c>
      <c r="K2098" s="1" t="s">
        <v>99</v>
      </c>
      <c r="L2098" s="1" t="s">
        <v>27</v>
      </c>
      <c r="N2098" s="1" t="s">
        <v>1874</v>
      </c>
      <c r="O2098" s="1" t="s">
        <v>29</v>
      </c>
      <c r="P2098" s="1" t="s">
        <v>4920</v>
      </c>
      <c r="Q2098" s="1" t="s">
        <v>4921</v>
      </c>
      <c r="R2098" s="1">
        <v>0.0</v>
      </c>
      <c r="S2098" s="1"/>
    </row>
    <row r="2099" ht="15.75" customHeight="1">
      <c r="A2099" s="1" t="s">
        <v>4985</v>
      </c>
      <c r="B2099" s="1" t="s">
        <v>4986</v>
      </c>
      <c r="C2099" s="1" t="s">
        <v>174</v>
      </c>
      <c r="E2099" s="1">
        <v>28.6698384</v>
      </c>
      <c r="F2099" s="1">
        <v>77.1522045</v>
      </c>
      <c r="G2099" s="1" t="s">
        <v>2511</v>
      </c>
      <c r="H2099" s="1" t="s">
        <v>2512</v>
      </c>
      <c r="J2099" s="1" t="s">
        <v>56</v>
      </c>
      <c r="P2099" s="1" t="s">
        <v>4920</v>
      </c>
      <c r="Q2099" s="1" t="s">
        <v>4921</v>
      </c>
      <c r="R2099" s="1">
        <v>1.0</v>
      </c>
      <c r="S2099" s="1"/>
    </row>
    <row r="2100" ht="15.75" customHeight="1">
      <c r="A2100" s="1" t="s">
        <v>4987</v>
      </c>
      <c r="B2100" s="1" t="s">
        <v>4988</v>
      </c>
      <c r="C2100" s="1" t="s">
        <v>174</v>
      </c>
      <c r="K2100" s="1" t="s">
        <v>99</v>
      </c>
      <c r="L2100" s="1" t="s">
        <v>27</v>
      </c>
      <c r="N2100" s="1" t="s">
        <v>174</v>
      </c>
      <c r="O2100" s="1" t="s">
        <v>29</v>
      </c>
      <c r="P2100" s="1" t="s">
        <v>4920</v>
      </c>
      <c r="Q2100" s="1" t="s">
        <v>4921</v>
      </c>
      <c r="R2100" s="1">
        <v>0.0</v>
      </c>
      <c r="S2100" s="1"/>
    </row>
    <row r="2101" ht="15.75" customHeight="1">
      <c r="A2101" s="1" t="s">
        <v>4989</v>
      </c>
      <c r="B2101" s="1" t="s">
        <v>4990</v>
      </c>
      <c r="C2101" s="1" t="s">
        <v>1786</v>
      </c>
      <c r="K2101" s="1" t="s">
        <v>99</v>
      </c>
      <c r="L2101" s="1" t="s">
        <v>27</v>
      </c>
      <c r="N2101" s="1" t="s">
        <v>1874</v>
      </c>
      <c r="O2101" s="1" t="s">
        <v>29</v>
      </c>
      <c r="P2101" s="1" t="s">
        <v>3219</v>
      </c>
      <c r="Q2101" s="1" t="s">
        <v>3220</v>
      </c>
      <c r="R2101" s="1">
        <v>0.0</v>
      </c>
      <c r="S2101" s="1"/>
    </row>
    <row r="2102" ht="15.75" customHeight="1">
      <c r="A2102" s="1" t="s">
        <v>4991</v>
      </c>
      <c r="B2102" s="1" t="s">
        <v>4992</v>
      </c>
      <c r="C2102" s="1" t="s">
        <v>174</v>
      </c>
      <c r="K2102" s="1" t="s">
        <v>99</v>
      </c>
      <c r="L2102" s="1" t="s">
        <v>27</v>
      </c>
      <c r="N2102" s="1" t="s">
        <v>174</v>
      </c>
      <c r="O2102" s="1" t="s">
        <v>29</v>
      </c>
      <c r="P2102" s="1" t="s">
        <v>4920</v>
      </c>
      <c r="Q2102" s="1" t="s">
        <v>4921</v>
      </c>
      <c r="R2102" s="1">
        <v>0.0</v>
      </c>
      <c r="S2102" s="1"/>
    </row>
    <row r="2103" ht="15.75" customHeight="1">
      <c r="A2103" s="1" t="s">
        <v>4993</v>
      </c>
      <c r="B2103" s="1" t="s">
        <v>4994</v>
      </c>
      <c r="C2103" s="1" t="s">
        <v>174</v>
      </c>
      <c r="E2103" s="1">
        <v>28.6351009</v>
      </c>
      <c r="F2103" s="1">
        <v>77.101702</v>
      </c>
      <c r="G2103" s="1" t="s">
        <v>2511</v>
      </c>
      <c r="H2103" s="1" t="s">
        <v>2512</v>
      </c>
      <c r="J2103" s="1" t="s">
        <v>56</v>
      </c>
      <c r="P2103" s="1" t="s">
        <v>4920</v>
      </c>
      <c r="Q2103" s="1" t="s">
        <v>4921</v>
      </c>
      <c r="R2103" s="1">
        <v>2.0</v>
      </c>
      <c r="S2103" s="1"/>
    </row>
    <row r="2104" ht="15.75" customHeight="1">
      <c r="A2104" s="1" t="s">
        <v>4995</v>
      </c>
      <c r="B2104" s="1" t="s">
        <v>4996</v>
      </c>
      <c r="C2104" s="1" t="s">
        <v>1786</v>
      </c>
      <c r="K2104" s="1" t="s">
        <v>99</v>
      </c>
      <c r="L2104" s="1" t="s">
        <v>27</v>
      </c>
      <c r="N2104" s="1" t="s">
        <v>1874</v>
      </c>
      <c r="O2104" s="1" t="s">
        <v>29</v>
      </c>
      <c r="P2104" s="1" t="s">
        <v>2153</v>
      </c>
      <c r="Q2104" s="1" t="s">
        <v>2154</v>
      </c>
      <c r="R2104" s="1">
        <v>0.0</v>
      </c>
      <c r="S2104" s="1"/>
    </row>
    <row r="2105" ht="15.75" customHeight="1">
      <c r="A2105" s="1" t="s">
        <v>4997</v>
      </c>
      <c r="B2105" s="1" t="s">
        <v>4998</v>
      </c>
      <c r="C2105" s="1" t="s">
        <v>1097</v>
      </c>
      <c r="E2105" s="1">
        <v>13.0965692</v>
      </c>
      <c r="F2105" s="1">
        <v>80.2778842</v>
      </c>
      <c r="G2105" s="1" t="s">
        <v>2511</v>
      </c>
      <c r="H2105" s="1" t="s">
        <v>2512</v>
      </c>
      <c r="J2105" s="1" t="s">
        <v>56</v>
      </c>
      <c r="P2105" s="1" t="s">
        <v>3219</v>
      </c>
      <c r="Q2105" s="1" t="s">
        <v>3220</v>
      </c>
      <c r="R2105" s="1">
        <v>1.0</v>
      </c>
      <c r="S2105" s="1"/>
    </row>
    <row r="2106" ht="15.75" customHeight="1">
      <c r="A2106" s="1" t="s">
        <v>4999</v>
      </c>
      <c r="B2106" s="1" t="s">
        <v>5000</v>
      </c>
      <c r="C2106" s="1" t="s">
        <v>163</v>
      </c>
      <c r="E2106" s="1">
        <v>28.3471388</v>
      </c>
      <c r="F2106" s="1">
        <v>77.3389406</v>
      </c>
      <c r="G2106" s="1" t="s">
        <v>2511</v>
      </c>
      <c r="H2106" s="1" t="s">
        <v>2512</v>
      </c>
      <c r="J2106" s="1" t="s">
        <v>56</v>
      </c>
      <c r="P2106" s="1" t="s">
        <v>4927</v>
      </c>
      <c r="Q2106" s="1" t="s">
        <v>4928</v>
      </c>
      <c r="R2106" s="1">
        <v>1.0</v>
      </c>
      <c r="S2106" s="1"/>
    </row>
    <row r="2107" ht="15.75" customHeight="1">
      <c r="A2107" s="1" t="s">
        <v>5001</v>
      </c>
      <c r="B2107" s="1" t="s">
        <v>5002</v>
      </c>
      <c r="C2107" s="1" t="s">
        <v>4924</v>
      </c>
      <c r="E2107" s="1">
        <v>28.6405724</v>
      </c>
      <c r="F2107" s="1">
        <v>77.271525</v>
      </c>
      <c r="G2107" s="1" t="s">
        <v>2511</v>
      </c>
      <c r="H2107" s="1" t="s">
        <v>2512</v>
      </c>
      <c r="J2107" s="1" t="s">
        <v>56</v>
      </c>
      <c r="P2107" s="1" t="s">
        <v>5003</v>
      </c>
      <c r="Q2107" s="1" t="s">
        <v>5004</v>
      </c>
      <c r="R2107" s="1">
        <v>1.0</v>
      </c>
      <c r="S2107" s="1"/>
    </row>
    <row r="2108" ht="15.75" customHeight="1">
      <c r="A2108" s="1" t="s">
        <v>5005</v>
      </c>
      <c r="B2108" s="1" t="s">
        <v>5006</v>
      </c>
      <c r="C2108" s="1" t="s">
        <v>1097</v>
      </c>
      <c r="E2108" s="1">
        <v>10.80373</v>
      </c>
      <c r="F2108" s="1">
        <v>78.68802389999999</v>
      </c>
      <c r="G2108" s="1" t="s">
        <v>2511</v>
      </c>
      <c r="H2108" s="1" t="s">
        <v>2512</v>
      </c>
      <c r="J2108" s="1" t="s">
        <v>56</v>
      </c>
      <c r="P2108" s="1" t="s">
        <v>3219</v>
      </c>
      <c r="Q2108" s="1" t="s">
        <v>3220</v>
      </c>
      <c r="R2108" s="1">
        <v>3.0</v>
      </c>
      <c r="S2108" s="1"/>
    </row>
    <row r="2109" ht="15.75" customHeight="1">
      <c r="A2109" s="1" t="s">
        <v>5007</v>
      </c>
      <c r="B2109" s="1" t="s">
        <v>5008</v>
      </c>
      <c r="C2109" s="1" t="s">
        <v>1786</v>
      </c>
      <c r="K2109" s="1" t="s">
        <v>99</v>
      </c>
      <c r="L2109" s="1" t="s">
        <v>27</v>
      </c>
      <c r="N2109" s="1" t="s">
        <v>1874</v>
      </c>
      <c r="O2109" s="1" t="s">
        <v>29</v>
      </c>
      <c r="P2109" s="1" t="s">
        <v>4961</v>
      </c>
      <c r="Q2109" s="1" t="s">
        <v>4962</v>
      </c>
      <c r="R2109" s="1">
        <v>0.0</v>
      </c>
      <c r="S2109" s="1"/>
    </row>
    <row r="2110" ht="15.75" customHeight="1">
      <c r="A2110" s="1" t="s">
        <v>5009</v>
      </c>
      <c r="B2110" s="1" t="s">
        <v>5010</v>
      </c>
      <c r="C2110" s="1" t="s">
        <v>174</v>
      </c>
      <c r="K2110" s="1" t="s">
        <v>99</v>
      </c>
      <c r="L2110" s="1" t="s">
        <v>27</v>
      </c>
      <c r="N2110" s="1" t="s">
        <v>174</v>
      </c>
      <c r="O2110" s="1" t="s">
        <v>29</v>
      </c>
      <c r="P2110" s="1" t="s">
        <v>4920</v>
      </c>
      <c r="Q2110" s="1" t="s">
        <v>4921</v>
      </c>
      <c r="R2110" s="1">
        <v>0.0</v>
      </c>
      <c r="S2110" s="1"/>
    </row>
    <row r="2111" ht="15.75" customHeight="1">
      <c r="A2111" s="1" t="s">
        <v>5011</v>
      </c>
      <c r="B2111" s="1" t="s">
        <v>5012</v>
      </c>
      <c r="C2111" s="1" t="s">
        <v>1786</v>
      </c>
      <c r="K2111" s="1" t="s">
        <v>99</v>
      </c>
      <c r="L2111" s="1" t="s">
        <v>27</v>
      </c>
      <c r="N2111" s="1" t="s">
        <v>1874</v>
      </c>
      <c r="O2111" s="1" t="s">
        <v>29</v>
      </c>
      <c r="P2111" s="1" t="s">
        <v>2153</v>
      </c>
      <c r="Q2111" s="1" t="s">
        <v>2154</v>
      </c>
      <c r="R2111" s="1">
        <v>0.0</v>
      </c>
      <c r="S2111" s="1"/>
    </row>
    <row r="2112" ht="15.75" customHeight="1">
      <c r="A2112" s="1" t="s">
        <v>5013</v>
      </c>
      <c r="B2112" s="1" t="s">
        <v>5014</v>
      </c>
      <c r="C2112" s="1" t="s">
        <v>617</v>
      </c>
      <c r="E2112" s="1">
        <v>26.4472178</v>
      </c>
      <c r="F2112" s="1">
        <v>80.31133390000001</v>
      </c>
      <c r="G2112" s="1" t="s">
        <v>2511</v>
      </c>
      <c r="H2112" s="1" t="s">
        <v>2512</v>
      </c>
      <c r="J2112" s="1" t="s">
        <v>56</v>
      </c>
      <c r="K2112" s="1" t="s">
        <v>99</v>
      </c>
      <c r="L2112" s="1" t="s">
        <v>27</v>
      </c>
      <c r="N2112" s="1" t="s">
        <v>28</v>
      </c>
      <c r="O2112" s="1" t="s">
        <v>29</v>
      </c>
      <c r="P2112" s="1" t="s">
        <v>733</v>
      </c>
      <c r="Q2112" s="1" t="s">
        <v>734</v>
      </c>
      <c r="R2112" s="1">
        <v>5.0</v>
      </c>
      <c r="S2112" s="1"/>
    </row>
    <row r="2113" ht="15.75" customHeight="1">
      <c r="A2113" s="1" t="s">
        <v>5015</v>
      </c>
      <c r="B2113" s="1" t="s">
        <v>5016</v>
      </c>
      <c r="C2113" s="1" t="s">
        <v>497</v>
      </c>
      <c r="K2113" s="1" t="s">
        <v>99</v>
      </c>
      <c r="L2113" s="1" t="s">
        <v>27</v>
      </c>
      <c r="N2113" s="1" t="s">
        <v>498</v>
      </c>
      <c r="O2113" s="1" t="s">
        <v>29</v>
      </c>
      <c r="P2113" s="1" t="s">
        <v>4920</v>
      </c>
      <c r="Q2113" s="1" t="s">
        <v>4921</v>
      </c>
      <c r="R2113" s="1">
        <v>0.0</v>
      </c>
      <c r="S2113" s="1"/>
    </row>
    <row r="2114" ht="15.75" customHeight="1">
      <c r="A2114" s="1" t="s">
        <v>5017</v>
      </c>
      <c r="B2114" s="1" t="s">
        <v>5018</v>
      </c>
      <c r="C2114" s="1" t="s">
        <v>143</v>
      </c>
      <c r="E2114" s="1">
        <v>28.5891913</v>
      </c>
      <c r="F2114" s="1">
        <v>77.30163329999999</v>
      </c>
      <c r="G2114" s="1" t="s">
        <v>2511</v>
      </c>
      <c r="H2114" s="1" t="s">
        <v>2512</v>
      </c>
      <c r="J2114" s="1" t="s">
        <v>56</v>
      </c>
      <c r="P2114" s="1" t="s">
        <v>4977</v>
      </c>
      <c r="Q2114" s="1" t="s">
        <v>4978</v>
      </c>
      <c r="R2114" s="1">
        <v>2.0</v>
      </c>
      <c r="S2114" s="1"/>
    </row>
    <row r="2115" ht="15.75" customHeight="1">
      <c r="A2115" s="1" t="s">
        <v>5019</v>
      </c>
      <c r="B2115" s="1" t="s">
        <v>5020</v>
      </c>
      <c r="C2115" s="1" t="s">
        <v>4137</v>
      </c>
      <c r="K2115" s="1" t="s">
        <v>99</v>
      </c>
      <c r="L2115" s="1" t="s">
        <v>27</v>
      </c>
      <c r="N2115" s="1" t="s">
        <v>498</v>
      </c>
      <c r="O2115" s="1" t="s">
        <v>29</v>
      </c>
      <c r="P2115" s="1" t="s">
        <v>4961</v>
      </c>
      <c r="Q2115" s="1" t="s">
        <v>4962</v>
      </c>
      <c r="R2115" s="1">
        <v>0.0</v>
      </c>
      <c r="S2115" s="1"/>
    </row>
    <row r="2116" ht="15.75" customHeight="1">
      <c r="A2116" s="1" t="s">
        <v>5021</v>
      </c>
      <c r="B2116" s="1" t="s">
        <v>5022</v>
      </c>
      <c r="C2116" s="1" t="s">
        <v>174</v>
      </c>
      <c r="E2116" s="1">
        <v>28.6082604</v>
      </c>
      <c r="F2116" s="1">
        <v>77.30299509999999</v>
      </c>
      <c r="G2116" s="1" t="s">
        <v>2511</v>
      </c>
      <c r="H2116" s="1" t="s">
        <v>2512</v>
      </c>
      <c r="J2116" s="1" t="s">
        <v>56</v>
      </c>
      <c r="P2116" s="1" t="s">
        <v>4920</v>
      </c>
      <c r="Q2116" s="1" t="s">
        <v>4921</v>
      </c>
      <c r="R2116" s="1">
        <v>8.0</v>
      </c>
      <c r="S2116" s="1"/>
    </row>
    <row r="2117" ht="15.75" customHeight="1">
      <c r="A2117" s="1" t="s">
        <v>5023</v>
      </c>
      <c r="B2117" s="1" t="s">
        <v>5024</v>
      </c>
      <c r="C2117" s="1" t="s">
        <v>2910</v>
      </c>
      <c r="K2117" s="1" t="s">
        <v>99</v>
      </c>
      <c r="L2117" s="1" t="s">
        <v>27</v>
      </c>
      <c r="N2117" s="1" t="s">
        <v>498</v>
      </c>
      <c r="O2117" s="1" t="s">
        <v>29</v>
      </c>
      <c r="P2117" s="1" t="s">
        <v>2153</v>
      </c>
      <c r="Q2117" s="1" t="s">
        <v>2154</v>
      </c>
      <c r="R2117" s="1">
        <v>0.0</v>
      </c>
      <c r="S2117" s="1"/>
    </row>
    <row r="2118" ht="15.75" customHeight="1">
      <c r="A2118" s="1" t="s">
        <v>5025</v>
      </c>
      <c r="B2118" s="1" t="s">
        <v>5026</v>
      </c>
      <c r="C2118" s="1" t="s">
        <v>5027</v>
      </c>
      <c r="K2118" s="1" t="s">
        <v>99</v>
      </c>
      <c r="L2118" s="1" t="s">
        <v>27</v>
      </c>
      <c r="N2118" s="1" t="s">
        <v>498</v>
      </c>
      <c r="O2118" s="1" t="s">
        <v>29</v>
      </c>
      <c r="P2118" s="1" t="s">
        <v>4920</v>
      </c>
      <c r="Q2118" s="1" t="s">
        <v>4921</v>
      </c>
      <c r="R2118" s="1">
        <v>0.0</v>
      </c>
      <c r="S2118" s="1"/>
    </row>
    <row r="2119" ht="15.75" customHeight="1">
      <c r="A2119" s="1" t="s">
        <v>5028</v>
      </c>
      <c r="B2119" s="1" t="s">
        <v>5029</v>
      </c>
      <c r="C2119" s="1" t="s">
        <v>2910</v>
      </c>
      <c r="K2119" s="1" t="s">
        <v>99</v>
      </c>
      <c r="L2119" s="1" t="s">
        <v>27</v>
      </c>
      <c r="N2119" s="1" t="s">
        <v>498</v>
      </c>
      <c r="O2119" s="1" t="s">
        <v>29</v>
      </c>
      <c r="P2119" s="1" t="s">
        <v>5030</v>
      </c>
      <c r="Q2119" s="1" t="s">
        <v>5031</v>
      </c>
      <c r="R2119" s="1">
        <v>0.0</v>
      </c>
      <c r="S2119" s="1"/>
    </row>
    <row r="2120" ht="15.75" customHeight="1">
      <c r="A2120" s="1" t="s">
        <v>5032</v>
      </c>
      <c r="B2120" s="1" t="s">
        <v>5033</v>
      </c>
      <c r="C2120" s="1" t="s">
        <v>5034</v>
      </c>
      <c r="K2120" s="1" t="s">
        <v>99</v>
      </c>
      <c r="L2120" s="1" t="s">
        <v>27</v>
      </c>
      <c r="N2120" s="1" t="s">
        <v>498</v>
      </c>
      <c r="O2120" s="1" t="s">
        <v>29</v>
      </c>
      <c r="P2120" s="1" t="s">
        <v>4927</v>
      </c>
      <c r="Q2120" s="1" t="s">
        <v>4928</v>
      </c>
      <c r="R2120" s="1">
        <v>0.0</v>
      </c>
      <c r="S2120" s="1"/>
    </row>
    <row r="2121" ht="15.75" customHeight="1">
      <c r="A2121" s="1" t="s">
        <v>5035</v>
      </c>
      <c r="B2121" s="1" t="s">
        <v>5036</v>
      </c>
      <c r="C2121" s="1" t="s">
        <v>517</v>
      </c>
      <c r="K2121" s="1" t="s">
        <v>99</v>
      </c>
      <c r="L2121" s="1" t="s">
        <v>27</v>
      </c>
      <c r="N2121" s="1" t="s">
        <v>498</v>
      </c>
      <c r="O2121" s="1" t="s">
        <v>29</v>
      </c>
      <c r="P2121" s="1" t="s">
        <v>4920</v>
      </c>
      <c r="Q2121" s="1" t="s">
        <v>4921</v>
      </c>
      <c r="R2121" s="1">
        <v>0.0</v>
      </c>
      <c r="S2121" s="1"/>
    </row>
    <row r="2122" ht="15.75" customHeight="1">
      <c r="A2122" s="1" t="s">
        <v>5037</v>
      </c>
      <c r="B2122" s="1" t="s">
        <v>5038</v>
      </c>
      <c r="C2122" s="1" t="s">
        <v>5039</v>
      </c>
      <c r="K2122" s="1" t="s">
        <v>99</v>
      </c>
      <c r="L2122" s="1" t="s">
        <v>27</v>
      </c>
      <c r="N2122" s="1" t="s">
        <v>532</v>
      </c>
      <c r="O2122" s="1" t="s">
        <v>29</v>
      </c>
      <c r="P2122" s="1" t="s">
        <v>4961</v>
      </c>
      <c r="Q2122" s="1" t="s">
        <v>4962</v>
      </c>
      <c r="R2122" s="1">
        <v>0.0</v>
      </c>
      <c r="S2122" s="1"/>
    </row>
    <row r="2123" ht="15.75" customHeight="1">
      <c r="A2123" s="1" t="s">
        <v>5040</v>
      </c>
      <c r="B2123" s="1" t="s">
        <v>5041</v>
      </c>
      <c r="C2123" s="1" t="s">
        <v>143</v>
      </c>
      <c r="E2123" s="1">
        <v>19.3872041</v>
      </c>
      <c r="F2123" s="1">
        <v>72.8289254</v>
      </c>
      <c r="G2123" s="1" t="s">
        <v>2511</v>
      </c>
      <c r="H2123" s="1" t="s">
        <v>2512</v>
      </c>
      <c r="J2123" s="1" t="s">
        <v>56</v>
      </c>
      <c r="P2123" s="1" t="s">
        <v>4977</v>
      </c>
      <c r="Q2123" s="1" t="s">
        <v>4978</v>
      </c>
      <c r="R2123" s="1">
        <v>2.0</v>
      </c>
      <c r="S2123" s="1"/>
    </row>
    <row r="2124" ht="15.75" customHeight="1">
      <c r="A2124" s="1" t="s">
        <v>5042</v>
      </c>
      <c r="B2124" s="1" t="s">
        <v>5043</v>
      </c>
      <c r="C2124" s="1" t="s">
        <v>1786</v>
      </c>
      <c r="K2124" s="1" t="s">
        <v>99</v>
      </c>
      <c r="L2124" s="1" t="s">
        <v>27</v>
      </c>
      <c r="N2124" s="1" t="s">
        <v>1874</v>
      </c>
      <c r="O2124" s="1" t="s">
        <v>29</v>
      </c>
      <c r="P2124" s="1" t="s">
        <v>4927</v>
      </c>
      <c r="Q2124" s="1" t="s">
        <v>4928</v>
      </c>
      <c r="R2124" s="1">
        <v>0.0</v>
      </c>
      <c r="S2124" s="1"/>
    </row>
    <row r="2125" ht="15.75" customHeight="1">
      <c r="A2125" s="1" t="s">
        <v>5044</v>
      </c>
      <c r="B2125" s="1" t="s">
        <v>5045</v>
      </c>
      <c r="C2125" s="1" t="s">
        <v>1786</v>
      </c>
      <c r="K2125" s="1" t="s">
        <v>99</v>
      </c>
      <c r="L2125" s="1" t="s">
        <v>27</v>
      </c>
      <c r="N2125" s="1" t="s">
        <v>1874</v>
      </c>
      <c r="O2125" s="1" t="s">
        <v>29</v>
      </c>
      <c r="P2125" s="1" t="s">
        <v>4949</v>
      </c>
      <c r="Q2125" s="1" t="s">
        <v>4950</v>
      </c>
      <c r="R2125" s="1">
        <v>0.0</v>
      </c>
      <c r="S2125" s="1"/>
    </row>
    <row r="2126" ht="15.75" customHeight="1">
      <c r="A2126" s="1" t="s">
        <v>5046</v>
      </c>
      <c r="B2126" s="1" t="s">
        <v>5047</v>
      </c>
      <c r="C2126" s="1" t="s">
        <v>1097</v>
      </c>
      <c r="E2126" s="1">
        <v>11.3150824</v>
      </c>
      <c r="F2126" s="1">
        <v>77.7531667</v>
      </c>
      <c r="G2126" s="1" t="s">
        <v>2511</v>
      </c>
      <c r="H2126" s="1" t="s">
        <v>2512</v>
      </c>
      <c r="J2126" s="1" t="s">
        <v>56</v>
      </c>
      <c r="P2126" s="1" t="s">
        <v>3219</v>
      </c>
      <c r="Q2126" s="1" t="s">
        <v>3220</v>
      </c>
      <c r="R2126" s="1">
        <v>1.0</v>
      </c>
      <c r="S2126" s="1"/>
    </row>
    <row r="2127" ht="15.75" customHeight="1">
      <c r="A2127" s="1" t="s">
        <v>5048</v>
      </c>
      <c r="B2127" s="1" t="s">
        <v>5049</v>
      </c>
      <c r="C2127" s="1" t="s">
        <v>1786</v>
      </c>
      <c r="K2127" s="1" t="s">
        <v>99</v>
      </c>
      <c r="L2127" s="1" t="s">
        <v>27</v>
      </c>
      <c r="N2127" s="1" t="s">
        <v>1874</v>
      </c>
      <c r="O2127" s="1" t="s">
        <v>29</v>
      </c>
      <c r="P2127" s="1" t="s">
        <v>2153</v>
      </c>
      <c r="Q2127" s="1" t="s">
        <v>2154</v>
      </c>
      <c r="R2127" s="1">
        <v>0.0</v>
      </c>
      <c r="S2127" s="1"/>
    </row>
    <row r="2128" ht="15.75" customHeight="1">
      <c r="A2128" s="1" t="s">
        <v>5050</v>
      </c>
      <c r="B2128" s="1" t="s">
        <v>5051</v>
      </c>
      <c r="C2128" s="1" t="s">
        <v>174</v>
      </c>
      <c r="E2128" s="1">
        <v>28.7171996</v>
      </c>
      <c r="F2128" s="1">
        <v>77.2036948</v>
      </c>
      <c r="G2128" s="1" t="s">
        <v>2511</v>
      </c>
      <c r="H2128" s="1" t="s">
        <v>2512</v>
      </c>
      <c r="J2128" s="1" t="s">
        <v>56</v>
      </c>
      <c r="P2128" s="1" t="s">
        <v>4920</v>
      </c>
      <c r="Q2128" s="1" t="s">
        <v>4921</v>
      </c>
      <c r="R2128" s="1">
        <v>1.0</v>
      </c>
      <c r="S2128" s="1"/>
    </row>
    <row r="2129" ht="15.75" customHeight="1">
      <c r="A2129" s="1" t="s">
        <v>5052</v>
      </c>
      <c r="B2129" s="1" t="s">
        <v>5053</v>
      </c>
      <c r="C2129" s="1" t="s">
        <v>174</v>
      </c>
      <c r="E2129" s="1">
        <v>28.6809207</v>
      </c>
      <c r="F2129" s="1">
        <v>77.3204548</v>
      </c>
      <c r="G2129" s="1" t="s">
        <v>2511</v>
      </c>
      <c r="H2129" s="1" t="s">
        <v>2512</v>
      </c>
      <c r="J2129" s="1" t="s">
        <v>56</v>
      </c>
      <c r="K2129" s="1" t="s">
        <v>99</v>
      </c>
      <c r="L2129" s="1" t="s">
        <v>27</v>
      </c>
      <c r="N2129" s="1" t="s">
        <v>174</v>
      </c>
      <c r="O2129" s="1" t="s">
        <v>29</v>
      </c>
      <c r="P2129" s="1" t="s">
        <v>4920</v>
      </c>
      <c r="Q2129" s="1" t="s">
        <v>4921</v>
      </c>
      <c r="R2129" s="1">
        <v>9.0</v>
      </c>
      <c r="S2129" s="1"/>
    </row>
    <row r="2130" ht="15.75" customHeight="1">
      <c r="A2130" s="1" t="s">
        <v>5054</v>
      </c>
      <c r="B2130" s="1" t="s">
        <v>5055</v>
      </c>
      <c r="C2130" s="1" t="s">
        <v>5056</v>
      </c>
      <c r="K2130" s="1" t="s">
        <v>99</v>
      </c>
      <c r="L2130" s="1" t="s">
        <v>27</v>
      </c>
      <c r="N2130" s="1" t="s">
        <v>498</v>
      </c>
      <c r="O2130" s="1" t="s">
        <v>29</v>
      </c>
      <c r="P2130" s="1" t="s">
        <v>2153</v>
      </c>
      <c r="Q2130" s="1" t="s">
        <v>2154</v>
      </c>
      <c r="R2130" s="1">
        <v>0.0</v>
      </c>
      <c r="S2130" s="1"/>
    </row>
    <row r="2131" ht="15.75" customHeight="1">
      <c r="A2131" s="1" t="s">
        <v>5057</v>
      </c>
      <c r="B2131" s="1" t="s">
        <v>5058</v>
      </c>
      <c r="C2131" s="1" t="s">
        <v>4414</v>
      </c>
      <c r="K2131" s="1" t="s">
        <v>99</v>
      </c>
      <c r="L2131" s="1" t="s">
        <v>27</v>
      </c>
      <c r="N2131" s="1" t="s">
        <v>498</v>
      </c>
      <c r="O2131" s="1" t="s">
        <v>29</v>
      </c>
      <c r="P2131" s="1" t="s">
        <v>4927</v>
      </c>
      <c r="Q2131" s="1" t="s">
        <v>4928</v>
      </c>
      <c r="R2131" s="1">
        <v>0.0</v>
      </c>
      <c r="S2131" s="1"/>
    </row>
    <row r="2132" ht="15.75" customHeight="1">
      <c r="A2132" s="1" t="s">
        <v>5059</v>
      </c>
      <c r="B2132" s="1" t="s">
        <v>5060</v>
      </c>
      <c r="C2132" s="1" t="s">
        <v>4924</v>
      </c>
      <c r="E2132" s="1">
        <v>28.5946966</v>
      </c>
      <c r="F2132" s="1">
        <v>77.346074</v>
      </c>
      <c r="G2132" s="1" t="s">
        <v>2511</v>
      </c>
      <c r="H2132" s="1" t="s">
        <v>2512</v>
      </c>
      <c r="J2132" s="1" t="s">
        <v>56</v>
      </c>
      <c r="P2132" s="1" t="s">
        <v>2153</v>
      </c>
      <c r="Q2132" s="1" t="s">
        <v>2154</v>
      </c>
      <c r="R2132" s="1">
        <v>1.0</v>
      </c>
      <c r="S2132" s="1"/>
    </row>
    <row r="2133" ht="15.75" customHeight="1">
      <c r="A2133" s="1" t="s">
        <v>5061</v>
      </c>
      <c r="B2133" s="1" t="s">
        <v>5062</v>
      </c>
      <c r="C2133" s="1" t="s">
        <v>1786</v>
      </c>
      <c r="K2133" s="1" t="s">
        <v>99</v>
      </c>
      <c r="L2133" s="1" t="s">
        <v>27</v>
      </c>
      <c r="N2133" s="1" t="s">
        <v>1874</v>
      </c>
      <c r="O2133" s="1" t="s">
        <v>29</v>
      </c>
      <c r="P2133" s="1" t="s">
        <v>4920</v>
      </c>
      <c r="Q2133" s="1" t="s">
        <v>4921</v>
      </c>
      <c r="R2133" s="1">
        <v>0.0</v>
      </c>
      <c r="S2133" s="1"/>
    </row>
    <row r="2134" ht="15.75" customHeight="1">
      <c r="A2134" s="1" t="s">
        <v>5063</v>
      </c>
      <c r="B2134" s="1" t="s">
        <v>5064</v>
      </c>
      <c r="C2134" s="1" t="s">
        <v>4924</v>
      </c>
      <c r="E2134" s="1">
        <v>28.5820461</v>
      </c>
      <c r="F2134" s="1">
        <v>77.2510801</v>
      </c>
      <c r="G2134" s="1" t="s">
        <v>2511</v>
      </c>
      <c r="H2134" s="1" t="s">
        <v>2512</v>
      </c>
      <c r="J2134" s="1" t="s">
        <v>56</v>
      </c>
      <c r="P2134" s="1" t="s">
        <v>2153</v>
      </c>
      <c r="Q2134" s="1" t="s">
        <v>2154</v>
      </c>
      <c r="R2134" s="1">
        <v>1.0</v>
      </c>
      <c r="S2134" s="1"/>
    </row>
    <row r="2135" ht="15.75" customHeight="1">
      <c r="A2135" s="1" t="s">
        <v>5065</v>
      </c>
      <c r="B2135" s="1" t="s">
        <v>5066</v>
      </c>
      <c r="C2135" s="1" t="s">
        <v>151</v>
      </c>
      <c r="K2135" s="1" t="s">
        <v>26</v>
      </c>
      <c r="L2135" s="1" t="s">
        <v>27</v>
      </c>
      <c r="N2135" s="1" t="s">
        <v>143</v>
      </c>
      <c r="O2135" s="1" t="s">
        <v>57</v>
      </c>
      <c r="P2135" s="1" t="s">
        <v>4927</v>
      </c>
      <c r="Q2135" s="1" t="s">
        <v>4928</v>
      </c>
      <c r="R2135" s="1">
        <v>0.0</v>
      </c>
      <c r="S2135" s="1"/>
    </row>
    <row r="2136" ht="15.75" customHeight="1">
      <c r="A2136" s="1" t="s">
        <v>5067</v>
      </c>
      <c r="B2136" s="1" t="s">
        <v>5068</v>
      </c>
      <c r="C2136" s="1" t="s">
        <v>1786</v>
      </c>
      <c r="K2136" s="1" t="s">
        <v>99</v>
      </c>
      <c r="L2136" s="1" t="s">
        <v>27</v>
      </c>
      <c r="N2136" s="1" t="s">
        <v>1874</v>
      </c>
      <c r="O2136" s="1" t="s">
        <v>29</v>
      </c>
      <c r="P2136" s="1" t="s">
        <v>4920</v>
      </c>
      <c r="Q2136" s="1" t="s">
        <v>4921</v>
      </c>
      <c r="R2136" s="1">
        <v>0.0</v>
      </c>
      <c r="S2136" s="1"/>
    </row>
    <row r="2137" ht="15.75" customHeight="1">
      <c r="A2137" s="1" t="s">
        <v>5069</v>
      </c>
      <c r="B2137" s="1" t="s">
        <v>5070</v>
      </c>
      <c r="C2137" s="1" t="s">
        <v>1786</v>
      </c>
      <c r="K2137" s="1" t="s">
        <v>99</v>
      </c>
      <c r="L2137" s="1" t="s">
        <v>27</v>
      </c>
      <c r="N2137" s="1" t="s">
        <v>1874</v>
      </c>
      <c r="O2137" s="1" t="s">
        <v>29</v>
      </c>
      <c r="P2137" s="1" t="s">
        <v>4965</v>
      </c>
      <c r="Q2137" s="1" t="s">
        <v>4966</v>
      </c>
      <c r="R2137" s="1">
        <v>0.0</v>
      </c>
      <c r="S2137" s="1"/>
    </row>
    <row r="2138" ht="15.75" customHeight="1">
      <c r="A2138" s="1" t="s">
        <v>5071</v>
      </c>
      <c r="B2138" s="1" t="s">
        <v>5072</v>
      </c>
      <c r="C2138" s="1" t="s">
        <v>1786</v>
      </c>
      <c r="K2138" s="1" t="s">
        <v>99</v>
      </c>
      <c r="L2138" s="1" t="s">
        <v>27</v>
      </c>
      <c r="N2138" s="1" t="s">
        <v>1874</v>
      </c>
      <c r="O2138" s="1" t="s">
        <v>29</v>
      </c>
      <c r="P2138" s="1" t="s">
        <v>4977</v>
      </c>
      <c r="Q2138" s="1" t="s">
        <v>4978</v>
      </c>
      <c r="R2138" s="1">
        <v>0.0</v>
      </c>
      <c r="S2138" s="1"/>
    </row>
    <row r="2139" ht="15.75" customHeight="1">
      <c r="A2139" s="1" t="s">
        <v>5073</v>
      </c>
      <c r="B2139" s="1" t="s">
        <v>5074</v>
      </c>
      <c r="C2139" s="1" t="s">
        <v>1786</v>
      </c>
      <c r="K2139" s="1" t="s">
        <v>99</v>
      </c>
      <c r="L2139" s="1" t="s">
        <v>27</v>
      </c>
      <c r="N2139" s="1" t="s">
        <v>1874</v>
      </c>
      <c r="O2139" s="1" t="s">
        <v>29</v>
      </c>
      <c r="P2139" s="1" t="s">
        <v>4927</v>
      </c>
      <c r="Q2139" s="1" t="s">
        <v>4928</v>
      </c>
      <c r="R2139" s="1">
        <v>0.0</v>
      </c>
      <c r="S2139" s="1"/>
    </row>
    <row r="2140" ht="15.75" customHeight="1">
      <c r="A2140" s="1" t="s">
        <v>5075</v>
      </c>
      <c r="B2140" s="1" t="s">
        <v>5076</v>
      </c>
      <c r="C2140" s="1" t="s">
        <v>1786</v>
      </c>
      <c r="K2140" s="1" t="s">
        <v>99</v>
      </c>
      <c r="L2140" s="1" t="s">
        <v>27</v>
      </c>
      <c r="N2140" s="1" t="s">
        <v>1874</v>
      </c>
      <c r="O2140" s="1" t="s">
        <v>29</v>
      </c>
      <c r="P2140" s="1" t="s">
        <v>2153</v>
      </c>
      <c r="Q2140" s="1" t="s">
        <v>2154</v>
      </c>
      <c r="R2140" s="1">
        <v>0.0</v>
      </c>
      <c r="S2140" s="1"/>
    </row>
    <row r="2141" ht="15.75" customHeight="1">
      <c r="A2141" s="1" t="s">
        <v>5077</v>
      </c>
      <c r="B2141" s="1" t="s">
        <v>5078</v>
      </c>
      <c r="C2141" s="1" t="s">
        <v>1786</v>
      </c>
      <c r="K2141" s="1" t="s">
        <v>99</v>
      </c>
      <c r="L2141" s="1" t="s">
        <v>27</v>
      </c>
      <c r="N2141" s="1" t="s">
        <v>1874</v>
      </c>
      <c r="O2141" s="1" t="s">
        <v>29</v>
      </c>
      <c r="P2141" s="1" t="s">
        <v>2153</v>
      </c>
      <c r="Q2141" s="1" t="s">
        <v>2154</v>
      </c>
      <c r="R2141" s="1">
        <v>0.0</v>
      </c>
      <c r="S2141" s="1"/>
    </row>
    <row r="2142" ht="15.75" customHeight="1">
      <c r="A2142" s="1" t="s">
        <v>5079</v>
      </c>
      <c r="B2142" s="1" t="s">
        <v>5080</v>
      </c>
      <c r="C2142" s="1" t="s">
        <v>1786</v>
      </c>
      <c r="K2142" s="1" t="s">
        <v>99</v>
      </c>
      <c r="L2142" s="1" t="s">
        <v>27</v>
      </c>
      <c r="N2142" s="1" t="s">
        <v>1874</v>
      </c>
      <c r="O2142" s="1" t="s">
        <v>29</v>
      </c>
      <c r="P2142" s="1" t="s">
        <v>4927</v>
      </c>
      <c r="Q2142" s="1" t="s">
        <v>4928</v>
      </c>
      <c r="R2142" s="1">
        <v>0.0</v>
      </c>
      <c r="S2142" s="1"/>
    </row>
    <row r="2143" ht="15.75" customHeight="1">
      <c r="A2143" s="1" t="s">
        <v>5081</v>
      </c>
      <c r="B2143" s="1" t="s">
        <v>5082</v>
      </c>
      <c r="C2143" s="1" t="s">
        <v>1786</v>
      </c>
      <c r="K2143" s="1" t="s">
        <v>99</v>
      </c>
      <c r="L2143" s="1" t="s">
        <v>27</v>
      </c>
      <c r="N2143" s="1" t="s">
        <v>1874</v>
      </c>
      <c r="O2143" s="1" t="s">
        <v>29</v>
      </c>
      <c r="P2143" s="1" t="s">
        <v>4920</v>
      </c>
      <c r="Q2143" s="1" t="s">
        <v>4921</v>
      </c>
      <c r="R2143" s="1">
        <v>0.0</v>
      </c>
      <c r="S2143" s="1"/>
    </row>
    <row r="2144" ht="15.75" customHeight="1">
      <c r="A2144" s="1" t="s">
        <v>5083</v>
      </c>
      <c r="B2144" s="1" t="s">
        <v>5084</v>
      </c>
      <c r="C2144" s="1" t="s">
        <v>1786</v>
      </c>
      <c r="K2144" s="1" t="s">
        <v>99</v>
      </c>
      <c r="L2144" s="1" t="s">
        <v>27</v>
      </c>
      <c r="N2144" s="1" t="s">
        <v>1874</v>
      </c>
      <c r="O2144" s="1" t="s">
        <v>29</v>
      </c>
      <c r="P2144" s="1" t="s">
        <v>4920</v>
      </c>
      <c r="Q2144" s="1" t="s">
        <v>4921</v>
      </c>
      <c r="R2144" s="1">
        <v>0.0</v>
      </c>
      <c r="S2144" s="1"/>
    </row>
    <row r="2145" ht="15.75" customHeight="1">
      <c r="A2145" s="1" t="s">
        <v>5085</v>
      </c>
      <c r="B2145" s="1" t="s">
        <v>5086</v>
      </c>
      <c r="C2145" s="1" t="s">
        <v>743</v>
      </c>
      <c r="E2145" s="1">
        <v>13.0187786</v>
      </c>
      <c r="F2145" s="1">
        <v>77.6327128</v>
      </c>
      <c r="G2145" s="1" t="s">
        <v>2511</v>
      </c>
      <c r="H2145" s="1" t="s">
        <v>2512</v>
      </c>
      <c r="J2145" s="1" t="s">
        <v>56</v>
      </c>
      <c r="P2145" s="1" t="s">
        <v>1079</v>
      </c>
      <c r="Q2145" s="1" t="s">
        <v>1080</v>
      </c>
      <c r="R2145" s="1">
        <v>1.0</v>
      </c>
      <c r="S2145" s="1"/>
    </row>
    <row r="2146" ht="15.75" customHeight="1">
      <c r="A2146" s="1" t="s">
        <v>5087</v>
      </c>
      <c r="B2146" s="1" t="s">
        <v>5088</v>
      </c>
      <c r="C2146" s="1" t="s">
        <v>1786</v>
      </c>
      <c r="K2146" s="1" t="s">
        <v>99</v>
      </c>
      <c r="L2146" s="1" t="s">
        <v>27</v>
      </c>
      <c r="N2146" s="1" t="s">
        <v>1874</v>
      </c>
      <c r="O2146" s="1" t="s">
        <v>29</v>
      </c>
      <c r="P2146" s="1" t="s">
        <v>3219</v>
      </c>
      <c r="Q2146" s="1" t="s">
        <v>3220</v>
      </c>
      <c r="R2146" s="1">
        <v>0.0</v>
      </c>
      <c r="S2146" s="1"/>
    </row>
    <row r="2147" ht="15.75" customHeight="1">
      <c r="A2147" s="1" t="s">
        <v>5089</v>
      </c>
      <c r="B2147" s="1" t="s">
        <v>5090</v>
      </c>
      <c r="C2147" s="1" t="s">
        <v>1097</v>
      </c>
      <c r="E2147" s="1">
        <v>17.297835</v>
      </c>
      <c r="F2147" s="1">
        <v>78.5047532</v>
      </c>
      <c r="G2147" s="1" t="s">
        <v>2511</v>
      </c>
      <c r="H2147" s="1" t="s">
        <v>2512</v>
      </c>
      <c r="J2147" s="1" t="s">
        <v>56</v>
      </c>
      <c r="P2147" s="1" t="s">
        <v>3219</v>
      </c>
      <c r="Q2147" s="1" t="s">
        <v>3220</v>
      </c>
      <c r="R2147" s="1">
        <v>1.0</v>
      </c>
      <c r="S2147" s="1"/>
    </row>
    <row r="2148" ht="15.75" customHeight="1">
      <c r="A2148" s="1" t="s">
        <v>5091</v>
      </c>
      <c r="B2148" s="1" t="s">
        <v>5092</v>
      </c>
      <c r="C2148" s="1" t="s">
        <v>174</v>
      </c>
      <c r="E2148" s="1">
        <v>28.7013158</v>
      </c>
      <c r="F2148" s="1">
        <v>77.2658974</v>
      </c>
      <c r="G2148" s="1" t="s">
        <v>2511</v>
      </c>
      <c r="H2148" s="1" t="s">
        <v>2512</v>
      </c>
      <c r="J2148" s="1" t="s">
        <v>25</v>
      </c>
      <c r="P2148" s="1" t="s">
        <v>4920</v>
      </c>
      <c r="Q2148" s="1" t="s">
        <v>4921</v>
      </c>
      <c r="R2148" s="1">
        <v>9.0</v>
      </c>
      <c r="S2148" s="1"/>
    </row>
    <row r="2149" ht="15.75" customHeight="1">
      <c r="A2149" s="1" t="s">
        <v>5093</v>
      </c>
      <c r="B2149" s="1" t="s">
        <v>5094</v>
      </c>
      <c r="C2149" s="1" t="s">
        <v>1786</v>
      </c>
      <c r="K2149" s="1" t="s">
        <v>99</v>
      </c>
      <c r="L2149" s="1" t="s">
        <v>27</v>
      </c>
      <c r="N2149" s="1" t="s">
        <v>1874</v>
      </c>
      <c r="O2149" s="1" t="s">
        <v>29</v>
      </c>
      <c r="P2149" s="1" t="s">
        <v>4920</v>
      </c>
      <c r="Q2149" s="1" t="s">
        <v>4921</v>
      </c>
      <c r="R2149" s="1">
        <v>0.0</v>
      </c>
      <c r="S2149" s="1"/>
    </row>
    <row r="2150" ht="15.75" customHeight="1">
      <c r="A2150" s="1" t="s">
        <v>5095</v>
      </c>
      <c r="B2150" s="1" t="s">
        <v>5096</v>
      </c>
      <c r="C2150" s="1" t="s">
        <v>1786</v>
      </c>
      <c r="K2150" s="1" t="s">
        <v>99</v>
      </c>
      <c r="L2150" s="1" t="s">
        <v>27</v>
      </c>
      <c r="N2150" s="1" t="s">
        <v>1874</v>
      </c>
      <c r="O2150" s="1" t="s">
        <v>29</v>
      </c>
      <c r="P2150" s="1" t="s">
        <v>4977</v>
      </c>
      <c r="Q2150" s="1" t="s">
        <v>4978</v>
      </c>
      <c r="R2150" s="1">
        <v>0.0</v>
      </c>
      <c r="S2150" s="1"/>
    </row>
    <row r="2151" ht="15.75" customHeight="1">
      <c r="A2151" s="1" t="s">
        <v>5097</v>
      </c>
      <c r="B2151" s="1" t="s">
        <v>5098</v>
      </c>
      <c r="C2151" s="1" t="s">
        <v>1786</v>
      </c>
      <c r="K2151" s="1" t="s">
        <v>99</v>
      </c>
      <c r="L2151" s="1" t="s">
        <v>27</v>
      </c>
      <c r="N2151" s="1" t="s">
        <v>1874</v>
      </c>
      <c r="O2151" s="1" t="s">
        <v>29</v>
      </c>
      <c r="P2151" s="1" t="s">
        <v>3219</v>
      </c>
      <c r="Q2151" s="1" t="s">
        <v>3220</v>
      </c>
      <c r="R2151" s="1">
        <v>0.0</v>
      </c>
      <c r="S2151" s="1"/>
    </row>
    <row r="2152" ht="15.75" customHeight="1">
      <c r="A2152" s="1" t="s">
        <v>5099</v>
      </c>
      <c r="B2152" s="1" t="s">
        <v>5100</v>
      </c>
      <c r="C2152" s="1" t="s">
        <v>174</v>
      </c>
      <c r="E2152" s="1">
        <v>28.5354626</v>
      </c>
      <c r="F2152" s="1">
        <v>77.2807938</v>
      </c>
      <c r="G2152" s="1" t="s">
        <v>2511</v>
      </c>
      <c r="H2152" s="1" t="s">
        <v>2512</v>
      </c>
      <c r="J2152" s="1" t="s">
        <v>56</v>
      </c>
      <c r="P2152" s="1" t="s">
        <v>4920</v>
      </c>
      <c r="Q2152" s="1" t="s">
        <v>4921</v>
      </c>
      <c r="R2152" s="1">
        <v>1.0</v>
      </c>
      <c r="S2152" s="1"/>
    </row>
    <row r="2153" ht="15.75" customHeight="1">
      <c r="A2153" s="1" t="s">
        <v>5101</v>
      </c>
      <c r="B2153" s="1" t="s">
        <v>5102</v>
      </c>
      <c r="C2153" s="1" t="s">
        <v>174</v>
      </c>
      <c r="E2153" s="1">
        <v>28.5380794</v>
      </c>
      <c r="F2153" s="1">
        <v>77.2601179</v>
      </c>
      <c r="G2153" s="1" t="s">
        <v>2511</v>
      </c>
      <c r="H2153" s="1" t="s">
        <v>2512</v>
      </c>
      <c r="J2153" s="1" t="s">
        <v>56</v>
      </c>
      <c r="P2153" s="1" t="s">
        <v>4920</v>
      </c>
      <c r="Q2153" s="1" t="s">
        <v>4921</v>
      </c>
      <c r="R2153" s="1">
        <v>1.0</v>
      </c>
      <c r="S2153" s="1"/>
    </row>
    <row r="2154" ht="15.75" customHeight="1">
      <c r="A2154" s="1" t="s">
        <v>5103</v>
      </c>
      <c r="B2154" s="1" t="s">
        <v>5104</v>
      </c>
      <c r="C2154" s="1" t="s">
        <v>1786</v>
      </c>
      <c r="K2154" s="1" t="s">
        <v>99</v>
      </c>
      <c r="L2154" s="1" t="s">
        <v>27</v>
      </c>
      <c r="N2154" s="1" t="s">
        <v>1874</v>
      </c>
      <c r="O2154" s="1" t="s">
        <v>29</v>
      </c>
      <c r="P2154" s="1" t="s">
        <v>4927</v>
      </c>
      <c r="Q2154" s="1" t="s">
        <v>4928</v>
      </c>
      <c r="R2154" s="1">
        <v>0.0</v>
      </c>
      <c r="S2154" s="1"/>
    </row>
    <row r="2155" ht="15.75" customHeight="1">
      <c r="A2155" s="1" t="s">
        <v>5105</v>
      </c>
      <c r="B2155" s="1" t="s">
        <v>5106</v>
      </c>
      <c r="C2155" s="1" t="s">
        <v>1786</v>
      </c>
      <c r="K2155" s="1" t="s">
        <v>99</v>
      </c>
      <c r="L2155" s="1" t="s">
        <v>27</v>
      </c>
      <c r="N2155" s="1" t="s">
        <v>1874</v>
      </c>
      <c r="O2155" s="1" t="s">
        <v>29</v>
      </c>
      <c r="P2155" s="1" t="s">
        <v>3219</v>
      </c>
      <c r="Q2155" s="1" t="s">
        <v>3220</v>
      </c>
      <c r="R2155" s="1">
        <v>0.0</v>
      </c>
      <c r="S2155" s="1"/>
    </row>
    <row r="2156" ht="15.75" customHeight="1">
      <c r="A2156" s="1" t="s">
        <v>5107</v>
      </c>
      <c r="B2156" s="1" t="s">
        <v>5108</v>
      </c>
      <c r="C2156" s="1" t="s">
        <v>143</v>
      </c>
      <c r="E2156" s="1">
        <v>19.193886</v>
      </c>
      <c r="F2156" s="1">
        <v>73.0927425</v>
      </c>
      <c r="G2156" s="1" t="s">
        <v>2511</v>
      </c>
      <c r="H2156" s="1" t="s">
        <v>2512</v>
      </c>
      <c r="J2156" s="1" t="s">
        <v>56</v>
      </c>
      <c r="P2156" s="1" t="s">
        <v>4977</v>
      </c>
      <c r="Q2156" s="1" t="s">
        <v>4978</v>
      </c>
      <c r="R2156" s="1">
        <v>1.0</v>
      </c>
      <c r="S2156" s="1"/>
    </row>
    <row r="2157" ht="15.75" customHeight="1">
      <c r="A2157" s="1" t="s">
        <v>5109</v>
      </c>
      <c r="B2157" s="1" t="s">
        <v>5110</v>
      </c>
      <c r="C2157" s="1" t="s">
        <v>174</v>
      </c>
      <c r="E2157" s="1">
        <v>28.5656693</v>
      </c>
      <c r="F2157" s="1">
        <v>77.2779276</v>
      </c>
      <c r="G2157" s="1" t="s">
        <v>2511</v>
      </c>
      <c r="H2157" s="1" t="s">
        <v>2512</v>
      </c>
      <c r="J2157" s="1" t="s">
        <v>56</v>
      </c>
      <c r="P2157" s="1" t="s">
        <v>4965</v>
      </c>
      <c r="Q2157" s="1" t="s">
        <v>4966</v>
      </c>
      <c r="R2157" s="1">
        <v>2.0</v>
      </c>
      <c r="S2157" s="1"/>
    </row>
    <row r="2158" ht="15.75" customHeight="1">
      <c r="A2158" s="1" t="s">
        <v>5111</v>
      </c>
      <c r="B2158" s="1" t="s">
        <v>5112</v>
      </c>
      <c r="C2158" s="1" t="s">
        <v>1786</v>
      </c>
      <c r="K2158" s="1" t="s">
        <v>99</v>
      </c>
      <c r="L2158" s="1" t="s">
        <v>27</v>
      </c>
      <c r="N2158" s="1" t="s">
        <v>1874</v>
      </c>
      <c r="O2158" s="1" t="s">
        <v>29</v>
      </c>
      <c r="P2158" s="1" t="s">
        <v>4961</v>
      </c>
      <c r="Q2158" s="1" t="s">
        <v>4962</v>
      </c>
      <c r="R2158" s="1">
        <v>0.0</v>
      </c>
      <c r="S2158" s="1"/>
    </row>
    <row r="2159" ht="15.75" customHeight="1">
      <c r="A2159" s="1" t="s">
        <v>5113</v>
      </c>
      <c r="B2159" s="1" t="s">
        <v>5114</v>
      </c>
      <c r="C2159" s="1" t="s">
        <v>4924</v>
      </c>
      <c r="E2159" s="1">
        <v>28.5195493</v>
      </c>
      <c r="F2159" s="1">
        <v>77.2866126</v>
      </c>
      <c r="G2159" s="1" t="s">
        <v>2511</v>
      </c>
      <c r="H2159" s="1" t="s">
        <v>2512</v>
      </c>
      <c r="J2159" s="1" t="s">
        <v>56</v>
      </c>
      <c r="P2159" s="1" t="s">
        <v>2153</v>
      </c>
      <c r="Q2159" s="1" t="s">
        <v>2154</v>
      </c>
      <c r="R2159" s="1">
        <v>1.0</v>
      </c>
      <c r="S2159" s="1"/>
    </row>
    <row r="2160" ht="15.75" customHeight="1">
      <c r="A2160" s="1" t="s">
        <v>5115</v>
      </c>
      <c r="B2160" s="1" t="s">
        <v>5116</v>
      </c>
      <c r="C2160" s="1" t="s">
        <v>1786</v>
      </c>
      <c r="K2160" s="1" t="s">
        <v>99</v>
      </c>
      <c r="L2160" s="1" t="s">
        <v>27</v>
      </c>
      <c r="N2160" s="1" t="s">
        <v>1874</v>
      </c>
      <c r="O2160" s="1" t="s">
        <v>29</v>
      </c>
      <c r="P2160" s="1" t="s">
        <v>733</v>
      </c>
      <c r="Q2160" s="1" t="s">
        <v>734</v>
      </c>
      <c r="R2160" s="1">
        <v>0.0</v>
      </c>
      <c r="S2160" s="1"/>
    </row>
    <row r="2161" ht="15.75" customHeight="1">
      <c r="A2161" s="1" t="s">
        <v>5117</v>
      </c>
      <c r="B2161" s="1" t="s">
        <v>5118</v>
      </c>
      <c r="C2161" s="1" t="s">
        <v>1786</v>
      </c>
      <c r="K2161" s="1" t="s">
        <v>99</v>
      </c>
      <c r="L2161" s="1" t="s">
        <v>27</v>
      </c>
      <c r="N2161" s="1" t="s">
        <v>1874</v>
      </c>
      <c r="O2161" s="1" t="s">
        <v>29</v>
      </c>
      <c r="P2161" s="1" t="s">
        <v>1079</v>
      </c>
      <c r="Q2161" s="1" t="s">
        <v>1080</v>
      </c>
      <c r="R2161" s="1">
        <v>0.0</v>
      </c>
      <c r="S2161" s="1"/>
    </row>
    <row r="2162" ht="15.75" customHeight="1">
      <c r="A2162" s="1" t="s">
        <v>5119</v>
      </c>
      <c r="B2162" s="1" t="s">
        <v>5120</v>
      </c>
      <c r="C2162" s="1" t="s">
        <v>1786</v>
      </c>
      <c r="K2162" s="1" t="s">
        <v>99</v>
      </c>
      <c r="L2162" s="1" t="s">
        <v>27</v>
      </c>
      <c r="N2162" s="1" t="s">
        <v>1874</v>
      </c>
      <c r="O2162" s="1" t="s">
        <v>29</v>
      </c>
      <c r="P2162" s="1" t="s">
        <v>4927</v>
      </c>
      <c r="Q2162" s="1" t="s">
        <v>4928</v>
      </c>
      <c r="R2162" s="1">
        <v>0.0</v>
      </c>
      <c r="S2162" s="1"/>
    </row>
    <row r="2163" ht="15.75" customHeight="1">
      <c r="A2163" s="1" t="s">
        <v>5121</v>
      </c>
      <c r="B2163" s="1" t="s">
        <v>5122</v>
      </c>
      <c r="C2163" s="1" t="s">
        <v>143</v>
      </c>
      <c r="E2163" s="1">
        <v>18.6422219</v>
      </c>
      <c r="F2163" s="1">
        <v>73.8260641</v>
      </c>
      <c r="G2163" s="1" t="s">
        <v>2511</v>
      </c>
      <c r="H2163" s="1" t="s">
        <v>2512</v>
      </c>
      <c r="J2163" s="1" t="s">
        <v>56</v>
      </c>
      <c r="P2163" s="1" t="s">
        <v>4977</v>
      </c>
      <c r="Q2163" s="1" t="s">
        <v>4978</v>
      </c>
      <c r="R2163" s="1">
        <v>4.0</v>
      </c>
      <c r="S2163" s="1"/>
    </row>
    <row r="2164" ht="15.75" customHeight="1">
      <c r="A2164" s="1" t="s">
        <v>5123</v>
      </c>
      <c r="B2164" s="1" t="s">
        <v>5124</v>
      </c>
      <c r="C2164" s="1" t="s">
        <v>163</v>
      </c>
      <c r="E2164" s="1">
        <v>28.7362859</v>
      </c>
      <c r="F2164" s="1">
        <v>77.10750759999999</v>
      </c>
      <c r="G2164" s="1" t="s">
        <v>2511</v>
      </c>
      <c r="H2164" s="1" t="s">
        <v>2512</v>
      </c>
      <c r="J2164" s="1" t="s">
        <v>56</v>
      </c>
      <c r="P2164" s="1" t="s">
        <v>4927</v>
      </c>
      <c r="Q2164" s="1" t="s">
        <v>4928</v>
      </c>
      <c r="R2164" s="1">
        <v>1.0</v>
      </c>
      <c r="S2164" s="1"/>
    </row>
    <row r="2165" ht="15.75" customHeight="1">
      <c r="A2165" s="1" t="s">
        <v>5125</v>
      </c>
      <c r="B2165" s="1" t="s">
        <v>5126</v>
      </c>
      <c r="C2165" s="1" t="s">
        <v>1786</v>
      </c>
      <c r="K2165" s="1" t="s">
        <v>99</v>
      </c>
      <c r="L2165" s="1" t="s">
        <v>27</v>
      </c>
      <c r="N2165" s="1" t="s">
        <v>1874</v>
      </c>
      <c r="O2165" s="1" t="s">
        <v>29</v>
      </c>
      <c r="P2165" s="1" t="s">
        <v>2153</v>
      </c>
      <c r="Q2165" s="1" t="s">
        <v>2154</v>
      </c>
      <c r="R2165" s="1">
        <v>0.0</v>
      </c>
      <c r="S2165" s="1"/>
    </row>
    <row r="2166" ht="15.75" customHeight="1">
      <c r="A2166" s="1" t="s">
        <v>5127</v>
      </c>
      <c r="B2166" s="1" t="s">
        <v>5128</v>
      </c>
      <c r="C2166" s="1" t="s">
        <v>143</v>
      </c>
      <c r="E2166" s="1">
        <v>19.2250419</v>
      </c>
      <c r="F2166" s="1">
        <v>72.9670019</v>
      </c>
      <c r="G2166" s="1" t="s">
        <v>2511</v>
      </c>
      <c r="H2166" s="1" t="s">
        <v>2512</v>
      </c>
      <c r="J2166" s="1" t="s">
        <v>56</v>
      </c>
      <c r="P2166" s="1" t="s">
        <v>4977</v>
      </c>
      <c r="Q2166" s="1" t="s">
        <v>4978</v>
      </c>
      <c r="R2166" s="1">
        <v>4.0</v>
      </c>
      <c r="S2166" s="1"/>
    </row>
    <row r="2167" ht="15.75" customHeight="1">
      <c r="A2167" s="1" t="s">
        <v>5129</v>
      </c>
      <c r="B2167" s="1" t="s">
        <v>5130</v>
      </c>
      <c r="C2167" s="1" t="s">
        <v>1786</v>
      </c>
      <c r="K2167" s="1" t="s">
        <v>99</v>
      </c>
      <c r="L2167" s="1" t="s">
        <v>27</v>
      </c>
      <c r="N2167" s="1" t="s">
        <v>1874</v>
      </c>
      <c r="O2167" s="1" t="s">
        <v>29</v>
      </c>
      <c r="P2167" s="1" t="s">
        <v>4920</v>
      </c>
      <c r="Q2167" s="1" t="s">
        <v>4921</v>
      </c>
      <c r="R2167" s="1">
        <v>0.0</v>
      </c>
      <c r="S2167" s="1"/>
    </row>
    <row r="2168" ht="15.75" customHeight="1">
      <c r="A2168" s="1" t="s">
        <v>5131</v>
      </c>
      <c r="B2168" s="1" t="s">
        <v>5132</v>
      </c>
      <c r="C2168" s="1" t="s">
        <v>174</v>
      </c>
      <c r="E2168" s="1">
        <v>28.7118689</v>
      </c>
      <c r="F2168" s="1">
        <v>77.1158497</v>
      </c>
      <c r="G2168" s="1" t="s">
        <v>2511</v>
      </c>
      <c r="H2168" s="1" t="s">
        <v>2512</v>
      </c>
      <c r="J2168" s="1" t="s">
        <v>56</v>
      </c>
      <c r="P2168" s="1" t="s">
        <v>4961</v>
      </c>
      <c r="Q2168" s="1" t="s">
        <v>4962</v>
      </c>
      <c r="R2168" s="1">
        <v>2.0</v>
      </c>
      <c r="S2168" s="1"/>
    </row>
    <row r="2169" ht="15.75" customHeight="1">
      <c r="A2169" s="1" t="s">
        <v>5133</v>
      </c>
      <c r="B2169" s="1" t="s">
        <v>5134</v>
      </c>
      <c r="C2169" s="1" t="s">
        <v>1786</v>
      </c>
      <c r="K2169" s="1" t="s">
        <v>99</v>
      </c>
      <c r="L2169" s="1" t="s">
        <v>27</v>
      </c>
      <c r="N2169" s="1" t="s">
        <v>1874</v>
      </c>
      <c r="O2169" s="1" t="s">
        <v>29</v>
      </c>
      <c r="P2169" s="1" t="s">
        <v>4920</v>
      </c>
      <c r="Q2169" s="1" t="s">
        <v>4921</v>
      </c>
      <c r="R2169" s="1">
        <v>0.0</v>
      </c>
      <c r="S2169" s="1"/>
    </row>
    <row r="2170" ht="15.75" customHeight="1">
      <c r="A2170" s="1" t="s">
        <v>5135</v>
      </c>
      <c r="B2170" s="1" t="s">
        <v>5136</v>
      </c>
      <c r="C2170" s="1" t="s">
        <v>1786</v>
      </c>
      <c r="K2170" s="1" t="s">
        <v>99</v>
      </c>
      <c r="L2170" s="1" t="s">
        <v>27</v>
      </c>
      <c r="N2170" s="1" t="s">
        <v>1874</v>
      </c>
      <c r="O2170" s="1" t="s">
        <v>29</v>
      </c>
      <c r="P2170" s="1" t="s">
        <v>733</v>
      </c>
      <c r="Q2170" s="1" t="s">
        <v>734</v>
      </c>
      <c r="R2170" s="1">
        <v>0.0</v>
      </c>
      <c r="S2170" s="1"/>
    </row>
    <row r="2171" ht="15.75" customHeight="1">
      <c r="A2171" s="1" t="s">
        <v>5137</v>
      </c>
      <c r="B2171" s="1" t="s">
        <v>5138</v>
      </c>
      <c r="C2171" s="1" t="s">
        <v>1786</v>
      </c>
      <c r="K2171" s="1" t="s">
        <v>99</v>
      </c>
      <c r="L2171" s="1" t="s">
        <v>27</v>
      </c>
      <c r="N2171" s="1" t="s">
        <v>1874</v>
      </c>
      <c r="O2171" s="1" t="s">
        <v>29</v>
      </c>
      <c r="P2171" s="1" t="s">
        <v>5030</v>
      </c>
      <c r="Q2171" s="1" t="s">
        <v>5031</v>
      </c>
      <c r="R2171" s="1">
        <v>0.0</v>
      </c>
      <c r="S2171" s="1"/>
    </row>
    <row r="2172" ht="15.75" customHeight="1">
      <c r="A2172" s="1" t="s">
        <v>5139</v>
      </c>
      <c r="B2172" s="1" t="s">
        <v>5140</v>
      </c>
      <c r="C2172" s="1" t="s">
        <v>743</v>
      </c>
      <c r="E2172" s="1">
        <v>12.9965862</v>
      </c>
      <c r="F2172" s="1">
        <v>77.6580503</v>
      </c>
      <c r="G2172" s="1" t="s">
        <v>2511</v>
      </c>
      <c r="H2172" s="1" t="s">
        <v>2512</v>
      </c>
      <c r="J2172" s="1" t="s">
        <v>56</v>
      </c>
      <c r="P2172" s="1" t="s">
        <v>1079</v>
      </c>
      <c r="Q2172" s="1" t="s">
        <v>1080</v>
      </c>
      <c r="R2172" s="1">
        <v>2.0</v>
      </c>
      <c r="S2172" s="1"/>
    </row>
    <row r="2173" ht="15.75" customHeight="1">
      <c r="A2173" s="1" t="s">
        <v>5141</v>
      </c>
      <c r="B2173" s="1" t="s">
        <v>5142</v>
      </c>
      <c r="C2173" s="1" t="s">
        <v>1786</v>
      </c>
      <c r="K2173" s="1" t="s">
        <v>99</v>
      </c>
      <c r="L2173" s="1" t="s">
        <v>27</v>
      </c>
      <c r="N2173" s="1" t="s">
        <v>1874</v>
      </c>
      <c r="O2173" s="1" t="s">
        <v>29</v>
      </c>
      <c r="P2173" s="1" t="s">
        <v>4977</v>
      </c>
      <c r="Q2173" s="1" t="s">
        <v>4978</v>
      </c>
      <c r="R2173" s="1">
        <v>0.0</v>
      </c>
      <c r="S2173" s="1"/>
    </row>
    <row r="2174" ht="15.75" customHeight="1">
      <c r="A2174" s="1" t="s">
        <v>5143</v>
      </c>
      <c r="B2174" s="1" t="s">
        <v>5144</v>
      </c>
      <c r="C2174" s="1" t="s">
        <v>1097</v>
      </c>
      <c r="E2174" s="1">
        <v>13.0708913</v>
      </c>
      <c r="F2174" s="1">
        <v>80.2101995</v>
      </c>
      <c r="G2174" s="1" t="s">
        <v>2511</v>
      </c>
      <c r="H2174" s="1" t="s">
        <v>2512</v>
      </c>
      <c r="J2174" s="1" t="s">
        <v>56</v>
      </c>
      <c r="P2174" s="1" t="s">
        <v>3219</v>
      </c>
      <c r="Q2174" s="1" t="s">
        <v>3220</v>
      </c>
      <c r="R2174" s="1">
        <v>1.0</v>
      </c>
      <c r="S2174" s="1"/>
    </row>
    <row r="2175" ht="15.75" customHeight="1">
      <c r="A2175" s="1" t="s">
        <v>5145</v>
      </c>
      <c r="B2175" s="1" t="s">
        <v>5146</v>
      </c>
      <c r="C2175" s="1" t="s">
        <v>1786</v>
      </c>
      <c r="K2175" s="1" t="s">
        <v>99</v>
      </c>
      <c r="L2175" s="1" t="s">
        <v>27</v>
      </c>
      <c r="N2175" s="1" t="s">
        <v>1874</v>
      </c>
      <c r="O2175" s="1" t="s">
        <v>29</v>
      </c>
      <c r="P2175" s="1" t="s">
        <v>4927</v>
      </c>
      <c r="Q2175" s="1" t="s">
        <v>4928</v>
      </c>
      <c r="R2175" s="1">
        <v>0.0</v>
      </c>
      <c r="S2175" s="1"/>
    </row>
    <row r="2176" ht="15.75" customHeight="1">
      <c r="A2176" s="1" t="s">
        <v>5147</v>
      </c>
      <c r="B2176" s="1" t="s">
        <v>5148</v>
      </c>
      <c r="C2176" s="1" t="s">
        <v>1786</v>
      </c>
      <c r="K2176" s="1" t="s">
        <v>99</v>
      </c>
      <c r="L2176" s="1" t="s">
        <v>27</v>
      </c>
      <c r="N2176" s="1" t="s">
        <v>1874</v>
      </c>
      <c r="O2176" s="1" t="s">
        <v>29</v>
      </c>
      <c r="P2176" s="1" t="s">
        <v>5149</v>
      </c>
      <c r="Q2176" s="1" t="s">
        <v>5150</v>
      </c>
      <c r="R2176" s="1">
        <v>0.0</v>
      </c>
      <c r="S2176" s="1"/>
    </row>
    <row r="2177" ht="15.75" customHeight="1">
      <c r="A2177" s="1" t="s">
        <v>5151</v>
      </c>
      <c r="B2177" s="1" t="s">
        <v>5152</v>
      </c>
      <c r="C2177" s="1" t="s">
        <v>1786</v>
      </c>
      <c r="K2177" s="1" t="s">
        <v>99</v>
      </c>
      <c r="L2177" s="1" t="s">
        <v>27</v>
      </c>
      <c r="N2177" s="1" t="s">
        <v>1874</v>
      </c>
      <c r="O2177" s="1" t="s">
        <v>29</v>
      </c>
      <c r="P2177" s="1" t="s">
        <v>4927</v>
      </c>
      <c r="Q2177" s="1" t="s">
        <v>4928</v>
      </c>
      <c r="R2177" s="1">
        <v>0.0</v>
      </c>
      <c r="S2177" s="1"/>
    </row>
    <row r="2178" ht="15.75" customHeight="1">
      <c r="A2178" s="1" t="s">
        <v>5153</v>
      </c>
      <c r="B2178" s="1" t="s">
        <v>5154</v>
      </c>
      <c r="C2178" s="1" t="s">
        <v>743</v>
      </c>
      <c r="E2178" s="1">
        <v>12.9617998</v>
      </c>
      <c r="F2178" s="1">
        <v>77.63750499999999</v>
      </c>
      <c r="G2178" s="1" t="s">
        <v>2511</v>
      </c>
      <c r="H2178" s="1" t="s">
        <v>2512</v>
      </c>
      <c r="J2178" s="1" t="s">
        <v>56</v>
      </c>
      <c r="P2178" s="1" t="s">
        <v>1079</v>
      </c>
      <c r="Q2178" s="1" t="s">
        <v>1080</v>
      </c>
      <c r="R2178" s="1">
        <v>1.0</v>
      </c>
      <c r="S2178" s="1"/>
    </row>
    <row r="2179" ht="15.75" customHeight="1">
      <c r="A2179" s="1" t="s">
        <v>5155</v>
      </c>
      <c r="B2179" s="1" t="s">
        <v>5156</v>
      </c>
      <c r="C2179" s="1" t="s">
        <v>1786</v>
      </c>
      <c r="K2179" s="1" t="s">
        <v>99</v>
      </c>
      <c r="L2179" s="1" t="s">
        <v>27</v>
      </c>
      <c r="N2179" s="1" t="s">
        <v>1874</v>
      </c>
      <c r="O2179" s="1" t="s">
        <v>29</v>
      </c>
      <c r="P2179" s="1" t="s">
        <v>4927</v>
      </c>
      <c r="Q2179" s="1" t="s">
        <v>4928</v>
      </c>
      <c r="R2179" s="1">
        <v>0.0</v>
      </c>
      <c r="S2179" s="1"/>
    </row>
    <row r="2180" ht="15.75" customHeight="1">
      <c r="A2180" s="1" t="s">
        <v>5157</v>
      </c>
      <c r="B2180" s="1" t="s">
        <v>5158</v>
      </c>
      <c r="C2180" s="1" t="s">
        <v>549</v>
      </c>
      <c r="K2180" s="1" t="s">
        <v>99</v>
      </c>
      <c r="L2180" s="1" t="s">
        <v>27</v>
      </c>
      <c r="N2180" s="1" t="s">
        <v>549</v>
      </c>
      <c r="O2180" s="1" t="s">
        <v>29</v>
      </c>
      <c r="P2180" s="1" t="s">
        <v>4927</v>
      </c>
      <c r="Q2180" s="1" t="s">
        <v>4928</v>
      </c>
      <c r="R2180" s="1">
        <v>0.0</v>
      </c>
      <c r="S2180" s="1"/>
    </row>
    <row r="2181" ht="15.75" customHeight="1">
      <c r="A2181" s="1" t="s">
        <v>5159</v>
      </c>
      <c r="B2181" s="1" t="s">
        <v>5160</v>
      </c>
      <c r="C2181" s="1" t="s">
        <v>143</v>
      </c>
      <c r="E2181" s="1">
        <v>19.0265673</v>
      </c>
      <c r="F2181" s="1">
        <v>72.8654749</v>
      </c>
      <c r="G2181" s="1" t="s">
        <v>2511</v>
      </c>
      <c r="H2181" s="1" t="s">
        <v>2512</v>
      </c>
      <c r="J2181" s="1" t="s">
        <v>56</v>
      </c>
      <c r="P2181" s="1" t="s">
        <v>4977</v>
      </c>
      <c r="Q2181" s="1" t="s">
        <v>4978</v>
      </c>
      <c r="R2181" s="1">
        <v>3.0</v>
      </c>
      <c r="S2181" s="1"/>
    </row>
    <row r="2182" ht="15.75" customHeight="1">
      <c r="A2182" s="1" t="s">
        <v>5161</v>
      </c>
      <c r="B2182" s="1" t="s">
        <v>5162</v>
      </c>
      <c r="C2182" s="1" t="s">
        <v>174</v>
      </c>
      <c r="K2182" s="1" t="s">
        <v>99</v>
      </c>
      <c r="L2182" s="1" t="s">
        <v>27</v>
      </c>
      <c r="N2182" s="1" t="s">
        <v>174</v>
      </c>
      <c r="O2182" s="1" t="s">
        <v>29</v>
      </c>
      <c r="P2182" s="1" t="s">
        <v>4965</v>
      </c>
      <c r="Q2182" s="1" t="s">
        <v>4966</v>
      </c>
      <c r="R2182" s="1">
        <v>0.0</v>
      </c>
      <c r="S2182" s="1"/>
    </row>
    <row r="2183" ht="15.75" customHeight="1">
      <c r="A2183" s="1" t="s">
        <v>5163</v>
      </c>
      <c r="B2183" s="1" t="s">
        <v>5164</v>
      </c>
      <c r="C2183" s="1" t="s">
        <v>1716</v>
      </c>
      <c r="E2183" s="1">
        <v>28.1364305</v>
      </c>
      <c r="F2183" s="1">
        <v>77.3292234</v>
      </c>
      <c r="G2183" s="1" t="s">
        <v>2511</v>
      </c>
      <c r="H2183" s="1" t="s">
        <v>2512</v>
      </c>
      <c r="J2183" s="1" t="s">
        <v>56</v>
      </c>
      <c r="K2183" s="1" t="s">
        <v>99</v>
      </c>
      <c r="L2183" s="1" t="s">
        <v>27</v>
      </c>
      <c r="N2183" s="1" t="s">
        <v>163</v>
      </c>
      <c r="O2183" s="1" t="s">
        <v>29</v>
      </c>
      <c r="P2183" s="1" t="s">
        <v>4927</v>
      </c>
      <c r="Q2183" s="1" t="s">
        <v>4928</v>
      </c>
      <c r="R2183" s="1">
        <v>1.0</v>
      </c>
      <c r="S2183" s="1"/>
    </row>
    <row r="2184" ht="15.75" customHeight="1">
      <c r="A2184" s="1" t="s">
        <v>5165</v>
      </c>
      <c r="B2184" s="1" t="s">
        <v>5166</v>
      </c>
      <c r="C2184" s="1" t="s">
        <v>617</v>
      </c>
      <c r="E2184" s="1">
        <v>26.8488157</v>
      </c>
      <c r="F2184" s="1">
        <v>80.94138889999999</v>
      </c>
      <c r="G2184" s="1" t="s">
        <v>2511</v>
      </c>
      <c r="H2184" s="1" t="s">
        <v>2512</v>
      </c>
      <c r="J2184" s="1" t="s">
        <v>56</v>
      </c>
      <c r="P2184" s="1" t="s">
        <v>733</v>
      </c>
      <c r="Q2184" s="1" t="s">
        <v>734</v>
      </c>
      <c r="R2184" s="1">
        <v>6.0</v>
      </c>
      <c r="S2184" s="1"/>
    </row>
    <row r="2185" ht="15.75" customHeight="1">
      <c r="A2185" s="1" t="s">
        <v>5167</v>
      </c>
      <c r="B2185" s="1" t="s">
        <v>5168</v>
      </c>
      <c r="C2185" s="1" t="s">
        <v>617</v>
      </c>
      <c r="E2185" s="1">
        <v>26.8445626</v>
      </c>
      <c r="F2185" s="1">
        <v>80.9353651</v>
      </c>
      <c r="G2185" s="1" t="s">
        <v>2511</v>
      </c>
      <c r="H2185" s="1" t="s">
        <v>2512</v>
      </c>
      <c r="J2185" s="1" t="s">
        <v>56</v>
      </c>
      <c r="P2185" s="1" t="s">
        <v>733</v>
      </c>
      <c r="Q2185" s="1" t="s">
        <v>734</v>
      </c>
      <c r="R2185" s="1">
        <v>8.0</v>
      </c>
      <c r="S2185" s="1"/>
    </row>
    <row r="2186" ht="15.75" customHeight="1">
      <c r="A2186" s="1" t="s">
        <v>5169</v>
      </c>
      <c r="B2186" s="1" t="s">
        <v>5170</v>
      </c>
      <c r="C2186" s="1" t="s">
        <v>617</v>
      </c>
      <c r="E2186" s="1">
        <v>26.8913017</v>
      </c>
      <c r="F2186" s="1">
        <v>81.0389074</v>
      </c>
      <c r="G2186" s="1" t="s">
        <v>2511</v>
      </c>
      <c r="H2186" s="1" t="s">
        <v>2512</v>
      </c>
      <c r="J2186" s="1" t="s">
        <v>56</v>
      </c>
      <c r="P2186" s="1" t="s">
        <v>733</v>
      </c>
      <c r="Q2186" s="1" t="s">
        <v>734</v>
      </c>
      <c r="R2186" s="1">
        <v>3.0</v>
      </c>
      <c r="S2186" s="1"/>
    </row>
    <row r="2187" ht="15.75" customHeight="1">
      <c r="A2187" s="1" t="s">
        <v>5171</v>
      </c>
      <c r="B2187" s="1" t="s">
        <v>5172</v>
      </c>
      <c r="C2187" s="1" t="s">
        <v>617</v>
      </c>
      <c r="E2187" s="1">
        <v>26.848008</v>
      </c>
      <c r="F2187" s="1">
        <v>80.93342299999999</v>
      </c>
      <c r="G2187" s="1" t="s">
        <v>2511</v>
      </c>
      <c r="H2187" s="1" t="s">
        <v>2512</v>
      </c>
      <c r="J2187" s="1" t="s">
        <v>56</v>
      </c>
      <c r="P2187" s="1" t="s">
        <v>733</v>
      </c>
      <c r="Q2187" s="1" t="s">
        <v>734</v>
      </c>
      <c r="R2187" s="1">
        <v>9.0</v>
      </c>
      <c r="S2187" s="1"/>
    </row>
    <row r="2188" ht="15.75" customHeight="1">
      <c r="A2188" s="1" t="s">
        <v>5173</v>
      </c>
      <c r="B2188" s="1" t="s">
        <v>5174</v>
      </c>
      <c r="C2188" s="1" t="s">
        <v>174</v>
      </c>
      <c r="E2188" s="1">
        <v>28.5710809</v>
      </c>
      <c r="F2188" s="1">
        <v>77.22550489999999</v>
      </c>
      <c r="G2188" s="1" t="s">
        <v>2511</v>
      </c>
      <c r="H2188" s="1" t="s">
        <v>2512</v>
      </c>
      <c r="J2188" s="1" t="s">
        <v>56</v>
      </c>
      <c r="P2188" s="1" t="s">
        <v>4728</v>
      </c>
      <c r="Q2188" s="1" t="s">
        <v>4729</v>
      </c>
      <c r="R2188" s="1">
        <v>1.0</v>
      </c>
      <c r="S2188" s="1"/>
    </row>
    <row r="2189" ht="15.75" customHeight="1">
      <c r="A2189" s="1" t="s">
        <v>5175</v>
      </c>
      <c r="B2189" s="1" t="s">
        <v>5176</v>
      </c>
      <c r="C2189" s="1" t="s">
        <v>549</v>
      </c>
      <c r="K2189" s="1" t="s">
        <v>99</v>
      </c>
      <c r="L2189" s="1" t="s">
        <v>27</v>
      </c>
      <c r="N2189" s="1" t="s">
        <v>549</v>
      </c>
      <c r="O2189" s="1" t="s">
        <v>29</v>
      </c>
      <c r="P2189" s="1" t="s">
        <v>5177</v>
      </c>
      <c r="Q2189" s="1" t="s">
        <v>5178</v>
      </c>
      <c r="R2189" s="1">
        <v>0.0</v>
      </c>
      <c r="S2189" s="1"/>
    </row>
    <row r="2190" ht="15.75" customHeight="1">
      <c r="A2190" s="1" t="s">
        <v>5179</v>
      </c>
      <c r="B2190" s="1" t="s">
        <v>5180</v>
      </c>
      <c r="C2190" s="1" t="s">
        <v>174</v>
      </c>
      <c r="E2190" s="1">
        <v>28.6894466</v>
      </c>
      <c r="F2190" s="1">
        <v>77.28599129999999</v>
      </c>
      <c r="G2190" s="1" t="s">
        <v>2511</v>
      </c>
      <c r="H2190" s="1" t="s">
        <v>2512</v>
      </c>
      <c r="J2190" s="1" t="s">
        <v>56</v>
      </c>
      <c r="P2190" s="1" t="s">
        <v>5181</v>
      </c>
      <c r="Q2190" s="1" t="s">
        <v>5182</v>
      </c>
      <c r="R2190" s="1">
        <v>3.0</v>
      </c>
      <c r="S2190" s="1"/>
    </row>
    <row r="2191" ht="15.75" customHeight="1">
      <c r="A2191" s="1" t="s">
        <v>5183</v>
      </c>
      <c r="B2191" s="1" t="s">
        <v>5184</v>
      </c>
      <c r="C2191" s="1" t="s">
        <v>174</v>
      </c>
      <c r="E2191" s="1">
        <v>28.6803845</v>
      </c>
      <c r="F2191" s="1">
        <v>77.2869291</v>
      </c>
      <c r="G2191" s="1" t="s">
        <v>2511</v>
      </c>
      <c r="H2191" s="1" t="s">
        <v>2512</v>
      </c>
      <c r="J2191" s="1" t="s">
        <v>56</v>
      </c>
      <c r="K2191" s="1" t="s">
        <v>99</v>
      </c>
      <c r="L2191" s="1" t="s">
        <v>27</v>
      </c>
      <c r="N2191" s="1" t="s">
        <v>174</v>
      </c>
      <c r="O2191" s="1" t="s">
        <v>29</v>
      </c>
      <c r="P2191" s="1" t="s">
        <v>5177</v>
      </c>
      <c r="Q2191" s="1" t="s">
        <v>5178</v>
      </c>
      <c r="R2191" s="1">
        <v>4.0</v>
      </c>
      <c r="S2191" s="1"/>
    </row>
    <row r="2192" ht="15.75" customHeight="1">
      <c r="A2192" s="1" t="s">
        <v>5185</v>
      </c>
      <c r="B2192" s="1" t="s">
        <v>5186</v>
      </c>
      <c r="C2192" s="1" t="s">
        <v>174</v>
      </c>
      <c r="E2192" s="1">
        <v>28.677296</v>
      </c>
      <c r="F2192" s="1">
        <v>77.28914619999999</v>
      </c>
      <c r="G2192" s="1" t="s">
        <v>4799</v>
      </c>
      <c r="H2192" s="1" t="s">
        <v>4800</v>
      </c>
      <c r="I2192" s="1" t="s">
        <v>24</v>
      </c>
      <c r="J2192" s="1" t="s">
        <v>1678</v>
      </c>
      <c r="P2192" s="1" t="s">
        <v>5177</v>
      </c>
      <c r="Q2192" s="1" t="s">
        <v>5178</v>
      </c>
      <c r="R2192" s="1">
        <v>6.0</v>
      </c>
      <c r="S2192" s="1"/>
    </row>
    <row r="2193" ht="15.75" customHeight="1">
      <c r="A2193" s="1" t="s">
        <v>5187</v>
      </c>
      <c r="B2193" s="1" t="s">
        <v>5188</v>
      </c>
      <c r="C2193" s="1" t="s">
        <v>174</v>
      </c>
      <c r="E2193" s="1">
        <v>28.6900409</v>
      </c>
      <c r="F2193" s="1">
        <v>77.2773667</v>
      </c>
      <c r="G2193" s="1" t="s">
        <v>54</v>
      </c>
      <c r="H2193" s="1" t="s">
        <v>55</v>
      </c>
      <c r="J2193" s="1" t="s">
        <v>56</v>
      </c>
      <c r="K2193" s="1" t="s">
        <v>2892</v>
      </c>
      <c r="L2193" s="1" t="s">
        <v>27</v>
      </c>
      <c r="N2193" s="1" t="s">
        <v>174</v>
      </c>
      <c r="O2193" s="1" t="s">
        <v>57</v>
      </c>
      <c r="P2193" s="1" t="s">
        <v>5177</v>
      </c>
      <c r="Q2193" s="1" t="s">
        <v>5178</v>
      </c>
      <c r="R2193" s="1">
        <v>2.0</v>
      </c>
      <c r="S2193" s="1"/>
    </row>
    <row r="2194" ht="15.75" customHeight="1">
      <c r="A2194" s="1" t="s">
        <v>5189</v>
      </c>
      <c r="B2194" s="1" t="s">
        <v>5190</v>
      </c>
      <c r="C2194" s="1" t="s">
        <v>549</v>
      </c>
      <c r="K2194" s="1" t="s">
        <v>99</v>
      </c>
      <c r="L2194" s="1" t="s">
        <v>27</v>
      </c>
      <c r="N2194" s="1" t="s">
        <v>549</v>
      </c>
      <c r="O2194" s="1" t="s">
        <v>29</v>
      </c>
      <c r="P2194" s="1" t="s">
        <v>5177</v>
      </c>
      <c r="Q2194" s="1" t="s">
        <v>5178</v>
      </c>
      <c r="R2194" s="1">
        <v>0.0</v>
      </c>
      <c r="S2194" s="1"/>
    </row>
    <row r="2195" ht="15.75" customHeight="1">
      <c r="A2195" s="1" t="s">
        <v>5191</v>
      </c>
      <c r="B2195" s="1" t="s">
        <v>5192</v>
      </c>
      <c r="C2195" s="1" t="s">
        <v>549</v>
      </c>
      <c r="K2195" s="1" t="s">
        <v>99</v>
      </c>
      <c r="L2195" s="1" t="s">
        <v>27</v>
      </c>
      <c r="N2195" s="1" t="s">
        <v>549</v>
      </c>
      <c r="O2195" s="1" t="s">
        <v>29</v>
      </c>
      <c r="P2195" s="1" t="s">
        <v>5177</v>
      </c>
      <c r="Q2195" s="1" t="s">
        <v>5178</v>
      </c>
      <c r="R2195" s="1">
        <v>0.0</v>
      </c>
      <c r="S2195" s="1"/>
    </row>
    <row r="2196" ht="15.75" customHeight="1">
      <c r="A2196" s="1" t="s">
        <v>5193</v>
      </c>
      <c r="B2196" s="1" t="s">
        <v>5194</v>
      </c>
      <c r="C2196" s="1" t="s">
        <v>549</v>
      </c>
      <c r="K2196" s="1" t="s">
        <v>99</v>
      </c>
      <c r="L2196" s="1" t="s">
        <v>27</v>
      </c>
      <c r="N2196" s="1" t="s">
        <v>549</v>
      </c>
      <c r="O2196" s="1" t="s">
        <v>29</v>
      </c>
      <c r="P2196" s="1" t="s">
        <v>5177</v>
      </c>
      <c r="Q2196" s="1" t="s">
        <v>5178</v>
      </c>
      <c r="R2196" s="1">
        <v>0.0</v>
      </c>
      <c r="S2196" s="1"/>
    </row>
    <row r="2197" ht="15.75" customHeight="1">
      <c r="A2197" s="1" t="s">
        <v>5195</v>
      </c>
      <c r="B2197" s="1" t="s">
        <v>5196</v>
      </c>
      <c r="C2197" s="1" t="s">
        <v>162</v>
      </c>
      <c r="E2197" s="1">
        <v>28.5005885</v>
      </c>
      <c r="F2197" s="1">
        <v>77.32229389999999</v>
      </c>
      <c r="G2197" s="1" t="s">
        <v>2511</v>
      </c>
      <c r="H2197" s="1" t="s">
        <v>2512</v>
      </c>
      <c r="J2197" s="1" t="s">
        <v>56</v>
      </c>
      <c r="P2197" s="1" t="s">
        <v>5197</v>
      </c>
      <c r="Q2197" s="1" t="s">
        <v>5198</v>
      </c>
      <c r="R2197" s="1">
        <v>1.0</v>
      </c>
      <c r="S2197" s="1"/>
    </row>
    <row r="2198" ht="15.75" customHeight="1">
      <c r="A2198" s="1" t="s">
        <v>5199</v>
      </c>
      <c r="B2198" s="1" t="s">
        <v>5200</v>
      </c>
      <c r="C2198" s="1" t="s">
        <v>174</v>
      </c>
      <c r="E2198" s="1">
        <v>28.6579605</v>
      </c>
      <c r="F2198" s="1">
        <v>77.2844336</v>
      </c>
      <c r="G2198" s="1" t="s">
        <v>54</v>
      </c>
      <c r="H2198" s="1" t="s">
        <v>55</v>
      </c>
      <c r="J2198" s="1" t="s">
        <v>56</v>
      </c>
      <c r="P2198" s="1" t="s">
        <v>5201</v>
      </c>
      <c r="Q2198" s="1" t="s">
        <v>5202</v>
      </c>
      <c r="R2198" s="1">
        <v>0.0</v>
      </c>
      <c r="S2198" s="1"/>
    </row>
    <row r="2199" ht="15.75" customHeight="1">
      <c r="A2199" s="1" t="s">
        <v>5203</v>
      </c>
      <c r="B2199" s="1" t="s">
        <v>5204</v>
      </c>
      <c r="C2199" s="1" t="s">
        <v>617</v>
      </c>
      <c r="E2199" s="1">
        <v>26.8504056</v>
      </c>
      <c r="F2199" s="1">
        <v>81.02223819999999</v>
      </c>
      <c r="G2199" s="1" t="s">
        <v>2511</v>
      </c>
      <c r="H2199" s="1" t="s">
        <v>2512</v>
      </c>
      <c r="J2199" s="1" t="s">
        <v>56</v>
      </c>
      <c r="P2199" s="1" t="s">
        <v>733</v>
      </c>
      <c r="Q2199" s="1" t="s">
        <v>734</v>
      </c>
      <c r="R2199" s="1">
        <v>1.0</v>
      </c>
      <c r="S2199" s="1"/>
    </row>
    <row r="2200" ht="15.75" customHeight="1">
      <c r="A2200" s="1" t="s">
        <v>5205</v>
      </c>
      <c r="B2200" s="1" t="s">
        <v>5206</v>
      </c>
      <c r="C2200" s="1" t="s">
        <v>617</v>
      </c>
      <c r="E2200" s="1">
        <v>26.8361498</v>
      </c>
      <c r="F2200" s="1">
        <v>80.88457420000002</v>
      </c>
      <c r="G2200" s="1" t="s">
        <v>2511</v>
      </c>
      <c r="H2200" s="1" t="s">
        <v>2512</v>
      </c>
      <c r="J2200" s="1" t="s">
        <v>56</v>
      </c>
      <c r="P2200" s="1" t="s">
        <v>733</v>
      </c>
      <c r="Q2200" s="1" t="s">
        <v>734</v>
      </c>
      <c r="R2200" s="1">
        <v>1.0</v>
      </c>
      <c r="S2200" s="1"/>
    </row>
    <row r="2201" ht="15.75" customHeight="1">
      <c r="A2201" s="1" t="s">
        <v>5207</v>
      </c>
      <c r="B2201" s="1" t="s">
        <v>5208</v>
      </c>
      <c r="C2201" s="1" t="s">
        <v>549</v>
      </c>
      <c r="K2201" s="1" t="s">
        <v>99</v>
      </c>
      <c r="L2201" s="1" t="s">
        <v>27</v>
      </c>
      <c r="N2201" s="1" t="s">
        <v>549</v>
      </c>
      <c r="O2201" s="1" t="s">
        <v>29</v>
      </c>
      <c r="P2201" s="1" t="s">
        <v>2300</v>
      </c>
      <c r="Q2201" s="1" t="s">
        <v>2301</v>
      </c>
      <c r="R2201" s="1">
        <v>0.0</v>
      </c>
      <c r="S2201" s="1"/>
    </row>
    <row r="2202" ht="15.75" customHeight="1">
      <c r="A2202" s="1" t="s">
        <v>5209</v>
      </c>
      <c r="B2202" s="1" t="s">
        <v>5210</v>
      </c>
      <c r="C2202" s="1" t="s">
        <v>617</v>
      </c>
      <c r="E2202" s="1">
        <v>26.8714373</v>
      </c>
      <c r="F2202" s="1">
        <v>80.9735106</v>
      </c>
      <c r="G2202" s="1" t="s">
        <v>2511</v>
      </c>
      <c r="H2202" s="1" t="s">
        <v>2512</v>
      </c>
      <c r="J2202" s="1" t="s">
        <v>56</v>
      </c>
      <c r="P2202" s="1" t="s">
        <v>733</v>
      </c>
      <c r="Q2202" s="1" t="s">
        <v>734</v>
      </c>
      <c r="R2202" s="1">
        <v>5.0</v>
      </c>
      <c r="S2202" s="1"/>
    </row>
    <row r="2203" ht="15.75" customHeight="1">
      <c r="A2203" s="1" t="s">
        <v>5211</v>
      </c>
      <c r="B2203" s="1" t="s">
        <v>5212</v>
      </c>
      <c r="C2203" s="1" t="s">
        <v>617</v>
      </c>
      <c r="E2203" s="1">
        <v>26.7976389</v>
      </c>
      <c r="F2203" s="1">
        <v>80.89761659999999</v>
      </c>
      <c r="G2203" s="1" t="s">
        <v>2511</v>
      </c>
      <c r="H2203" s="1" t="s">
        <v>2512</v>
      </c>
      <c r="J2203" s="1" t="s">
        <v>56</v>
      </c>
      <c r="P2203" s="1" t="s">
        <v>733</v>
      </c>
      <c r="Q2203" s="1" t="s">
        <v>734</v>
      </c>
      <c r="R2203" s="1">
        <v>1.0</v>
      </c>
      <c r="S2203" s="1"/>
    </row>
    <row r="2204" ht="15.75" customHeight="1">
      <c r="A2204" s="1" t="s">
        <v>5213</v>
      </c>
      <c r="B2204" s="1" t="s">
        <v>5214</v>
      </c>
      <c r="C2204" s="1" t="s">
        <v>617</v>
      </c>
      <c r="E2204" s="1">
        <v>26.8711945</v>
      </c>
      <c r="F2204" s="1">
        <v>80.8996264</v>
      </c>
      <c r="G2204" s="1" t="s">
        <v>2511</v>
      </c>
      <c r="H2204" s="1" t="s">
        <v>2512</v>
      </c>
      <c r="J2204" s="1" t="s">
        <v>56</v>
      </c>
      <c r="P2204" s="1" t="s">
        <v>733</v>
      </c>
      <c r="Q2204" s="1" t="s">
        <v>734</v>
      </c>
      <c r="R2204" s="1">
        <v>3.0</v>
      </c>
      <c r="S2204" s="1"/>
    </row>
    <row r="2205" ht="15.75" customHeight="1">
      <c r="A2205" s="1" t="s">
        <v>5215</v>
      </c>
      <c r="B2205" s="1" t="s">
        <v>5216</v>
      </c>
      <c r="C2205" s="1" t="s">
        <v>617</v>
      </c>
      <c r="E2205" s="1">
        <v>26.872727</v>
      </c>
      <c r="F2205" s="1">
        <v>80.890545</v>
      </c>
      <c r="G2205" s="1" t="s">
        <v>2511</v>
      </c>
      <c r="H2205" s="1" t="s">
        <v>2512</v>
      </c>
      <c r="J2205" s="1" t="s">
        <v>56</v>
      </c>
      <c r="P2205" s="1" t="s">
        <v>733</v>
      </c>
      <c r="Q2205" s="1" t="s">
        <v>734</v>
      </c>
      <c r="R2205" s="1">
        <v>2.0</v>
      </c>
      <c r="S2205" s="1"/>
    </row>
    <row r="2206" ht="15.75" customHeight="1">
      <c r="A2206" s="1" t="s">
        <v>5217</v>
      </c>
      <c r="B2206" s="1" t="s">
        <v>5218</v>
      </c>
      <c r="C2206" s="1" t="s">
        <v>1949</v>
      </c>
      <c r="K2206" s="1" t="s">
        <v>99</v>
      </c>
      <c r="L2206" s="1" t="s">
        <v>27</v>
      </c>
      <c r="N2206" s="1" t="s">
        <v>1950</v>
      </c>
      <c r="O2206" s="1" t="s">
        <v>29</v>
      </c>
      <c r="P2206" s="1" t="s">
        <v>733</v>
      </c>
      <c r="Q2206" s="1" t="s">
        <v>734</v>
      </c>
      <c r="R2206" s="1">
        <v>0.0</v>
      </c>
      <c r="S2206" s="1"/>
    </row>
    <row r="2207" ht="15.75" customHeight="1">
      <c r="A2207" s="1" t="s">
        <v>5219</v>
      </c>
      <c r="B2207" s="1" t="s">
        <v>5220</v>
      </c>
      <c r="C2207" s="1" t="s">
        <v>1949</v>
      </c>
      <c r="K2207" s="1" t="s">
        <v>99</v>
      </c>
      <c r="L2207" s="1" t="s">
        <v>27</v>
      </c>
      <c r="N2207" s="1" t="s">
        <v>1950</v>
      </c>
      <c r="O2207" s="1" t="s">
        <v>29</v>
      </c>
      <c r="P2207" s="1" t="s">
        <v>733</v>
      </c>
      <c r="Q2207" s="1" t="s">
        <v>734</v>
      </c>
      <c r="R2207" s="1">
        <v>0.0</v>
      </c>
      <c r="S2207" s="1"/>
    </row>
    <row r="2208" ht="15.75" customHeight="1">
      <c r="A2208" s="1" t="s">
        <v>5221</v>
      </c>
      <c r="B2208" s="1" t="s">
        <v>5222</v>
      </c>
      <c r="C2208" s="1" t="s">
        <v>1949</v>
      </c>
      <c r="K2208" s="1" t="s">
        <v>99</v>
      </c>
      <c r="L2208" s="1" t="s">
        <v>27</v>
      </c>
      <c r="N2208" s="1" t="s">
        <v>1950</v>
      </c>
      <c r="O2208" s="1" t="s">
        <v>29</v>
      </c>
      <c r="P2208" s="1" t="s">
        <v>733</v>
      </c>
      <c r="Q2208" s="1" t="s">
        <v>734</v>
      </c>
      <c r="R2208" s="1">
        <v>0.0</v>
      </c>
      <c r="S2208" s="1"/>
    </row>
    <row r="2209" ht="15.75" customHeight="1">
      <c r="A2209" s="1" t="s">
        <v>5223</v>
      </c>
      <c r="B2209" s="1" t="s">
        <v>5224</v>
      </c>
      <c r="C2209" s="1" t="s">
        <v>174</v>
      </c>
      <c r="E2209" s="1">
        <v>28.65463219999999</v>
      </c>
      <c r="F2209" s="1">
        <v>77.1194581</v>
      </c>
      <c r="G2209" s="1" t="s">
        <v>2112</v>
      </c>
      <c r="H2209" s="1" t="s">
        <v>2113</v>
      </c>
      <c r="J2209" s="1" t="s">
        <v>56</v>
      </c>
      <c r="P2209" s="1" t="s">
        <v>1749</v>
      </c>
      <c r="Q2209" s="1" t="s">
        <v>1750</v>
      </c>
      <c r="R2209" s="1">
        <v>1.0</v>
      </c>
      <c r="S2209" s="1"/>
    </row>
    <row r="2210" ht="15.75" customHeight="1">
      <c r="A2210" s="1" t="s">
        <v>5225</v>
      </c>
      <c r="B2210" s="1" t="s">
        <v>5226</v>
      </c>
      <c r="C2210" s="1" t="s">
        <v>21</v>
      </c>
      <c r="E2210" s="1">
        <v>28.5701426</v>
      </c>
      <c r="F2210" s="1">
        <v>77.3249538</v>
      </c>
      <c r="G2210" s="1" t="s">
        <v>2511</v>
      </c>
      <c r="H2210" s="1" t="s">
        <v>2512</v>
      </c>
      <c r="J2210" s="1" t="s">
        <v>56</v>
      </c>
      <c r="P2210" s="1" t="s">
        <v>2107</v>
      </c>
      <c r="Q2210" s="1" t="s">
        <v>2108</v>
      </c>
      <c r="R2210" s="1">
        <v>8.0</v>
      </c>
      <c r="S2210" s="1"/>
    </row>
    <row r="2211" ht="15.75" customHeight="1">
      <c r="A2211" s="1" t="s">
        <v>5227</v>
      </c>
      <c r="B2211" s="1" t="s">
        <v>5228</v>
      </c>
      <c r="C2211" s="1" t="s">
        <v>1949</v>
      </c>
      <c r="K2211" s="1" t="s">
        <v>99</v>
      </c>
      <c r="L2211" s="1" t="s">
        <v>27</v>
      </c>
      <c r="N2211" s="1" t="s">
        <v>1950</v>
      </c>
      <c r="O2211" s="1" t="s">
        <v>29</v>
      </c>
      <c r="P2211" s="1" t="s">
        <v>2167</v>
      </c>
      <c r="Q2211" s="1" t="s">
        <v>2168</v>
      </c>
      <c r="R2211" s="1">
        <v>0.0</v>
      </c>
      <c r="S2211" s="1"/>
    </row>
    <row r="2212" ht="15.75" customHeight="1">
      <c r="A2212" s="1" t="s">
        <v>5229</v>
      </c>
      <c r="B2212" s="1" t="s">
        <v>5230</v>
      </c>
      <c r="C2212" s="1" t="s">
        <v>531</v>
      </c>
      <c r="E2212" s="1">
        <v>22.5846499</v>
      </c>
      <c r="F2212" s="1">
        <v>88.3772212</v>
      </c>
      <c r="G2212" s="1" t="s">
        <v>2511</v>
      </c>
      <c r="H2212" s="1" t="s">
        <v>2512</v>
      </c>
      <c r="J2212" s="1" t="s">
        <v>56</v>
      </c>
      <c r="P2212" s="1" t="s">
        <v>5231</v>
      </c>
      <c r="Q2212" s="1" t="s">
        <v>5232</v>
      </c>
      <c r="R2212" s="1">
        <v>4.0</v>
      </c>
      <c r="S2212" s="1"/>
    </row>
    <row r="2213" ht="15.75" customHeight="1">
      <c r="A2213" s="1" t="s">
        <v>5233</v>
      </c>
      <c r="B2213" s="1" t="s">
        <v>5234</v>
      </c>
      <c r="C2213" s="1" t="s">
        <v>531</v>
      </c>
      <c r="E2213" s="1">
        <v>22.5846499</v>
      </c>
      <c r="F2213" s="1">
        <v>88.3772212</v>
      </c>
      <c r="G2213" s="1" t="s">
        <v>2511</v>
      </c>
      <c r="H2213" s="1" t="s">
        <v>2512</v>
      </c>
      <c r="J2213" s="1" t="s">
        <v>56</v>
      </c>
      <c r="P2213" s="1" t="s">
        <v>5231</v>
      </c>
      <c r="Q2213" s="1" t="s">
        <v>5232</v>
      </c>
      <c r="R2213" s="1">
        <v>3.0</v>
      </c>
      <c r="S2213" s="1"/>
    </row>
    <row r="2214" ht="15.75" customHeight="1">
      <c r="A2214" s="1" t="s">
        <v>5235</v>
      </c>
      <c r="B2214" s="1" t="s">
        <v>5236</v>
      </c>
      <c r="C2214" s="1" t="s">
        <v>531</v>
      </c>
      <c r="E2214" s="1">
        <v>22.5846499</v>
      </c>
      <c r="F2214" s="1">
        <v>88.3772212</v>
      </c>
      <c r="G2214" s="1" t="s">
        <v>2511</v>
      </c>
      <c r="H2214" s="1" t="s">
        <v>2512</v>
      </c>
      <c r="J2214" s="1" t="s">
        <v>56</v>
      </c>
      <c r="P2214" s="1" t="s">
        <v>5231</v>
      </c>
      <c r="Q2214" s="1" t="s">
        <v>5232</v>
      </c>
      <c r="R2214" s="1">
        <v>4.0</v>
      </c>
      <c r="S2214" s="1"/>
    </row>
    <row r="2215" ht="15.75" customHeight="1">
      <c r="A2215" s="1" t="s">
        <v>5237</v>
      </c>
      <c r="B2215" s="1" t="s">
        <v>5238</v>
      </c>
      <c r="C2215" s="1" t="s">
        <v>21</v>
      </c>
      <c r="E2215" s="1">
        <v>28.522323</v>
      </c>
      <c r="F2215" s="1">
        <v>77.38639289999999</v>
      </c>
      <c r="G2215" s="1" t="s">
        <v>97</v>
      </c>
      <c r="H2215" s="1" t="s">
        <v>98</v>
      </c>
      <c r="J2215" s="1" t="s">
        <v>56</v>
      </c>
      <c r="P2215" s="1" t="s">
        <v>2167</v>
      </c>
      <c r="Q2215" s="1" t="s">
        <v>2168</v>
      </c>
      <c r="R2215" s="1">
        <v>1.0</v>
      </c>
      <c r="S2215" s="1"/>
    </row>
    <row r="2216" ht="15.75" customHeight="1">
      <c r="A2216" s="1" t="s">
        <v>5239</v>
      </c>
      <c r="B2216" s="1" t="s">
        <v>5240</v>
      </c>
      <c r="C2216" s="1" t="s">
        <v>1949</v>
      </c>
      <c r="K2216" s="1" t="s">
        <v>99</v>
      </c>
      <c r="L2216" s="1" t="s">
        <v>27</v>
      </c>
      <c r="N2216" s="1" t="s">
        <v>1950</v>
      </c>
      <c r="O2216" s="1" t="s">
        <v>29</v>
      </c>
      <c r="P2216" s="1" t="s">
        <v>3219</v>
      </c>
      <c r="Q2216" s="1" t="s">
        <v>3220</v>
      </c>
      <c r="R2216" s="1">
        <v>0.0</v>
      </c>
      <c r="S2216" s="1"/>
    </row>
    <row r="2217" ht="15.75" customHeight="1">
      <c r="A2217" s="1" t="s">
        <v>5241</v>
      </c>
      <c r="B2217" s="1" t="s">
        <v>5242</v>
      </c>
      <c r="C2217" s="1" t="s">
        <v>1949</v>
      </c>
      <c r="K2217" s="1" t="s">
        <v>99</v>
      </c>
      <c r="L2217" s="1" t="s">
        <v>27</v>
      </c>
      <c r="N2217" s="1" t="s">
        <v>1950</v>
      </c>
      <c r="O2217" s="1" t="s">
        <v>29</v>
      </c>
      <c r="P2217" s="1" t="s">
        <v>3219</v>
      </c>
      <c r="Q2217" s="1" t="s">
        <v>3220</v>
      </c>
      <c r="R2217" s="1">
        <v>0.0</v>
      </c>
      <c r="S2217" s="1"/>
    </row>
    <row r="2218" ht="15.75" customHeight="1">
      <c r="A2218" s="1" t="s">
        <v>5243</v>
      </c>
      <c r="B2218" s="1" t="s">
        <v>5244</v>
      </c>
      <c r="C2218" s="1" t="s">
        <v>174</v>
      </c>
      <c r="K2218" s="1" t="s">
        <v>99</v>
      </c>
      <c r="L2218" s="1" t="s">
        <v>27</v>
      </c>
      <c r="N2218" s="1" t="s">
        <v>174</v>
      </c>
      <c r="O2218" s="1" t="s">
        <v>29</v>
      </c>
      <c r="P2218" s="1" t="s">
        <v>3219</v>
      </c>
      <c r="Q2218" s="1" t="s">
        <v>3220</v>
      </c>
      <c r="R2218" s="1">
        <v>0.0</v>
      </c>
      <c r="S2218" s="1"/>
    </row>
    <row r="2219" ht="15.75" customHeight="1">
      <c r="A2219" s="1" t="s">
        <v>5245</v>
      </c>
      <c r="B2219" s="1" t="s">
        <v>5246</v>
      </c>
      <c r="C2219" s="1" t="s">
        <v>174</v>
      </c>
      <c r="K2219" s="1" t="s">
        <v>99</v>
      </c>
      <c r="L2219" s="1" t="s">
        <v>27</v>
      </c>
      <c r="N2219" s="1" t="s">
        <v>174</v>
      </c>
      <c r="O2219" s="1" t="s">
        <v>29</v>
      </c>
      <c r="P2219" s="1" t="s">
        <v>3219</v>
      </c>
      <c r="Q2219" s="1" t="s">
        <v>3220</v>
      </c>
      <c r="R2219" s="1">
        <v>0.0</v>
      </c>
      <c r="S2219" s="1"/>
    </row>
    <row r="2220" ht="15.75" customHeight="1">
      <c r="A2220" s="1" t="s">
        <v>5247</v>
      </c>
      <c r="B2220" s="1" t="s">
        <v>5248</v>
      </c>
      <c r="C2220" s="1" t="s">
        <v>174</v>
      </c>
      <c r="K2220" s="1" t="s">
        <v>99</v>
      </c>
      <c r="L2220" s="1" t="s">
        <v>27</v>
      </c>
      <c r="N2220" s="1" t="s">
        <v>174</v>
      </c>
      <c r="O2220" s="1" t="s">
        <v>29</v>
      </c>
      <c r="P2220" s="1" t="s">
        <v>3219</v>
      </c>
      <c r="Q2220" s="1" t="s">
        <v>3220</v>
      </c>
      <c r="R2220" s="1">
        <v>0.0</v>
      </c>
      <c r="S2220" s="1"/>
    </row>
    <row r="2221" ht="15.75" customHeight="1">
      <c r="A2221" s="1" t="s">
        <v>5249</v>
      </c>
      <c r="B2221" s="1" t="s">
        <v>5250</v>
      </c>
      <c r="C2221" s="1" t="s">
        <v>531</v>
      </c>
      <c r="E2221" s="1">
        <v>22.5881164</v>
      </c>
      <c r="F2221" s="1">
        <v>88.4082462</v>
      </c>
      <c r="G2221" s="1" t="s">
        <v>2511</v>
      </c>
      <c r="H2221" s="1" t="s">
        <v>2512</v>
      </c>
      <c r="J2221" s="1" t="s">
        <v>56</v>
      </c>
      <c r="P2221" s="1" t="s">
        <v>5231</v>
      </c>
      <c r="Q2221" s="1" t="s">
        <v>5232</v>
      </c>
      <c r="R2221" s="1">
        <v>8.0</v>
      </c>
      <c r="S2221" s="1"/>
    </row>
    <row r="2222" ht="15.75" customHeight="1">
      <c r="A2222" s="1" t="s">
        <v>5251</v>
      </c>
      <c r="B2222" s="1" t="s">
        <v>5252</v>
      </c>
      <c r="C2222" s="1" t="s">
        <v>174</v>
      </c>
      <c r="K2222" s="1" t="s">
        <v>99</v>
      </c>
      <c r="L2222" s="1" t="s">
        <v>27</v>
      </c>
      <c r="N2222" s="1" t="s">
        <v>174</v>
      </c>
      <c r="O2222" s="1" t="s">
        <v>29</v>
      </c>
      <c r="P2222" s="1" t="s">
        <v>5253</v>
      </c>
      <c r="Q2222" s="1" t="s">
        <v>5254</v>
      </c>
      <c r="R2222" s="1">
        <v>0.0</v>
      </c>
      <c r="S2222" s="1"/>
    </row>
    <row r="2223" ht="15.75" customHeight="1">
      <c r="A2223" s="1" t="s">
        <v>5255</v>
      </c>
      <c r="B2223" s="1" t="s">
        <v>5256</v>
      </c>
      <c r="C2223" s="1" t="s">
        <v>174</v>
      </c>
      <c r="E2223" s="1">
        <v>28.5649034</v>
      </c>
      <c r="F2223" s="1">
        <v>77.2403317</v>
      </c>
      <c r="G2223" s="1" t="s">
        <v>22</v>
      </c>
      <c r="H2223" s="1" t="s">
        <v>23</v>
      </c>
      <c r="I2223" s="1" t="s">
        <v>24</v>
      </c>
      <c r="J2223" s="1" t="s">
        <v>56</v>
      </c>
      <c r="K2223" s="1" t="s">
        <v>26</v>
      </c>
      <c r="L2223" s="1" t="s">
        <v>27</v>
      </c>
      <c r="N2223" s="1" t="s">
        <v>174</v>
      </c>
      <c r="O2223" s="1" t="s">
        <v>57</v>
      </c>
      <c r="P2223" s="1" t="s">
        <v>5253</v>
      </c>
      <c r="Q2223" s="1" t="s">
        <v>5254</v>
      </c>
      <c r="R2223" s="1">
        <v>1.0</v>
      </c>
      <c r="S2223" s="1"/>
    </row>
    <row r="2224" ht="15.75" customHeight="1">
      <c r="A2224" s="1" t="s">
        <v>5257</v>
      </c>
      <c r="B2224" s="1" t="s">
        <v>5258</v>
      </c>
      <c r="C2224" s="1" t="s">
        <v>148</v>
      </c>
      <c r="E2224" s="1">
        <v>19.0653145</v>
      </c>
      <c r="F2224" s="1">
        <v>72.99943189999999</v>
      </c>
      <c r="G2224" s="1" t="s">
        <v>54</v>
      </c>
      <c r="H2224" s="1" t="s">
        <v>55</v>
      </c>
      <c r="J2224" s="1" t="s">
        <v>56</v>
      </c>
      <c r="K2224" s="1" t="s">
        <v>26</v>
      </c>
      <c r="L2224" s="1" t="s">
        <v>27</v>
      </c>
      <c r="N2224" s="1" t="s">
        <v>143</v>
      </c>
      <c r="O2224" s="1" t="s">
        <v>57</v>
      </c>
      <c r="P2224" s="1" t="s">
        <v>2300</v>
      </c>
      <c r="Q2224" s="1" t="s">
        <v>2301</v>
      </c>
      <c r="R2224" s="1">
        <v>0.0</v>
      </c>
      <c r="S2224" s="1"/>
    </row>
    <row r="2225" ht="15.75" customHeight="1">
      <c r="A2225" s="1" t="s">
        <v>5259</v>
      </c>
      <c r="B2225" s="1" t="s">
        <v>5260</v>
      </c>
      <c r="C2225" s="1" t="s">
        <v>617</v>
      </c>
      <c r="E2225" s="1">
        <v>26.8445626</v>
      </c>
      <c r="F2225" s="1">
        <v>80.9353651</v>
      </c>
      <c r="G2225" s="1" t="s">
        <v>2511</v>
      </c>
      <c r="H2225" s="1" t="s">
        <v>2512</v>
      </c>
      <c r="J2225" s="1" t="s">
        <v>56</v>
      </c>
      <c r="P2225" s="1" t="s">
        <v>733</v>
      </c>
      <c r="Q2225" s="1" t="s">
        <v>734</v>
      </c>
      <c r="R2225" s="1">
        <v>2.0</v>
      </c>
      <c r="S2225" s="1"/>
    </row>
    <row r="2226" ht="15.75" customHeight="1">
      <c r="A2226" s="1" t="s">
        <v>5261</v>
      </c>
      <c r="B2226" s="1" t="s">
        <v>5262</v>
      </c>
      <c r="C2226" s="1" t="s">
        <v>1035</v>
      </c>
      <c r="K2226" s="1" t="s">
        <v>99</v>
      </c>
      <c r="L2226" s="1" t="s">
        <v>27</v>
      </c>
      <c r="N2226" s="1" t="s">
        <v>1036</v>
      </c>
      <c r="O2226" s="1" t="s">
        <v>29</v>
      </c>
      <c r="P2226" s="1" t="s">
        <v>2239</v>
      </c>
      <c r="Q2226" s="1" t="s">
        <v>2240</v>
      </c>
      <c r="R2226" s="1">
        <v>0.0</v>
      </c>
      <c r="S2226" s="1"/>
    </row>
    <row r="2227" ht="15.75" customHeight="1">
      <c r="A2227" s="1" t="s">
        <v>5263</v>
      </c>
      <c r="B2227" s="1" t="s">
        <v>5264</v>
      </c>
      <c r="C2227" s="1" t="s">
        <v>1716</v>
      </c>
      <c r="K2227" s="1" t="s">
        <v>99</v>
      </c>
      <c r="L2227" s="1" t="s">
        <v>27</v>
      </c>
      <c r="N2227" s="1" t="s">
        <v>163</v>
      </c>
      <c r="O2227" s="1" t="s">
        <v>29</v>
      </c>
      <c r="P2227" s="1" t="s">
        <v>2239</v>
      </c>
      <c r="Q2227" s="1" t="s">
        <v>2240</v>
      </c>
      <c r="R2227" s="1">
        <v>0.0</v>
      </c>
      <c r="S2227" s="1"/>
    </row>
    <row r="2228" ht="15.75" customHeight="1">
      <c r="A2228" s="1" t="s">
        <v>5265</v>
      </c>
      <c r="B2228" s="1" t="s">
        <v>5266</v>
      </c>
      <c r="C2228" s="1" t="s">
        <v>1716</v>
      </c>
      <c r="K2228" s="1" t="s">
        <v>99</v>
      </c>
      <c r="L2228" s="1" t="s">
        <v>27</v>
      </c>
      <c r="N2228" s="1" t="s">
        <v>163</v>
      </c>
      <c r="O2228" s="1" t="s">
        <v>29</v>
      </c>
      <c r="P2228" s="1" t="s">
        <v>2239</v>
      </c>
      <c r="Q2228" s="1" t="s">
        <v>2240</v>
      </c>
      <c r="R2228" s="1">
        <v>0.0</v>
      </c>
      <c r="S2228" s="1"/>
    </row>
    <row r="2229" ht="15.75" customHeight="1">
      <c r="A2229" s="1" t="s">
        <v>5267</v>
      </c>
      <c r="B2229" s="1" t="s">
        <v>5268</v>
      </c>
      <c r="C2229" s="1" t="s">
        <v>151</v>
      </c>
      <c r="E2229" s="1">
        <v>18.4614367</v>
      </c>
      <c r="F2229" s="1">
        <v>73.8270342</v>
      </c>
      <c r="G2229" s="1" t="s">
        <v>2511</v>
      </c>
      <c r="H2229" s="1" t="s">
        <v>2512</v>
      </c>
      <c r="J2229" s="1" t="s">
        <v>56</v>
      </c>
      <c r="P2229" s="1" t="s">
        <v>2239</v>
      </c>
      <c r="Q2229" s="1" t="s">
        <v>2240</v>
      </c>
      <c r="R2229" s="1">
        <v>5.0</v>
      </c>
      <c r="S2229" s="1"/>
    </row>
    <row r="2230" ht="15.75" customHeight="1">
      <c r="A2230" s="1" t="s">
        <v>5269</v>
      </c>
      <c r="B2230" s="1" t="s">
        <v>5270</v>
      </c>
      <c r="C2230" s="1" t="s">
        <v>151</v>
      </c>
      <c r="E2230" s="1">
        <v>28.4892807</v>
      </c>
      <c r="F2230" s="1">
        <v>77.0657955</v>
      </c>
      <c r="G2230" s="1" t="s">
        <v>2511</v>
      </c>
      <c r="H2230" s="1" t="s">
        <v>2512</v>
      </c>
      <c r="J2230" s="1" t="s">
        <v>56</v>
      </c>
      <c r="P2230" s="1" t="s">
        <v>2239</v>
      </c>
      <c r="Q2230" s="1" t="s">
        <v>2240</v>
      </c>
      <c r="R2230" s="1">
        <v>6.0</v>
      </c>
      <c r="S2230" s="1"/>
    </row>
    <row r="2231" ht="15.75" customHeight="1">
      <c r="A2231" s="1" t="s">
        <v>5271</v>
      </c>
      <c r="B2231" s="1" t="s">
        <v>5272</v>
      </c>
      <c r="C2231" s="1" t="s">
        <v>1716</v>
      </c>
      <c r="K2231" s="1" t="s">
        <v>99</v>
      </c>
      <c r="L2231" s="1" t="s">
        <v>27</v>
      </c>
      <c r="N2231" s="1" t="s">
        <v>163</v>
      </c>
      <c r="O2231" s="1" t="s">
        <v>29</v>
      </c>
      <c r="P2231" s="1" t="s">
        <v>2239</v>
      </c>
      <c r="Q2231" s="1" t="s">
        <v>2240</v>
      </c>
      <c r="R2231" s="1">
        <v>0.0</v>
      </c>
      <c r="S2231" s="1"/>
    </row>
    <row r="2232" ht="15.75" customHeight="1">
      <c r="A2232" s="1" t="s">
        <v>5273</v>
      </c>
      <c r="B2232" s="1" t="s">
        <v>5274</v>
      </c>
      <c r="C2232" s="1" t="s">
        <v>2012</v>
      </c>
      <c r="E2232" s="1">
        <v>19.0349561</v>
      </c>
      <c r="F2232" s="1">
        <v>74.7196757</v>
      </c>
      <c r="G2232" s="1" t="s">
        <v>2511</v>
      </c>
      <c r="H2232" s="1" t="s">
        <v>2512</v>
      </c>
      <c r="J2232" s="1" t="s">
        <v>56</v>
      </c>
      <c r="P2232" s="1" t="s">
        <v>2239</v>
      </c>
      <c r="Q2232" s="1" t="s">
        <v>2240</v>
      </c>
      <c r="R2232" s="1">
        <v>1.0</v>
      </c>
      <c r="S2232" s="1"/>
    </row>
    <row r="2233" ht="15.75" customHeight="1">
      <c r="A2233" s="1" t="s">
        <v>5275</v>
      </c>
      <c r="B2233" s="1" t="s">
        <v>5276</v>
      </c>
      <c r="C2233" s="1" t="s">
        <v>1716</v>
      </c>
      <c r="K2233" s="1" t="s">
        <v>99</v>
      </c>
      <c r="L2233" s="1" t="s">
        <v>27</v>
      </c>
      <c r="N2233" s="1" t="s">
        <v>163</v>
      </c>
      <c r="O2233" s="1" t="s">
        <v>29</v>
      </c>
      <c r="P2233" s="1" t="s">
        <v>2239</v>
      </c>
      <c r="Q2233" s="1" t="s">
        <v>2240</v>
      </c>
      <c r="R2233" s="1">
        <v>0.0</v>
      </c>
      <c r="S2233" s="1"/>
    </row>
    <row r="2234" ht="15.75" customHeight="1">
      <c r="A2234" s="1" t="s">
        <v>5277</v>
      </c>
      <c r="B2234" s="1" t="s">
        <v>5278</v>
      </c>
      <c r="C2234" s="1" t="s">
        <v>5279</v>
      </c>
      <c r="K2234" s="1" t="s">
        <v>99</v>
      </c>
      <c r="L2234" s="1" t="s">
        <v>27</v>
      </c>
      <c r="N2234" s="1" t="s">
        <v>3172</v>
      </c>
      <c r="O2234" s="1" t="s">
        <v>29</v>
      </c>
      <c r="P2234" s="1" t="s">
        <v>2239</v>
      </c>
      <c r="Q2234" s="1" t="s">
        <v>2240</v>
      </c>
      <c r="R2234" s="1">
        <v>0.0</v>
      </c>
      <c r="S2234" s="1"/>
    </row>
    <row r="2235" ht="15.75" customHeight="1">
      <c r="A2235" s="1" t="s">
        <v>5280</v>
      </c>
      <c r="B2235" s="1" t="s">
        <v>5281</v>
      </c>
      <c r="C2235" s="1" t="s">
        <v>848</v>
      </c>
      <c r="K2235" s="1" t="s">
        <v>99</v>
      </c>
      <c r="L2235" s="1" t="s">
        <v>27</v>
      </c>
      <c r="N2235" s="1" t="s">
        <v>849</v>
      </c>
      <c r="O2235" s="1" t="s">
        <v>29</v>
      </c>
      <c r="P2235" s="1" t="s">
        <v>2239</v>
      </c>
      <c r="Q2235" s="1" t="s">
        <v>2240</v>
      </c>
      <c r="R2235" s="1">
        <v>0.0</v>
      </c>
      <c r="S2235" s="1"/>
    </row>
    <row r="2236" ht="15.75" customHeight="1">
      <c r="A2236" s="1" t="s">
        <v>5282</v>
      </c>
      <c r="B2236" s="1" t="s">
        <v>5283</v>
      </c>
      <c r="C2236" s="1" t="s">
        <v>848</v>
      </c>
      <c r="K2236" s="1" t="s">
        <v>99</v>
      </c>
      <c r="L2236" s="1" t="s">
        <v>27</v>
      </c>
      <c r="N2236" s="1" t="s">
        <v>849</v>
      </c>
      <c r="O2236" s="1" t="s">
        <v>29</v>
      </c>
      <c r="P2236" s="1" t="s">
        <v>2239</v>
      </c>
      <c r="Q2236" s="1" t="s">
        <v>2240</v>
      </c>
      <c r="R2236" s="1">
        <v>0.0</v>
      </c>
      <c r="S2236" s="1"/>
    </row>
    <row r="2237" ht="15.75" customHeight="1">
      <c r="A2237" s="1" t="s">
        <v>5284</v>
      </c>
      <c r="B2237" s="1" t="s">
        <v>5285</v>
      </c>
      <c r="C2237" s="1" t="s">
        <v>848</v>
      </c>
      <c r="K2237" s="1" t="s">
        <v>99</v>
      </c>
      <c r="L2237" s="1" t="s">
        <v>27</v>
      </c>
      <c r="N2237" s="1" t="s">
        <v>849</v>
      </c>
      <c r="O2237" s="1" t="s">
        <v>29</v>
      </c>
      <c r="P2237" s="1" t="s">
        <v>2239</v>
      </c>
      <c r="Q2237" s="1" t="s">
        <v>2240</v>
      </c>
      <c r="R2237" s="1">
        <v>0.0</v>
      </c>
      <c r="S2237" s="1"/>
    </row>
    <row r="2238" ht="15.75" customHeight="1">
      <c r="A2238" s="1" t="s">
        <v>5286</v>
      </c>
      <c r="B2238" s="1" t="s">
        <v>5287</v>
      </c>
      <c r="C2238" s="1" t="s">
        <v>848</v>
      </c>
      <c r="K2238" s="1" t="s">
        <v>99</v>
      </c>
      <c r="L2238" s="1" t="s">
        <v>27</v>
      </c>
      <c r="N2238" s="1" t="s">
        <v>849</v>
      </c>
      <c r="O2238" s="1" t="s">
        <v>29</v>
      </c>
      <c r="P2238" s="1" t="s">
        <v>2239</v>
      </c>
      <c r="Q2238" s="1" t="s">
        <v>2240</v>
      </c>
      <c r="R2238" s="1">
        <v>0.0</v>
      </c>
      <c r="S2238" s="1"/>
    </row>
    <row r="2239" ht="15.75" customHeight="1">
      <c r="A2239" s="1" t="s">
        <v>5288</v>
      </c>
      <c r="B2239" s="1" t="s">
        <v>5289</v>
      </c>
      <c r="C2239" s="1" t="s">
        <v>848</v>
      </c>
      <c r="K2239" s="1" t="s">
        <v>99</v>
      </c>
      <c r="L2239" s="1" t="s">
        <v>27</v>
      </c>
      <c r="N2239" s="1" t="s">
        <v>849</v>
      </c>
      <c r="O2239" s="1" t="s">
        <v>29</v>
      </c>
      <c r="P2239" s="1" t="s">
        <v>2239</v>
      </c>
      <c r="Q2239" s="1" t="s">
        <v>2240</v>
      </c>
      <c r="R2239" s="1">
        <v>0.0</v>
      </c>
      <c r="S2239" s="1"/>
    </row>
    <row r="2240" ht="15.75" customHeight="1">
      <c r="A2240" s="1" t="s">
        <v>5290</v>
      </c>
      <c r="B2240" s="1" t="s">
        <v>5291</v>
      </c>
      <c r="C2240" s="1" t="s">
        <v>848</v>
      </c>
      <c r="K2240" s="1" t="s">
        <v>99</v>
      </c>
      <c r="L2240" s="1" t="s">
        <v>27</v>
      </c>
      <c r="N2240" s="1" t="s">
        <v>849</v>
      </c>
      <c r="O2240" s="1" t="s">
        <v>29</v>
      </c>
      <c r="P2240" s="1" t="s">
        <v>2239</v>
      </c>
      <c r="Q2240" s="1" t="s">
        <v>2240</v>
      </c>
      <c r="R2240" s="1">
        <v>0.0</v>
      </c>
      <c r="S2240" s="1"/>
    </row>
    <row r="2241" ht="15.75" customHeight="1">
      <c r="A2241" s="1" t="s">
        <v>5292</v>
      </c>
      <c r="B2241" s="1" t="s">
        <v>5293</v>
      </c>
      <c r="C2241" s="1" t="s">
        <v>848</v>
      </c>
      <c r="K2241" s="1" t="s">
        <v>99</v>
      </c>
      <c r="L2241" s="1" t="s">
        <v>27</v>
      </c>
      <c r="N2241" s="1" t="s">
        <v>849</v>
      </c>
      <c r="O2241" s="1" t="s">
        <v>29</v>
      </c>
      <c r="P2241" s="1" t="s">
        <v>2239</v>
      </c>
      <c r="Q2241" s="1" t="s">
        <v>2240</v>
      </c>
      <c r="R2241" s="1">
        <v>0.0</v>
      </c>
      <c r="S2241" s="1"/>
    </row>
    <row r="2242" ht="15.75" customHeight="1">
      <c r="A2242" s="1" t="s">
        <v>5294</v>
      </c>
      <c r="B2242" s="1" t="s">
        <v>5295</v>
      </c>
      <c r="C2242" s="1" t="s">
        <v>848</v>
      </c>
      <c r="K2242" s="1" t="s">
        <v>99</v>
      </c>
      <c r="L2242" s="1" t="s">
        <v>27</v>
      </c>
      <c r="N2242" s="1" t="s">
        <v>849</v>
      </c>
      <c r="O2242" s="1" t="s">
        <v>29</v>
      </c>
      <c r="P2242" s="1" t="s">
        <v>2239</v>
      </c>
      <c r="Q2242" s="1" t="s">
        <v>2240</v>
      </c>
      <c r="R2242" s="1">
        <v>0.0</v>
      </c>
      <c r="S2242" s="1"/>
    </row>
    <row r="2243" ht="15.75" customHeight="1">
      <c r="A2243" s="1" t="s">
        <v>5296</v>
      </c>
      <c r="B2243" s="1" t="s">
        <v>5297</v>
      </c>
      <c r="C2243" s="1" t="s">
        <v>848</v>
      </c>
      <c r="K2243" s="1" t="s">
        <v>99</v>
      </c>
      <c r="L2243" s="1" t="s">
        <v>27</v>
      </c>
      <c r="N2243" s="1" t="s">
        <v>849</v>
      </c>
      <c r="O2243" s="1" t="s">
        <v>29</v>
      </c>
      <c r="P2243" s="1" t="s">
        <v>2239</v>
      </c>
      <c r="Q2243" s="1" t="s">
        <v>2240</v>
      </c>
      <c r="R2243" s="1">
        <v>0.0</v>
      </c>
      <c r="S2243" s="1"/>
    </row>
    <row r="2244" ht="15.75" customHeight="1">
      <c r="A2244" s="1" t="s">
        <v>5298</v>
      </c>
      <c r="B2244" s="1" t="s">
        <v>5299</v>
      </c>
      <c r="C2244" s="1" t="s">
        <v>848</v>
      </c>
      <c r="K2244" s="1" t="s">
        <v>99</v>
      </c>
      <c r="L2244" s="1" t="s">
        <v>27</v>
      </c>
      <c r="N2244" s="1" t="s">
        <v>849</v>
      </c>
      <c r="O2244" s="1" t="s">
        <v>29</v>
      </c>
      <c r="P2244" s="1" t="s">
        <v>2239</v>
      </c>
      <c r="Q2244" s="1" t="s">
        <v>2240</v>
      </c>
      <c r="R2244" s="1">
        <v>0.0</v>
      </c>
      <c r="S2244" s="1"/>
    </row>
    <row r="2245" ht="15.75" customHeight="1">
      <c r="A2245" s="1" t="s">
        <v>5300</v>
      </c>
      <c r="B2245" s="1" t="s">
        <v>5301</v>
      </c>
      <c r="C2245" s="1" t="s">
        <v>848</v>
      </c>
      <c r="K2245" s="1" t="s">
        <v>99</v>
      </c>
      <c r="L2245" s="1" t="s">
        <v>27</v>
      </c>
      <c r="N2245" s="1" t="s">
        <v>849</v>
      </c>
      <c r="O2245" s="1" t="s">
        <v>29</v>
      </c>
      <c r="P2245" s="1" t="s">
        <v>2140</v>
      </c>
      <c r="Q2245" s="1" t="s">
        <v>2141</v>
      </c>
      <c r="R2245" s="1">
        <v>0.0</v>
      </c>
      <c r="S2245" s="1"/>
    </row>
    <row r="2246" ht="15.75" customHeight="1">
      <c r="A2246" s="1" t="s">
        <v>5302</v>
      </c>
      <c r="B2246" s="1" t="s">
        <v>5303</v>
      </c>
      <c r="C2246" s="1" t="s">
        <v>848</v>
      </c>
      <c r="K2246" s="1" t="s">
        <v>99</v>
      </c>
      <c r="L2246" s="1" t="s">
        <v>27</v>
      </c>
      <c r="N2246" s="1" t="s">
        <v>849</v>
      </c>
      <c r="O2246" s="1" t="s">
        <v>29</v>
      </c>
      <c r="P2246" s="1" t="s">
        <v>2213</v>
      </c>
      <c r="Q2246" s="1" t="s">
        <v>2214</v>
      </c>
      <c r="R2246" s="1">
        <v>0.0</v>
      </c>
      <c r="S2246" s="1"/>
    </row>
    <row r="2247" ht="15.75" customHeight="1">
      <c r="A2247" s="1" t="s">
        <v>5304</v>
      </c>
      <c r="B2247" s="1" t="s">
        <v>5305</v>
      </c>
      <c r="C2247" s="1" t="s">
        <v>848</v>
      </c>
      <c r="K2247" s="1" t="s">
        <v>99</v>
      </c>
      <c r="L2247" s="1" t="s">
        <v>27</v>
      </c>
      <c r="N2247" s="1" t="s">
        <v>849</v>
      </c>
      <c r="O2247" s="1" t="s">
        <v>29</v>
      </c>
      <c r="P2247" s="1" t="s">
        <v>2140</v>
      </c>
      <c r="Q2247" s="1" t="s">
        <v>2141</v>
      </c>
      <c r="R2247" s="1">
        <v>0.0</v>
      </c>
      <c r="S2247" s="1"/>
    </row>
    <row r="2248" ht="15.75" customHeight="1">
      <c r="A2248" s="1" t="s">
        <v>5306</v>
      </c>
      <c r="B2248" s="1" t="s">
        <v>5307</v>
      </c>
      <c r="C2248" s="1" t="s">
        <v>162</v>
      </c>
      <c r="E2248" s="1">
        <v>28.4116183</v>
      </c>
      <c r="F2248" s="1">
        <v>77.3352326</v>
      </c>
      <c r="G2248" s="1" t="s">
        <v>2511</v>
      </c>
      <c r="H2248" s="1" t="s">
        <v>2512</v>
      </c>
      <c r="J2248" s="1" t="s">
        <v>56</v>
      </c>
      <c r="P2248" s="1" t="s">
        <v>5308</v>
      </c>
      <c r="Q2248" s="1" t="s">
        <v>5309</v>
      </c>
      <c r="R2248" s="1">
        <v>1.0</v>
      </c>
      <c r="S2248" s="1"/>
    </row>
    <row r="2249" ht="15.75" customHeight="1">
      <c r="A2249" s="1" t="s">
        <v>5310</v>
      </c>
      <c r="B2249" s="1" t="s">
        <v>5311</v>
      </c>
      <c r="C2249" s="1" t="s">
        <v>848</v>
      </c>
      <c r="K2249" s="1" t="s">
        <v>99</v>
      </c>
      <c r="L2249" s="1" t="s">
        <v>27</v>
      </c>
      <c r="N2249" s="1" t="s">
        <v>849</v>
      </c>
      <c r="O2249" s="1" t="s">
        <v>29</v>
      </c>
      <c r="P2249" s="1" t="s">
        <v>5308</v>
      </c>
      <c r="Q2249" s="1" t="s">
        <v>5309</v>
      </c>
      <c r="R2249" s="1">
        <v>0.0</v>
      </c>
      <c r="S2249" s="1"/>
    </row>
    <row r="2250" ht="15.75" customHeight="1">
      <c r="A2250" s="1" t="s">
        <v>5312</v>
      </c>
      <c r="B2250" s="1" t="s">
        <v>5313</v>
      </c>
      <c r="C2250" s="1" t="s">
        <v>531</v>
      </c>
      <c r="E2250" s="1">
        <v>22.5655254</v>
      </c>
      <c r="F2250" s="1">
        <v>88.35666289999999</v>
      </c>
      <c r="G2250" s="1" t="s">
        <v>2511</v>
      </c>
      <c r="H2250" s="1" t="s">
        <v>2512</v>
      </c>
      <c r="J2250" s="1" t="s">
        <v>56</v>
      </c>
      <c r="P2250" s="1" t="s">
        <v>5231</v>
      </c>
      <c r="Q2250" s="1" t="s">
        <v>5232</v>
      </c>
      <c r="R2250" s="1">
        <v>1.0</v>
      </c>
      <c r="S2250" s="1"/>
    </row>
    <row r="2251" ht="15.75" customHeight="1">
      <c r="A2251" s="1" t="s">
        <v>5314</v>
      </c>
      <c r="B2251" s="1" t="s">
        <v>5315</v>
      </c>
      <c r="C2251" s="1" t="s">
        <v>531</v>
      </c>
      <c r="E2251" s="1">
        <v>22.4958135</v>
      </c>
      <c r="F2251" s="1">
        <v>88.38026669999999</v>
      </c>
      <c r="G2251" s="1" t="s">
        <v>2511</v>
      </c>
      <c r="H2251" s="1" t="s">
        <v>2512</v>
      </c>
      <c r="J2251" s="1" t="s">
        <v>56</v>
      </c>
      <c r="P2251" s="1" t="s">
        <v>5231</v>
      </c>
      <c r="Q2251" s="1" t="s">
        <v>5232</v>
      </c>
      <c r="R2251" s="1">
        <v>3.0</v>
      </c>
      <c r="S2251" s="1"/>
    </row>
    <row r="2252" ht="15.75" customHeight="1">
      <c r="A2252" s="1" t="s">
        <v>5316</v>
      </c>
      <c r="B2252" s="1" t="s">
        <v>5317</v>
      </c>
      <c r="C2252" s="1" t="s">
        <v>531</v>
      </c>
      <c r="E2252" s="1">
        <v>22.4484448</v>
      </c>
      <c r="F2252" s="1">
        <v>88.4563647</v>
      </c>
      <c r="G2252" s="1" t="s">
        <v>2511</v>
      </c>
      <c r="H2252" s="1" t="s">
        <v>2512</v>
      </c>
      <c r="J2252" s="1" t="s">
        <v>56</v>
      </c>
      <c r="P2252" s="1" t="s">
        <v>5231</v>
      </c>
      <c r="Q2252" s="1" t="s">
        <v>5232</v>
      </c>
      <c r="R2252" s="1">
        <v>2.0</v>
      </c>
      <c r="S2252" s="1"/>
    </row>
    <row r="2253" ht="15.75" customHeight="1">
      <c r="A2253" s="1" t="s">
        <v>5318</v>
      </c>
      <c r="B2253" s="1" t="s">
        <v>5319</v>
      </c>
      <c r="C2253" s="1" t="s">
        <v>531</v>
      </c>
      <c r="E2253" s="1">
        <v>22.6640499</v>
      </c>
      <c r="F2253" s="1">
        <v>88.3456527</v>
      </c>
      <c r="G2253" s="1" t="s">
        <v>2511</v>
      </c>
      <c r="H2253" s="1" t="s">
        <v>2512</v>
      </c>
      <c r="J2253" s="1" t="s">
        <v>56</v>
      </c>
      <c r="P2253" s="1" t="s">
        <v>5231</v>
      </c>
      <c r="Q2253" s="1" t="s">
        <v>5232</v>
      </c>
      <c r="R2253" s="1">
        <v>3.0</v>
      </c>
      <c r="S2253" s="1"/>
    </row>
    <row r="2254" ht="15.75" customHeight="1">
      <c r="A2254" s="1" t="s">
        <v>5320</v>
      </c>
      <c r="B2254" s="1" t="s">
        <v>5321</v>
      </c>
      <c r="C2254" s="1" t="s">
        <v>848</v>
      </c>
      <c r="K2254" s="1" t="s">
        <v>99</v>
      </c>
      <c r="L2254" s="1" t="s">
        <v>27</v>
      </c>
      <c r="N2254" s="1" t="s">
        <v>849</v>
      </c>
      <c r="O2254" s="1" t="s">
        <v>29</v>
      </c>
      <c r="P2254" s="1" t="s">
        <v>733</v>
      </c>
      <c r="Q2254" s="1" t="s">
        <v>734</v>
      </c>
      <c r="R2254" s="1">
        <v>0.0</v>
      </c>
      <c r="S2254" s="1"/>
    </row>
    <row r="2255" ht="15.75" customHeight="1">
      <c r="A2255" s="1" t="s">
        <v>5322</v>
      </c>
      <c r="B2255" s="1" t="s">
        <v>5323</v>
      </c>
      <c r="C2255" s="1" t="s">
        <v>848</v>
      </c>
      <c r="K2255" s="1" t="s">
        <v>99</v>
      </c>
      <c r="L2255" s="1" t="s">
        <v>27</v>
      </c>
      <c r="N2255" s="1" t="s">
        <v>849</v>
      </c>
      <c r="O2255" s="1" t="s">
        <v>29</v>
      </c>
      <c r="P2255" s="1" t="s">
        <v>733</v>
      </c>
      <c r="Q2255" s="1" t="s">
        <v>734</v>
      </c>
      <c r="R2255" s="1">
        <v>0.0</v>
      </c>
      <c r="S2255" s="1"/>
    </row>
    <row r="2256" ht="15.75" customHeight="1">
      <c r="A2256" s="1" t="s">
        <v>5324</v>
      </c>
      <c r="B2256" s="1" t="s">
        <v>5325</v>
      </c>
      <c r="C2256" s="1" t="s">
        <v>848</v>
      </c>
      <c r="K2256" s="1" t="s">
        <v>99</v>
      </c>
      <c r="L2256" s="1" t="s">
        <v>27</v>
      </c>
      <c r="N2256" s="1" t="s">
        <v>849</v>
      </c>
      <c r="O2256" s="1" t="s">
        <v>29</v>
      </c>
      <c r="P2256" s="1" t="s">
        <v>733</v>
      </c>
      <c r="Q2256" s="1" t="s">
        <v>734</v>
      </c>
      <c r="R2256" s="1">
        <v>0.0</v>
      </c>
      <c r="S2256" s="1"/>
    </row>
    <row r="2257" ht="15.75" customHeight="1">
      <c r="A2257" s="1" t="s">
        <v>5326</v>
      </c>
      <c r="B2257" s="1" t="s">
        <v>5327</v>
      </c>
      <c r="C2257" s="1" t="s">
        <v>848</v>
      </c>
      <c r="K2257" s="1" t="s">
        <v>99</v>
      </c>
      <c r="L2257" s="1" t="s">
        <v>27</v>
      </c>
      <c r="N2257" s="1" t="s">
        <v>849</v>
      </c>
      <c r="O2257" s="1" t="s">
        <v>29</v>
      </c>
      <c r="P2257" s="1" t="s">
        <v>733</v>
      </c>
      <c r="Q2257" s="1" t="s">
        <v>734</v>
      </c>
      <c r="R2257" s="1">
        <v>0.0</v>
      </c>
      <c r="S2257" s="1"/>
    </row>
    <row r="2258" ht="15.75" customHeight="1">
      <c r="A2258" s="1" t="s">
        <v>1829</v>
      </c>
      <c r="B2258" s="1" t="s">
        <v>1828</v>
      </c>
      <c r="C2258" s="1" t="s">
        <v>1832</v>
      </c>
      <c r="E2258" s="1">
        <v>28.7412963</v>
      </c>
      <c r="F2258" s="1">
        <v>77.1199874</v>
      </c>
      <c r="G2258" s="1" t="s">
        <v>2511</v>
      </c>
      <c r="H2258" s="1" t="s">
        <v>2512</v>
      </c>
      <c r="J2258" s="1" t="s">
        <v>56</v>
      </c>
      <c r="K2258" s="1" t="s">
        <v>99</v>
      </c>
      <c r="L2258" s="1" t="s">
        <v>27</v>
      </c>
      <c r="N2258" s="1" t="s">
        <v>28</v>
      </c>
      <c r="O2258" s="1" t="s">
        <v>29</v>
      </c>
      <c r="P2258" s="1" t="s">
        <v>2140</v>
      </c>
      <c r="Q2258" s="1" t="s">
        <v>2141</v>
      </c>
      <c r="R2258" s="1">
        <v>5.0</v>
      </c>
      <c r="S2258" s="1" t="str">
        <f>IFERROR(__xludf.DUMMYFUNCTION("""COMPUTED_VALUE"""),"store_004020")</f>
        <v>store_004020</v>
      </c>
    </row>
    <row r="2259" ht="15.75" customHeight="1">
      <c r="A2259" s="1" t="s">
        <v>5328</v>
      </c>
      <c r="B2259" s="1" t="s">
        <v>5329</v>
      </c>
      <c r="C2259" s="1" t="s">
        <v>174</v>
      </c>
      <c r="E2259" s="1">
        <v>28.6757161</v>
      </c>
      <c r="F2259" s="1">
        <v>77.1990734</v>
      </c>
      <c r="G2259" s="1" t="s">
        <v>2511</v>
      </c>
      <c r="H2259" s="1" t="s">
        <v>2512</v>
      </c>
      <c r="J2259" s="1" t="s">
        <v>56</v>
      </c>
      <c r="P2259" s="1" t="s">
        <v>5330</v>
      </c>
      <c r="Q2259" s="1" t="s">
        <v>5331</v>
      </c>
      <c r="R2259" s="1">
        <v>8.0</v>
      </c>
      <c r="S2259" s="1"/>
    </row>
    <row r="2260" ht="15.75" customHeight="1">
      <c r="A2260" s="1" t="s">
        <v>5332</v>
      </c>
      <c r="B2260" s="1" t="s">
        <v>5333</v>
      </c>
      <c r="C2260" s="1" t="s">
        <v>174</v>
      </c>
      <c r="E2260" s="1">
        <v>28.6705891</v>
      </c>
      <c r="F2260" s="1">
        <v>77.20257269999999</v>
      </c>
      <c r="G2260" s="1" t="s">
        <v>2511</v>
      </c>
      <c r="H2260" s="1" t="s">
        <v>2512</v>
      </c>
      <c r="J2260" s="1" t="s">
        <v>56</v>
      </c>
      <c r="K2260" s="1" t="s">
        <v>99</v>
      </c>
      <c r="L2260" s="1" t="s">
        <v>27</v>
      </c>
      <c r="N2260" s="1" t="s">
        <v>174</v>
      </c>
      <c r="O2260" s="1" t="s">
        <v>29</v>
      </c>
      <c r="P2260" s="1" t="s">
        <v>5334</v>
      </c>
      <c r="Q2260" s="1" t="s">
        <v>5335</v>
      </c>
      <c r="R2260" s="1">
        <v>14.0</v>
      </c>
      <c r="S2260" s="1"/>
    </row>
    <row r="2261" ht="15.75" customHeight="1">
      <c r="A2261" s="1" t="s">
        <v>5336</v>
      </c>
      <c r="B2261" s="1" t="s">
        <v>5337</v>
      </c>
      <c r="C2261" s="1" t="s">
        <v>531</v>
      </c>
      <c r="E2261" s="1">
        <v>22.9678456</v>
      </c>
      <c r="F2261" s="1">
        <v>88.53006730000001</v>
      </c>
      <c r="G2261" s="1" t="s">
        <v>2511</v>
      </c>
      <c r="H2261" s="1" t="s">
        <v>2512</v>
      </c>
      <c r="J2261" s="1" t="s">
        <v>56</v>
      </c>
      <c r="P2261" s="1" t="s">
        <v>5231</v>
      </c>
      <c r="Q2261" s="1" t="s">
        <v>5232</v>
      </c>
      <c r="R2261" s="1">
        <v>2.0</v>
      </c>
      <c r="S2261" s="1"/>
    </row>
    <row r="2262" ht="15.75" customHeight="1">
      <c r="A2262" s="1" t="s">
        <v>5338</v>
      </c>
      <c r="B2262" s="1" t="s">
        <v>5339</v>
      </c>
      <c r="C2262" s="1" t="s">
        <v>531</v>
      </c>
      <c r="E2262" s="1">
        <v>22.5639935</v>
      </c>
      <c r="F2262" s="1">
        <v>88.1542511</v>
      </c>
      <c r="G2262" s="1" t="s">
        <v>2511</v>
      </c>
      <c r="H2262" s="1" t="s">
        <v>2512</v>
      </c>
      <c r="J2262" s="1" t="s">
        <v>56</v>
      </c>
      <c r="P2262" s="1" t="s">
        <v>5231</v>
      </c>
      <c r="Q2262" s="1" t="s">
        <v>5232</v>
      </c>
      <c r="R2262" s="1">
        <v>1.0</v>
      </c>
      <c r="S2262" s="1"/>
    </row>
    <row r="2263" ht="15.75" customHeight="1">
      <c r="A2263" s="1" t="s">
        <v>5340</v>
      </c>
      <c r="B2263" s="1" t="s">
        <v>5341</v>
      </c>
      <c r="C2263" s="1" t="s">
        <v>531</v>
      </c>
      <c r="E2263" s="1">
        <v>22.5219179</v>
      </c>
      <c r="F2263" s="1">
        <v>88.396896</v>
      </c>
      <c r="G2263" s="1" t="s">
        <v>2511</v>
      </c>
      <c r="H2263" s="1" t="s">
        <v>2512</v>
      </c>
      <c r="J2263" s="1" t="s">
        <v>56</v>
      </c>
      <c r="P2263" s="1" t="s">
        <v>5231</v>
      </c>
      <c r="Q2263" s="1" t="s">
        <v>5232</v>
      </c>
      <c r="R2263" s="1">
        <v>1.0</v>
      </c>
      <c r="S2263" s="1"/>
    </row>
    <row r="2264" ht="15.75" customHeight="1">
      <c r="A2264" s="1" t="s">
        <v>5342</v>
      </c>
      <c r="B2264" s="1" t="s">
        <v>5343</v>
      </c>
      <c r="C2264" s="1" t="s">
        <v>5344</v>
      </c>
      <c r="K2264" s="1" t="s">
        <v>99</v>
      </c>
      <c r="L2264" s="1" t="s">
        <v>27</v>
      </c>
      <c r="N2264" s="1" t="s">
        <v>5345</v>
      </c>
      <c r="O2264" s="1" t="s">
        <v>29</v>
      </c>
      <c r="P2264" s="1" t="s">
        <v>3297</v>
      </c>
      <c r="Q2264" s="1" t="s">
        <v>3298</v>
      </c>
      <c r="R2264" s="1">
        <v>0.0</v>
      </c>
      <c r="S2264" s="1"/>
    </row>
    <row r="2265" ht="15.75" customHeight="1">
      <c r="A2265" s="1" t="s">
        <v>5346</v>
      </c>
      <c r="B2265" s="1" t="s">
        <v>5347</v>
      </c>
      <c r="C2265" s="1" t="s">
        <v>38</v>
      </c>
      <c r="E2265" s="1">
        <v>28.6454963</v>
      </c>
      <c r="F2265" s="1">
        <v>77.34301409999999</v>
      </c>
      <c r="G2265" s="1" t="s">
        <v>2511</v>
      </c>
      <c r="H2265" s="1" t="s">
        <v>2512</v>
      </c>
      <c r="J2265" s="1" t="s">
        <v>56</v>
      </c>
      <c r="P2265" s="1" t="s">
        <v>2167</v>
      </c>
      <c r="Q2265" s="1" t="s">
        <v>2168</v>
      </c>
      <c r="R2265" s="1">
        <v>6.0</v>
      </c>
      <c r="S2265" s="1"/>
    </row>
    <row r="2266" ht="15.75" customHeight="1">
      <c r="A2266" s="1" t="s">
        <v>5348</v>
      </c>
      <c r="B2266" s="1" t="s">
        <v>5349</v>
      </c>
      <c r="C2266" s="1" t="s">
        <v>531</v>
      </c>
      <c r="E2266" s="1">
        <v>22.5184698</v>
      </c>
      <c r="F2266" s="1">
        <v>88.34791109999999</v>
      </c>
      <c r="G2266" s="1" t="s">
        <v>2511</v>
      </c>
      <c r="H2266" s="1" t="s">
        <v>2512</v>
      </c>
      <c r="J2266" s="1" t="s">
        <v>56</v>
      </c>
      <c r="P2266" s="1" t="s">
        <v>5231</v>
      </c>
      <c r="Q2266" s="1" t="s">
        <v>5232</v>
      </c>
      <c r="R2266" s="1">
        <v>2.0</v>
      </c>
      <c r="S2266" s="1"/>
    </row>
    <row r="2267" ht="15.75" customHeight="1">
      <c r="A2267" s="1" t="s">
        <v>5350</v>
      </c>
      <c r="B2267" s="1" t="s">
        <v>5351</v>
      </c>
      <c r="C2267" s="1" t="s">
        <v>3104</v>
      </c>
      <c r="K2267" s="1" t="s">
        <v>99</v>
      </c>
      <c r="L2267" s="1" t="s">
        <v>27</v>
      </c>
      <c r="N2267" s="1" t="s">
        <v>849</v>
      </c>
      <c r="O2267" s="1" t="s">
        <v>29</v>
      </c>
      <c r="P2267" s="1" t="s">
        <v>938</v>
      </c>
      <c r="Q2267" s="1" t="s">
        <v>939</v>
      </c>
      <c r="R2267" s="1">
        <v>0.0</v>
      </c>
      <c r="S2267" s="1"/>
    </row>
    <row r="2268" ht="15.75" customHeight="1">
      <c r="A2268" s="1" t="s">
        <v>5352</v>
      </c>
      <c r="B2268" s="1" t="s">
        <v>5353</v>
      </c>
      <c r="C2268" s="1" t="s">
        <v>3104</v>
      </c>
      <c r="K2268" s="1" t="s">
        <v>99</v>
      </c>
      <c r="L2268" s="1" t="s">
        <v>27</v>
      </c>
      <c r="N2268" s="1" t="s">
        <v>849</v>
      </c>
      <c r="O2268" s="1" t="s">
        <v>29</v>
      </c>
      <c r="P2268" s="1" t="s">
        <v>973</v>
      </c>
      <c r="Q2268" s="1" t="s">
        <v>974</v>
      </c>
      <c r="R2268" s="1">
        <v>0.0</v>
      </c>
      <c r="S2268" s="1"/>
    </row>
    <row r="2269" ht="15.75" customHeight="1">
      <c r="A2269" s="1" t="s">
        <v>5354</v>
      </c>
      <c r="B2269" s="1" t="s">
        <v>5355</v>
      </c>
      <c r="C2269" s="1" t="s">
        <v>3104</v>
      </c>
      <c r="K2269" s="1" t="s">
        <v>99</v>
      </c>
      <c r="L2269" s="1" t="s">
        <v>27</v>
      </c>
      <c r="N2269" s="1" t="s">
        <v>849</v>
      </c>
      <c r="O2269" s="1" t="s">
        <v>29</v>
      </c>
      <c r="P2269" s="1" t="s">
        <v>938</v>
      </c>
      <c r="Q2269" s="1" t="s">
        <v>939</v>
      </c>
      <c r="R2269" s="1">
        <v>0.0</v>
      </c>
      <c r="S2269" s="1"/>
    </row>
    <row r="2270" ht="15.75" customHeight="1">
      <c r="A2270" s="1" t="s">
        <v>5356</v>
      </c>
      <c r="B2270" s="1" t="s">
        <v>5357</v>
      </c>
      <c r="C2270" s="1" t="s">
        <v>3104</v>
      </c>
      <c r="K2270" s="1" t="s">
        <v>99</v>
      </c>
      <c r="L2270" s="1" t="s">
        <v>27</v>
      </c>
      <c r="N2270" s="1" t="s">
        <v>849</v>
      </c>
      <c r="O2270" s="1" t="s">
        <v>29</v>
      </c>
      <c r="P2270" s="1" t="s">
        <v>938</v>
      </c>
      <c r="Q2270" s="1" t="s">
        <v>939</v>
      </c>
      <c r="R2270" s="1">
        <v>0.0</v>
      </c>
      <c r="S2270" s="1"/>
    </row>
    <row r="2271" ht="15.75" customHeight="1">
      <c r="A2271" s="1" t="s">
        <v>5358</v>
      </c>
      <c r="B2271" s="1" t="s">
        <v>5359</v>
      </c>
      <c r="C2271" s="1" t="s">
        <v>3104</v>
      </c>
      <c r="K2271" s="1" t="s">
        <v>99</v>
      </c>
      <c r="L2271" s="1" t="s">
        <v>27</v>
      </c>
      <c r="N2271" s="1" t="s">
        <v>849</v>
      </c>
      <c r="O2271" s="1" t="s">
        <v>29</v>
      </c>
      <c r="P2271" s="1" t="s">
        <v>938</v>
      </c>
      <c r="Q2271" s="1" t="s">
        <v>939</v>
      </c>
      <c r="R2271" s="1">
        <v>0.0</v>
      </c>
      <c r="S2271" s="1"/>
    </row>
    <row r="2272" ht="15.75" customHeight="1">
      <c r="A2272" s="1" t="s">
        <v>5360</v>
      </c>
      <c r="B2272" s="1" t="s">
        <v>5361</v>
      </c>
      <c r="C2272" s="1" t="s">
        <v>630</v>
      </c>
      <c r="K2272" s="1" t="s">
        <v>99</v>
      </c>
      <c r="L2272" s="1" t="s">
        <v>27</v>
      </c>
      <c r="N2272" s="1" t="s">
        <v>28</v>
      </c>
      <c r="O2272" s="1" t="s">
        <v>29</v>
      </c>
      <c r="P2272" s="1" t="s">
        <v>938</v>
      </c>
      <c r="Q2272" s="1" t="s">
        <v>939</v>
      </c>
      <c r="R2272" s="1">
        <v>0.0</v>
      </c>
      <c r="S2272" s="1"/>
    </row>
    <row r="2273" ht="15.75" customHeight="1">
      <c r="A2273" s="1" t="s">
        <v>5362</v>
      </c>
      <c r="B2273" s="1" t="s">
        <v>5363</v>
      </c>
      <c r="C2273" s="1" t="s">
        <v>630</v>
      </c>
      <c r="K2273" s="1" t="s">
        <v>99</v>
      </c>
      <c r="L2273" s="1" t="s">
        <v>27</v>
      </c>
      <c r="N2273" s="1" t="s">
        <v>28</v>
      </c>
      <c r="O2273" s="1" t="s">
        <v>29</v>
      </c>
      <c r="P2273" s="1" t="s">
        <v>973</v>
      </c>
      <c r="Q2273" s="1" t="s">
        <v>974</v>
      </c>
      <c r="R2273" s="1">
        <v>0.0</v>
      </c>
      <c r="S2273" s="1"/>
    </row>
    <row r="2274" ht="15.75" customHeight="1">
      <c r="A2274" s="1" t="s">
        <v>5364</v>
      </c>
      <c r="B2274" s="1" t="s">
        <v>5365</v>
      </c>
      <c r="C2274" s="1" t="s">
        <v>630</v>
      </c>
      <c r="K2274" s="1" t="s">
        <v>99</v>
      </c>
      <c r="L2274" s="1" t="s">
        <v>27</v>
      </c>
      <c r="N2274" s="1" t="s">
        <v>28</v>
      </c>
      <c r="O2274" s="1" t="s">
        <v>29</v>
      </c>
      <c r="P2274" s="1" t="s">
        <v>938</v>
      </c>
      <c r="Q2274" s="1" t="s">
        <v>939</v>
      </c>
      <c r="R2274" s="1">
        <v>0.0</v>
      </c>
      <c r="S2274" s="1"/>
    </row>
    <row r="2275" ht="15.75" customHeight="1">
      <c r="A2275" s="1" t="s">
        <v>5366</v>
      </c>
      <c r="B2275" s="1" t="s">
        <v>5367</v>
      </c>
      <c r="C2275" s="1" t="s">
        <v>630</v>
      </c>
      <c r="K2275" s="1" t="s">
        <v>99</v>
      </c>
      <c r="L2275" s="1" t="s">
        <v>27</v>
      </c>
      <c r="N2275" s="1" t="s">
        <v>28</v>
      </c>
      <c r="O2275" s="1" t="s">
        <v>29</v>
      </c>
      <c r="P2275" s="1" t="s">
        <v>938</v>
      </c>
      <c r="Q2275" s="1" t="s">
        <v>939</v>
      </c>
      <c r="R2275" s="1">
        <v>0.0</v>
      </c>
      <c r="S2275" s="1"/>
    </row>
    <row r="2276" ht="15.75" customHeight="1">
      <c r="A2276" s="1" t="s">
        <v>5368</v>
      </c>
      <c r="B2276" s="1" t="s">
        <v>5369</v>
      </c>
      <c r="C2276" s="1" t="s">
        <v>630</v>
      </c>
      <c r="K2276" s="1" t="s">
        <v>99</v>
      </c>
      <c r="L2276" s="1" t="s">
        <v>27</v>
      </c>
      <c r="N2276" s="1" t="s">
        <v>28</v>
      </c>
      <c r="O2276" s="1" t="s">
        <v>29</v>
      </c>
      <c r="P2276" s="1" t="s">
        <v>938</v>
      </c>
      <c r="Q2276" s="1" t="s">
        <v>939</v>
      </c>
      <c r="R2276" s="1">
        <v>0.0</v>
      </c>
      <c r="S2276" s="1"/>
    </row>
    <row r="2277" ht="15.75" customHeight="1">
      <c r="A2277" s="1" t="s">
        <v>5370</v>
      </c>
      <c r="B2277" s="1" t="s">
        <v>5371</v>
      </c>
      <c r="C2277" s="1" t="s">
        <v>630</v>
      </c>
      <c r="K2277" s="1" t="s">
        <v>99</v>
      </c>
      <c r="L2277" s="1" t="s">
        <v>27</v>
      </c>
      <c r="N2277" s="1" t="s">
        <v>28</v>
      </c>
      <c r="O2277" s="1" t="s">
        <v>29</v>
      </c>
      <c r="P2277" s="1" t="s">
        <v>938</v>
      </c>
      <c r="Q2277" s="1" t="s">
        <v>939</v>
      </c>
      <c r="R2277" s="1">
        <v>0.0</v>
      </c>
      <c r="S2277" s="1"/>
    </row>
    <row r="2278" ht="15.75" customHeight="1">
      <c r="A2278" s="1" t="s">
        <v>5372</v>
      </c>
      <c r="B2278" s="1" t="s">
        <v>5373</v>
      </c>
      <c r="C2278" s="1" t="s">
        <v>630</v>
      </c>
      <c r="K2278" s="1" t="s">
        <v>99</v>
      </c>
      <c r="L2278" s="1" t="s">
        <v>27</v>
      </c>
      <c r="N2278" s="1" t="s">
        <v>28</v>
      </c>
      <c r="O2278" s="1" t="s">
        <v>29</v>
      </c>
      <c r="P2278" s="1" t="s">
        <v>938</v>
      </c>
      <c r="Q2278" s="1" t="s">
        <v>939</v>
      </c>
      <c r="R2278" s="1">
        <v>0.0</v>
      </c>
      <c r="S2278" s="1"/>
    </row>
    <row r="2279" ht="15.75" customHeight="1">
      <c r="A2279" s="1" t="s">
        <v>5374</v>
      </c>
      <c r="B2279" s="1" t="s">
        <v>5375</v>
      </c>
      <c r="C2279" s="1" t="s">
        <v>630</v>
      </c>
      <c r="K2279" s="1" t="s">
        <v>99</v>
      </c>
      <c r="L2279" s="1" t="s">
        <v>27</v>
      </c>
      <c r="N2279" s="1" t="s">
        <v>28</v>
      </c>
      <c r="O2279" s="1" t="s">
        <v>29</v>
      </c>
      <c r="P2279" s="1" t="s">
        <v>973</v>
      </c>
      <c r="Q2279" s="1" t="s">
        <v>974</v>
      </c>
      <c r="R2279" s="1">
        <v>0.0</v>
      </c>
      <c r="S2279" s="1"/>
    </row>
    <row r="2280" ht="15.75" customHeight="1">
      <c r="A2280" s="1" t="s">
        <v>5376</v>
      </c>
      <c r="B2280" s="1" t="s">
        <v>5377</v>
      </c>
      <c r="C2280" s="1" t="s">
        <v>630</v>
      </c>
      <c r="K2280" s="1" t="s">
        <v>99</v>
      </c>
      <c r="L2280" s="1" t="s">
        <v>27</v>
      </c>
      <c r="N2280" s="1" t="s">
        <v>28</v>
      </c>
      <c r="O2280" s="1" t="s">
        <v>29</v>
      </c>
      <c r="P2280" s="1" t="s">
        <v>938</v>
      </c>
      <c r="Q2280" s="1" t="s">
        <v>939</v>
      </c>
      <c r="R2280" s="1">
        <v>0.0</v>
      </c>
      <c r="S2280" s="1"/>
    </row>
    <row r="2281" ht="15.75" customHeight="1">
      <c r="A2281" s="1" t="s">
        <v>5378</v>
      </c>
      <c r="B2281" s="1" t="s">
        <v>5379</v>
      </c>
      <c r="C2281" s="1" t="s">
        <v>630</v>
      </c>
      <c r="K2281" s="1" t="s">
        <v>99</v>
      </c>
      <c r="L2281" s="1" t="s">
        <v>27</v>
      </c>
      <c r="N2281" s="1" t="s">
        <v>28</v>
      </c>
      <c r="O2281" s="1" t="s">
        <v>29</v>
      </c>
      <c r="P2281" s="1" t="s">
        <v>938</v>
      </c>
      <c r="Q2281" s="1" t="s">
        <v>939</v>
      </c>
      <c r="R2281" s="1">
        <v>0.0</v>
      </c>
      <c r="S2281" s="1"/>
    </row>
    <row r="2282" ht="15.75" customHeight="1">
      <c r="A2282" s="1" t="s">
        <v>5380</v>
      </c>
      <c r="B2282" s="1" t="s">
        <v>5381</v>
      </c>
      <c r="C2282" s="1" t="s">
        <v>630</v>
      </c>
      <c r="K2282" s="1" t="s">
        <v>99</v>
      </c>
      <c r="L2282" s="1" t="s">
        <v>27</v>
      </c>
      <c r="N2282" s="1" t="s">
        <v>28</v>
      </c>
      <c r="O2282" s="1" t="s">
        <v>29</v>
      </c>
      <c r="P2282" s="1" t="s">
        <v>938</v>
      </c>
      <c r="Q2282" s="1" t="s">
        <v>939</v>
      </c>
      <c r="R2282" s="1">
        <v>0.0</v>
      </c>
      <c r="S2282" s="1"/>
    </row>
    <row r="2283" ht="15.75" customHeight="1">
      <c r="A2283" s="1" t="s">
        <v>5382</v>
      </c>
      <c r="B2283" s="1" t="s">
        <v>5383</v>
      </c>
      <c r="C2283" s="1" t="s">
        <v>630</v>
      </c>
      <c r="K2283" s="1" t="s">
        <v>99</v>
      </c>
      <c r="L2283" s="1" t="s">
        <v>27</v>
      </c>
      <c r="N2283" s="1" t="s">
        <v>28</v>
      </c>
      <c r="O2283" s="1" t="s">
        <v>29</v>
      </c>
      <c r="P2283" s="1" t="s">
        <v>973</v>
      </c>
      <c r="Q2283" s="1" t="s">
        <v>974</v>
      </c>
      <c r="R2283" s="1">
        <v>0.0</v>
      </c>
      <c r="S2283" s="1"/>
    </row>
    <row r="2284" ht="15.75" customHeight="1">
      <c r="A2284" s="1" t="s">
        <v>5384</v>
      </c>
      <c r="B2284" s="1" t="s">
        <v>5385</v>
      </c>
      <c r="C2284" s="1" t="s">
        <v>630</v>
      </c>
      <c r="K2284" s="1" t="s">
        <v>99</v>
      </c>
      <c r="L2284" s="1" t="s">
        <v>27</v>
      </c>
      <c r="N2284" s="1" t="s">
        <v>28</v>
      </c>
      <c r="O2284" s="1" t="s">
        <v>29</v>
      </c>
      <c r="P2284" s="1" t="s">
        <v>973</v>
      </c>
      <c r="Q2284" s="1" t="s">
        <v>974</v>
      </c>
      <c r="R2284" s="1">
        <v>0.0</v>
      </c>
      <c r="S2284" s="1"/>
    </row>
    <row r="2285" ht="15.75" customHeight="1">
      <c r="A2285" s="1" t="s">
        <v>5386</v>
      </c>
      <c r="B2285" s="1" t="s">
        <v>5387</v>
      </c>
      <c r="C2285" s="1" t="s">
        <v>531</v>
      </c>
      <c r="K2285" s="1" t="s">
        <v>99</v>
      </c>
      <c r="L2285" s="1" t="s">
        <v>27</v>
      </c>
      <c r="N2285" s="1" t="s">
        <v>532</v>
      </c>
      <c r="O2285" s="1" t="s">
        <v>29</v>
      </c>
      <c r="P2285" s="1" t="s">
        <v>973</v>
      </c>
      <c r="Q2285" s="1" t="s">
        <v>974</v>
      </c>
      <c r="R2285" s="1">
        <v>0.0</v>
      </c>
      <c r="S2285" s="1"/>
    </row>
    <row r="2286" ht="15.75" customHeight="1">
      <c r="A2286" s="1" t="s">
        <v>5388</v>
      </c>
      <c r="B2286" s="1" t="s">
        <v>5389</v>
      </c>
      <c r="C2286" s="1" t="s">
        <v>531</v>
      </c>
      <c r="K2286" s="1" t="s">
        <v>99</v>
      </c>
      <c r="L2286" s="1" t="s">
        <v>27</v>
      </c>
      <c r="N2286" s="1" t="s">
        <v>532</v>
      </c>
      <c r="O2286" s="1" t="s">
        <v>29</v>
      </c>
      <c r="P2286" s="1" t="s">
        <v>938</v>
      </c>
      <c r="Q2286" s="1" t="s">
        <v>939</v>
      </c>
      <c r="R2286" s="1">
        <v>0.0</v>
      </c>
      <c r="S2286" s="1"/>
    </row>
    <row r="2287" ht="15.75" customHeight="1">
      <c r="A2287" s="1" t="s">
        <v>5390</v>
      </c>
      <c r="B2287" s="1" t="s">
        <v>5391</v>
      </c>
      <c r="C2287" s="1" t="s">
        <v>531</v>
      </c>
      <c r="K2287" s="1" t="s">
        <v>99</v>
      </c>
      <c r="L2287" s="1" t="s">
        <v>27</v>
      </c>
      <c r="N2287" s="1" t="s">
        <v>532</v>
      </c>
      <c r="O2287" s="1" t="s">
        <v>29</v>
      </c>
      <c r="P2287" s="1" t="s">
        <v>938</v>
      </c>
      <c r="Q2287" s="1" t="s">
        <v>939</v>
      </c>
      <c r="R2287" s="1">
        <v>0.0</v>
      </c>
      <c r="S2287" s="1"/>
    </row>
    <row r="2288" ht="15.75" customHeight="1">
      <c r="A2288" s="1" t="s">
        <v>5392</v>
      </c>
      <c r="B2288" s="1" t="s">
        <v>5393</v>
      </c>
      <c r="C2288" s="1" t="s">
        <v>531</v>
      </c>
      <c r="K2288" s="1" t="s">
        <v>99</v>
      </c>
      <c r="L2288" s="1" t="s">
        <v>27</v>
      </c>
      <c r="N2288" s="1" t="s">
        <v>532</v>
      </c>
      <c r="O2288" s="1" t="s">
        <v>29</v>
      </c>
      <c r="P2288" s="1" t="s">
        <v>938</v>
      </c>
      <c r="Q2288" s="1" t="s">
        <v>939</v>
      </c>
      <c r="R2288" s="1">
        <v>0.0</v>
      </c>
      <c r="S2288" s="1"/>
    </row>
    <row r="2289" ht="15.75" customHeight="1">
      <c r="A2289" s="1" t="s">
        <v>5394</v>
      </c>
      <c r="B2289" s="1" t="s">
        <v>5395</v>
      </c>
      <c r="C2289" s="1" t="s">
        <v>531</v>
      </c>
      <c r="K2289" s="1" t="s">
        <v>99</v>
      </c>
      <c r="L2289" s="1" t="s">
        <v>27</v>
      </c>
      <c r="N2289" s="1" t="s">
        <v>532</v>
      </c>
      <c r="O2289" s="1" t="s">
        <v>29</v>
      </c>
      <c r="R2289" s="1">
        <v>0.0</v>
      </c>
      <c r="S2289" s="1"/>
    </row>
    <row r="2290" ht="15.75" customHeight="1">
      <c r="A2290" s="1" t="s">
        <v>5396</v>
      </c>
      <c r="B2290" s="1" t="s">
        <v>5397</v>
      </c>
      <c r="C2290" s="1" t="s">
        <v>531</v>
      </c>
      <c r="K2290" s="1" t="s">
        <v>99</v>
      </c>
      <c r="L2290" s="1" t="s">
        <v>27</v>
      </c>
      <c r="N2290" s="1" t="s">
        <v>532</v>
      </c>
      <c r="O2290" s="1" t="s">
        <v>29</v>
      </c>
      <c r="R2290" s="1">
        <v>0.0</v>
      </c>
      <c r="S2290" s="1"/>
    </row>
    <row r="2291" ht="15.75" customHeight="1">
      <c r="A2291" s="1" t="s">
        <v>5398</v>
      </c>
      <c r="B2291" s="1" t="s">
        <v>5399</v>
      </c>
      <c r="C2291" s="1" t="s">
        <v>531</v>
      </c>
      <c r="K2291" s="1" t="s">
        <v>99</v>
      </c>
      <c r="L2291" s="1" t="s">
        <v>27</v>
      </c>
      <c r="N2291" s="1" t="s">
        <v>532</v>
      </c>
      <c r="O2291" s="1" t="s">
        <v>29</v>
      </c>
      <c r="R2291" s="1">
        <v>0.0</v>
      </c>
      <c r="S2291" s="1"/>
    </row>
    <row r="2292" ht="15.75" customHeight="1">
      <c r="A2292" s="1" t="s">
        <v>5400</v>
      </c>
      <c r="B2292" s="1" t="s">
        <v>5401</v>
      </c>
      <c r="C2292" s="1" t="s">
        <v>531</v>
      </c>
      <c r="K2292" s="1" t="s">
        <v>99</v>
      </c>
      <c r="L2292" s="1" t="s">
        <v>27</v>
      </c>
      <c r="N2292" s="1" t="s">
        <v>532</v>
      </c>
      <c r="O2292" s="1" t="s">
        <v>29</v>
      </c>
      <c r="R2292" s="1">
        <v>0.0</v>
      </c>
      <c r="S2292" s="1"/>
    </row>
    <row r="2293" ht="15.75" customHeight="1">
      <c r="A2293" s="1" t="s">
        <v>5402</v>
      </c>
      <c r="B2293" s="1" t="s">
        <v>5403</v>
      </c>
      <c r="C2293" s="1" t="s">
        <v>617</v>
      </c>
      <c r="K2293" s="1" t="s">
        <v>99</v>
      </c>
      <c r="L2293" s="1" t="s">
        <v>27</v>
      </c>
      <c r="N2293" s="1" t="s">
        <v>28</v>
      </c>
      <c r="O2293" s="1" t="s">
        <v>29</v>
      </c>
      <c r="R2293" s="1">
        <v>0.0</v>
      </c>
      <c r="S2293" s="1"/>
    </row>
    <row r="2294" ht="15.75" customHeight="1">
      <c r="A2294" s="1" t="s">
        <v>5404</v>
      </c>
      <c r="B2294" s="1" t="s">
        <v>5405</v>
      </c>
      <c r="C2294" s="1" t="s">
        <v>617</v>
      </c>
      <c r="K2294" s="1" t="s">
        <v>99</v>
      </c>
      <c r="L2294" s="1" t="s">
        <v>27</v>
      </c>
      <c r="N2294" s="1" t="s">
        <v>28</v>
      </c>
      <c r="O2294" s="1" t="s">
        <v>29</v>
      </c>
      <c r="R2294" s="1">
        <v>0.0</v>
      </c>
      <c r="S2294" s="1"/>
    </row>
    <row r="2295" ht="15.75" customHeight="1">
      <c r="A2295" s="1" t="s">
        <v>5406</v>
      </c>
      <c r="B2295" s="1" t="s">
        <v>5407</v>
      </c>
      <c r="C2295" s="1" t="s">
        <v>617</v>
      </c>
      <c r="K2295" s="1" t="s">
        <v>99</v>
      </c>
      <c r="L2295" s="1" t="s">
        <v>27</v>
      </c>
      <c r="N2295" s="1" t="s">
        <v>28</v>
      </c>
      <c r="O2295" s="1" t="s">
        <v>29</v>
      </c>
      <c r="P2295" s="1" t="s">
        <v>1749</v>
      </c>
      <c r="Q2295" s="1" t="s">
        <v>1750</v>
      </c>
      <c r="R2295" s="1">
        <v>0.0</v>
      </c>
      <c r="S2295" s="1"/>
    </row>
    <row r="2296" ht="15.75" customHeight="1">
      <c r="A2296" s="1" t="s">
        <v>5408</v>
      </c>
      <c r="B2296" s="1" t="s">
        <v>5409</v>
      </c>
      <c r="C2296" s="1" t="s">
        <v>946</v>
      </c>
      <c r="K2296" s="1" t="s">
        <v>99</v>
      </c>
      <c r="L2296" s="1" t="s">
        <v>27</v>
      </c>
      <c r="N2296" s="1" t="s">
        <v>123</v>
      </c>
      <c r="O2296" s="1" t="s">
        <v>29</v>
      </c>
      <c r="R2296" s="1">
        <v>0.0</v>
      </c>
      <c r="S2296" s="1"/>
    </row>
    <row r="2297" ht="15.75" customHeight="1">
      <c r="A2297" s="1" t="s">
        <v>5410</v>
      </c>
      <c r="B2297" s="1" t="s">
        <v>5411</v>
      </c>
      <c r="C2297" s="1" t="s">
        <v>946</v>
      </c>
      <c r="K2297" s="1" t="s">
        <v>99</v>
      </c>
      <c r="L2297" s="1" t="s">
        <v>27</v>
      </c>
      <c r="N2297" s="1" t="s">
        <v>123</v>
      </c>
      <c r="O2297" s="1" t="s">
        <v>29</v>
      </c>
      <c r="R2297" s="1">
        <v>0.0</v>
      </c>
      <c r="S2297" s="1"/>
    </row>
    <row r="2298" ht="15.75" customHeight="1">
      <c r="A2298" s="1" t="s">
        <v>5412</v>
      </c>
      <c r="B2298" s="1" t="s">
        <v>5413</v>
      </c>
      <c r="C2298" s="1" t="s">
        <v>946</v>
      </c>
      <c r="K2298" s="1" t="s">
        <v>99</v>
      </c>
      <c r="L2298" s="1" t="s">
        <v>27</v>
      </c>
      <c r="N2298" s="1" t="s">
        <v>123</v>
      </c>
      <c r="O2298" s="1" t="s">
        <v>29</v>
      </c>
      <c r="P2298" s="1" t="s">
        <v>1749</v>
      </c>
      <c r="Q2298" s="1" t="s">
        <v>1750</v>
      </c>
      <c r="R2298" s="1">
        <v>0.0</v>
      </c>
      <c r="S2298" s="1"/>
    </row>
    <row r="2299" ht="15.75" customHeight="1">
      <c r="A2299" s="1" t="s">
        <v>5414</v>
      </c>
      <c r="B2299" s="1" t="s">
        <v>5415</v>
      </c>
      <c r="C2299" s="1" t="s">
        <v>946</v>
      </c>
      <c r="K2299" s="1" t="s">
        <v>99</v>
      </c>
      <c r="L2299" s="1" t="s">
        <v>27</v>
      </c>
      <c r="N2299" s="1" t="s">
        <v>123</v>
      </c>
      <c r="O2299" s="1" t="s">
        <v>29</v>
      </c>
      <c r="P2299" s="1" t="s">
        <v>1749</v>
      </c>
      <c r="Q2299" s="1" t="s">
        <v>1750</v>
      </c>
      <c r="R2299" s="1">
        <v>0.0</v>
      </c>
      <c r="S2299" s="1"/>
    </row>
    <row r="2300" ht="15.75" customHeight="1">
      <c r="A2300" s="1" t="s">
        <v>5416</v>
      </c>
      <c r="B2300" s="1" t="s">
        <v>5417</v>
      </c>
      <c r="C2300" s="1" t="s">
        <v>946</v>
      </c>
      <c r="K2300" s="1" t="s">
        <v>99</v>
      </c>
      <c r="L2300" s="1" t="s">
        <v>27</v>
      </c>
      <c r="N2300" s="1" t="s">
        <v>123</v>
      </c>
      <c r="O2300" s="1" t="s">
        <v>29</v>
      </c>
      <c r="P2300" s="1" t="s">
        <v>1749</v>
      </c>
      <c r="Q2300" s="1" t="s">
        <v>1750</v>
      </c>
      <c r="R2300" s="1">
        <v>0.0</v>
      </c>
      <c r="S2300" s="1"/>
    </row>
    <row r="2301" ht="15.75" customHeight="1">
      <c r="A2301" s="1" t="s">
        <v>5418</v>
      </c>
      <c r="B2301" s="1" t="s">
        <v>5419</v>
      </c>
      <c r="C2301" s="1" t="s">
        <v>946</v>
      </c>
      <c r="K2301" s="1" t="s">
        <v>99</v>
      </c>
      <c r="L2301" s="1" t="s">
        <v>27</v>
      </c>
      <c r="N2301" s="1" t="s">
        <v>123</v>
      </c>
      <c r="O2301" s="1" t="s">
        <v>29</v>
      </c>
      <c r="P2301" s="1" t="s">
        <v>1749</v>
      </c>
      <c r="Q2301" s="1" t="s">
        <v>1750</v>
      </c>
      <c r="R2301" s="1">
        <v>0.0</v>
      </c>
      <c r="S2301" s="1"/>
    </row>
    <row r="2302" ht="15.75" customHeight="1">
      <c r="A2302" s="1" t="s">
        <v>5420</v>
      </c>
      <c r="B2302" s="1" t="s">
        <v>5421</v>
      </c>
      <c r="C2302" s="1" t="s">
        <v>946</v>
      </c>
      <c r="K2302" s="1" t="s">
        <v>99</v>
      </c>
      <c r="L2302" s="1" t="s">
        <v>27</v>
      </c>
      <c r="N2302" s="1" t="s">
        <v>123</v>
      </c>
      <c r="O2302" s="1" t="s">
        <v>29</v>
      </c>
      <c r="P2302" s="1" t="s">
        <v>1749</v>
      </c>
      <c r="Q2302" s="1" t="s">
        <v>1750</v>
      </c>
      <c r="R2302" s="1">
        <v>0.0</v>
      </c>
      <c r="S2302" s="1"/>
    </row>
    <row r="2303" ht="15.75" customHeight="1">
      <c r="A2303" s="1" t="s">
        <v>5422</v>
      </c>
      <c r="B2303" s="1" t="s">
        <v>5423</v>
      </c>
      <c r="C2303" s="1" t="s">
        <v>946</v>
      </c>
      <c r="K2303" s="1" t="s">
        <v>99</v>
      </c>
      <c r="L2303" s="1" t="s">
        <v>27</v>
      </c>
      <c r="N2303" s="1" t="s">
        <v>123</v>
      </c>
      <c r="O2303" s="1" t="s">
        <v>29</v>
      </c>
      <c r="P2303" s="1" t="s">
        <v>1749</v>
      </c>
      <c r="Q2303" s="1" t="s">
        <v>1750</v>
      </c>
      <c r="R2303" s="1">
        <v>0.0</v>
      </c>
      <c r="S2303" s="1"/>
    </row>
    <row r="2304" ht="15.75" customHeight="1">
      <c r="A2304" s="1" t="s">
        <v>5424</v>
      </c>
      <c r="B2304" s="1" t="s">
        <v>5425</v>
      </c>
      <c r="C2304" s="1" t="s">
        <v>497</v>
      </c>
      <c r="K2304" s="1" t="s">
        <v>99</v>
      </c>
      <c r="L2304" s="1" t="s">
        <v>27</v>
      </c>
      <c r="N2304" s="1" t="s">
        <v>498</v>
      </c>
      <c r="O2304" s="1" t="s">
        <v>29</v>
      </c>
      <c r="P2304" s="1" t="s">
        <v>2265</v>
      </c>
      <c r="Q2304" s="1" t="s">
        <v>2266</v>
      </c>
      <c r="R2304" s="1">
        <v>0.0</v>
      </c>
      <c r="S2304" s="1"/>
    </row>
    <row r="2305" ht="15.75" customHeight="1">
      <c r="A2305" s="1" t="s">
        <v>5426</v>
      </c>
      <c r="B2305" s="1" t="s">
        <v>5427</v>
      </c>
      <c r="C2305" s="1" t="s">
        <v>497</v>
      </c>
      <c r="K2305" s="1" t="s">
        <v>99</v>
      </c>
      <c r="L2305" s="1" t="s">
        <v>27</v>
      </c>
      <c r="N2305" s="1" t="s">
        <v>498</v>
      </c>
      <c r="O2305" s="1" t="s">
        <v>29</v>
      </c>
      <c r="P2305" s="1" t="s">
        <v>1749</v>
      </c>
      <c r="Q2305" s="1" t="s">
        <v>1750</v>
      </c>
      <c r="R2305" s="1">
        <v>0.0</v>
      </c>
      <c r="S2305" s="1"/>
    </row>
    <row r="2306" ht="15.75" customHeight="1">
      <c r="A2306" s="1" t="s">
        <v>5428</v>
      </c>
      <c r="B2306" s="1" t="s">
        <v>5429</v>
      </c>
      <c r="C2306" s="1" t="s">
        <v>497</v>
      </c>
      <c r="K2306" s="1" t="s">
        <v>99</v>
      </c>
      <c r="L2306" s="1" t="s">
        <v>27</v>
      </c>
      <c r="N2306" s="1" t="s">
        <v>498</v>
      </c>
      <c r="O2306" s="1" t="s">
        <v>29</v>
      </c>
      <c r="R2306" s="1">
        <v>0.0</v>
      </c>
      <c r="S2306" s="1"/>
    </row>
    <row r="2307" ht="15.75" customHeight="1">
      <c r="A2307" s="1" t="s">
        <v>5430</v>
      </c>
      <c r="B2307" s="1" t="s">
        <v>5431</v>
      </c>
      <c r="C2307" s="1" t="s">
        <v>497</v>
      </c>
      <c r="K2307" s="1" t="s">
        <v>99</v>
      </c>
      <c r="L2307" s="1" t="s">
        <v>27</v>
      </c>
      <c r="N2307" s="1" t="s">
        <v>498</v>
      </c>
      <c r="O2307" s="1" t="s">
        <v>29</v>
      </c>
      <c r="R2307" s="1">
        <v>0.0</v>
      </c>
      <c r="S2307" s="1"/>
    </row>
    <row r="2308" ht="15.75" customHeight="1">
      <c r="A2308" s="1" t="s">
        <v>5432</v>
      </c>
      <c r="B2308" s="1" t="s">
        <v>5433</v>
      </c>
      <c r="C2308" s="1" t="s">
        <v>2089</v>
      </c>
      <c r="K2308" s="1" t="s">
        <v>99</v>
      </c>
      <c r="L2308" s="1" t="s">
        <v>27</v>
      </c>
      <c r="N2308" s="1" t="s">
        <v>506</v>
      </c>
      <c r="O2308" s="1" t="s">
        <v>29</v>
      </c>
      <c r="R2308" s="1">
        <v>0.0</v>
      </c>
      <c r="S2308" s="1"/>
    </row>
    <row r="2309" ht="15.75" customHeight="1">
      <c r="A2309" s="1" t="s">
        <v>5434</v>
      </c>
      <c r="B2309" s="1" t="s">
        <v>5435</v>
      </c>
      <c r="C2309" s="1" t="s">
        <v>2089</v>
      </c>
      <c r="K2309" s="1" t="s">
        <v>99</v>
      </c>
      <c r="L2309" s="1" t="s">
        <v>27</v>
      </c>
      <c r="N2309" s="1" t="s">
        <v>506</v>
      </c>
      <c r="O2309" s="1" t="s">
        <v>29</v>
      </c>
      <c r="R2309" s="1">
        <v>0.0</v>
      </c>
      <c r="S2309" s="1"/>
    </row>
    <row r="2310" ht="15.75" customHeight="1">
      <c r="A2310" s="1" t="s">
        <v>5436</v>
      </c>
      <c r="B2310" s="1" t="s">
        <v>5437</v>
      </c>
      <c r="C2310" s="1" t="s">
        <v>2089</v>
      </c>
      <c r="K2310" s="1" t="s">
        <v>99</v>
      </c>
      <c r="L2310" s="1" t="s">
        <v>27</v>
      </c>
      <c r="N2310" s="1" t="s">
        <v>506</v>
      </c>
      <c r="O2310" s="1" t="s">
        <v>29</v>
      </c>
      <c r="R2310" s="1">
        <v>0.0</v>
      </c>
      <c r="S2310" s="1"/>
    </row>
    <row r="2311" ht="15.75" customHeight="1">
      <c r="A2311" s="1" t="s">
        <v>5438</v>
      </c>
      <c r="B2311" s="1" t="s">
        <v>5439</v>
      </c>
      <c r="C2311" s="1" t="s">
        <v>2089</v>
      </c>
      <c r="K2311" s="1" t="s">
        <v>99</v>
      </c>
      <c r="L2311" s="1" t="s">
        <v>27</v>
      </c>
      <c r="N2311" s="1" t="s">
        <v>506</v>
      </c>
      <c r="O2311" s="1" t="s">
        <v>29</v>
      </c>
      <c r="R2311" s="1">
        <v>0.0</v>
      </c>
      <c r="S2311" s="1"/>
    </row>
    <row r="2312" ht="15.75" customHeight="1">
      <c r="A2312" s="1" t="s">
        <v>5440</v>
      </c>
      <c r="B2312" s="1" t="s">
        <v>5441</v>
      </c>
      <c r="C2312" s="1" t="s">
        <v>899</v>
      </c>
      <c r="K2312" s="1" t="s">
        <v>99</v>
      </c>
      <c r="L2312" s="1" t="s">
        <v>27</v>
      </c>
      <c r="N2312" s="1" t="s">
        <v>900</v>
      </c>
      <c r="O2312" s="1" t="s">
        <v>29</v>
      </c>
      <c r="R2312" s="1">
        <v>0.0</v>
      </c>
      <c r="S2312" s="1"/>
    </row>
    <row r="2313" ht="15.75" customHeight="1">
      <c r="A2313" s="1" t="s">
        <v>5442</v>
      </c>
      <c r="B2313" s="1" t="s">
        <v>5443</v>
      </c>
      <c r="C2313" s="1" t="s">
        <v>899</v>
      </c>
      <c r="K2313" s="1" t="s">
        <v>99</v>
      </c>
      <c r="L2313" s="1" t="s">
        <v>27</v>
      </c>
      <c r="N2313" s="1" t="s">
        <v>900</v>
      </c>
      <c r="O2313" s="1" t="s">
        <v>29</v>
      </c>
      <c r="R2313" s="1">
        <v>0.0</v>
      </c>
      <c r="S2313" s="1"/>
    </row>
    <row r="2314" ht="15.75" customHeight="1">
      <c r="A2314" s="1" t="s">
        <v>5444</v>
      </c>
      <c r="B2314" s="1" t="s">
        <v>5445</v>
      </c>
      <c r="C2314" s="1" t="s">
        <v>899</v>
      </c>
      <c r="K2314" s="1" t="s">
        <v>99</v>
      </c>
      <c r="L2314" s="1" t="s">
        <v>27</v>
      </c>
      <c r="N2314" s="1" t="s">
        <v>900</v>
      </c>
      <c r="O2314" s="1" t="s">
        <v>29</v>
      </c>
      <c r="R2314" s="1">
        <v>0.0</v>
      </c>
      <c r="S2314" s="1"/>
    </row>
    <row r="2315" ht="15.75" customHeight="1">
      <c r="A2315" s="1" t="s">
        <v>5446</v>
      </c>
      <c r="B2315" s="1" t="s">
        <v>5447</v>
      </c>
      <c r="C2315" s="1" t="s">
        <v>174</v>
      </c>
      <c r="K2315" s="1" t="s">
        <v>2892</v>
      </c>
      <c r="L2315" s="1" t="s">
        <v>27</v>
      </c>
      <c r="N2315" s="1" t="s">
        <v>174</v>
      </c>
      <c r="O2315" s="1" t="s">
        <v>29</v>
      </c>
      <c r="R2315" s="1">
        <v>0.0</v>
      </c>
      <c r="S2315" s="1"/>
    </row>
    <row r="2316" ht="15.75" customHeight="1">
      <c r="A2316" s="1" t="s">
        <v>5448</v>
      </c>
      <c r="B2316" s="1" t="s">
        <v>5449</v>
      </c>
      <c r="C2316" s="1" t="s">
        <v>980</v>
      </c>
      <c r="K2316" s="1" t="s">
        <v>2892</v>
      </c>
      <c r="L2316" s="1" t="s">
        <v>27</v>
      </c>
      <c r="N2316" s="1" t="s">
        <v>123</v>
      </c>
      <c r="O2316" s="1" t="s">
        <v>57</v>
      </c>
      <c r="R2316" s="1">
        <v>0.0</v>
      </c>
      <c r="S2316" s="1"/>
    </row>
    <row r="2317" ht="15.75" customHeight="1">
      <c r="A2317" s="1" t="s">
        <v>5450</v>
      </c>
      <c r="B2317" s="1" t="s">
        <v>5451</v>
      </c>
      <c r="C2317" s="1" t="s">
        <v>1016</v>
      </c>
      <c r="K2317" s="1" t="s">
        <v>2892</v>
      </c>
      <c r="L2317" s="1" t="s">
        <v>27</v>
      </c>
      <c r="N2317" s="1" t="s">
        <v>163</v>
      </c>
      <c r="O2317" s="1" t="s">
        <v>57</v>
      </c>
      <c r="R2317" s="1">
        <v>0.0</v>
      </c>
      <c r="S2317" s="1"/>
    </row>
    <row r="2318" ht="15.75" customHeight="1">
      <c r="A2318" s="1" t="s">
        <v>5452</v>
      </c>
      <c r="B2318" s="1" t="s">
        <v>5453</v>
      </c>
      <c r="C2318" s="1" t="s">
        <v>564</v>
      </c>
      <c r="K2318" s="1" t="s">
        <v>26</v>
      </c>
      <c r="L2318" s="1" t="s">
        <v>27</v>
      </c>
      <c r="N2318" s="1" t="s">
        <v>163</v>
      </c>
      <c r="O2318" s="1" t="s">
        <v>57</v>
      </c>
      <c r="R2318" s="1">
        <v>0.0</v>
      </c>
      <c r="S2318" s="1"/>
    </row>
    <row r="2319" ht="15.75" customHeight="1">
      <c r="A2319" s="1" t="s">
        <v>5454</v>
      </c>
      <c r="B2319" s="1" t="s">
        <v>5455</v>
      </c>
      <c r="C2319" s="1" t="s">
        <v>4007</v>
      </c>
      <c r="K2319" s="1" t="s">
        <v>2892</v>
      </c>
      <c r="L2319" s="1" t="s">
        <v>27</v>
      </c>
      <c r="N2319" s="1" t="s">
        <v>1950</v>
      </c>
      <c r="O2319" s="1" t="s">
        <v>57</v>
      </c>
      <c r="R2319" s="1">
        <v>0.0</v>
      </c>
      <c r="S2319" s="1" t="str">
        <f>IFERROR(__xludf.DUMMYFUNCTION("""COMPUTED_VALUE"""),"store_005274")</f>
        <v>store_005274</v>
      </c>
    </row>
    <row r="2320" ht="15.75" customHeight="1">
      <c r="A2320" s="1" t="s">
        <v>5456</v>
      </c>
      <c r="B2320" s="1" t="s">
        <v>5457</v>
      </c>
      <c r="C2320" s="1" t="s">
        <v>617</v>
      </c>
      <c r="K2320" s="1" t="s">
        <v>2892</v>
      </c>
      <c r="L2320" s="1" t="s">
        <v>27</v>
      </c>
      <c r="N2320" s="1" t="s">
        <v>28</v>
      </c>
      <c r="O2320" s="1" t="s">
        <v>57</v>
      </c>
      <c r="R2320" s="1">
        <v>0.0</v>
      </c>
      <c r="S2320" s="1" t="str">
        <f>IFERROR(__xludf.DUMMYFUNCTION("""COMPUTED_VALUE"""),"")</f>
        <v/>
      </c>
    </row>
    <row r="2321" ht="15.75" customHeight="1">
      <c r="A2321" s="1" t="s">
        <v>5458</v>
      </c>
      <c r="B2321" s="1" t="s">
        <v>5459</v>
      </c>
      <c r="C2321" s="1" t="s">
        <v>5460</v>
      </c>
      <c r="K2321" s="1" t="s">
        <v>2892</v>
      </c>
      <c r="L2321" s="1" t="s">
        <v>27</v>
      </c>
      <c r="N2321" s="1" t="s">
        <v>28</v>
      </c>
      <c r="O2321" s="1" t="s">
        <v>57</v>
      </c>
      <c r="R2321" s="1">
        <v>0.0</v>
      </c>
      <c r="S2321" s="1" t="str">
        <f>IFERROR(__xludf.DUMMYFUNCTION("""COMPUTED_VALUE"""),"store_005381")</f>
        <v>store_005381</v>
      </c>
    </row>
    <row r="2322" ht="15.75" customHeight="1">
      <c r="A2322" s="1" t="s">
        <v>5461</v>
      </c>
      <c r="B2322" s="1" t="s">
        <v>5462</v>
      </c>
      <c r="C2322" s="1" t="s">
        <v>5463</v>
      </c>
      <c r="K2322" s="1" t="s">
        <v>2892</v>
      </c>
      <c r="L2322" s="1" t="s">
        <v>27</v>
      </c>
      <c r="N2322" s="1" t="s">
        <v>28</v>
      </c>
      <c r="O2322" s="1" t="s">
        <v>57</v>
      </c>
      <c r="R2322" s="1">
        <v>0.0</v>
      </c>
      <c r="S2322" s="1" t="str">
        <f>IFERROR(__xludf.DUMMYFUNCTION("""COMPUTED_VALUE"""),"store_005385")</f>
        <v>store_005385</v>
      </c>
    </row>
    <row r="2323" ht="15.75" customHeight="1">
      <c r="A2323" s="1" t="s">
        <v>5464</v>
      </c>
      <c r="B2323" s="1" t="s">
        <v>5465</v>
      </c>
      <c r="C2323" s="1" t="s">
        <v>5466</v>
      </c>
      <c r="K2323" s="1" t="s">
        <v>2892</v>
      </c>
      <c r="L2323" s="1" t="s">
        <v>27</v>
      </c>
      <c r="N2323" s="1" t="s">
        <v>28</v>
      </c>
      <c r="O2323" s="1" t="s">
        <v>57</v>
      </c>
      <c r="R2323" s="1">
        <v>0.0</v>
      </c>
      <c r="S2323" s="1" t="str">
        <f>IFERROR(__xludf.DUMMYFUNCTION("""COMPUTED_VALUE"""),"store_005388")</f>
        <v>store_005388</v>
      </c>
    </row>
    <row r="2324" ht="15.75" customHeight="1">
      <c r="A2324" s="1" t="s">
        <v>5467</v>
      </c>
      <c r="B2324" s="1" t="s">
        <v>5468</v>
      </c>
      <c r="C2324" s="1" t="s">
        <v>617</v>
      </c>
      <c r="K2324" s="1" t="s">
        <v>99</v>
      </c>
      <c r="L2324" s="1" t="s">
        <v>27</v>
      </c>
      <c r="N2324" s="1" t="s">
        <v>28</v>
      </c>
      <c r="O2324" s="1" t="s">
        <v>29</v>
      </c>
      <c r="R2324" s="1">
        <v>0.0</v>
      </c>
      <c r="S2324" s="1"/>
    </row>
    <row r="2325" ht="15.75" customHeight="1">
      <c r="A2325" s="1" t="s">
        <v>5469</v>
      </c>
      <c r="B2325" s="1" t="s">
        <v>5470</v>
      </c>
      <c r="C2325" s="1" t="s">
        <v>151</v>
      </c>
      <c r="K2325" s="1" t="s">
        <v>99</v>
      </c>
      <c r="L2325" s="1" t="s">
        <v>27</v>
      </c>
      <c r="N2325" s="1" t="s">
        <v>143</v>
      </c>
      <c r="O2325" s="1" t="s">
        <v>29</v>
      </c>
      <c r="R2325" s="1">
        <v>0.0</v>
      </c>
      <c r="S2325" s="1"/>
    </row>
    <row r="2326" ht="15.75" customHeight="1">
      <c r="A2326" s="1" t="s">
        <v>5471</v>
      </c>
      <c r="B2326" s="1" t="s">
        <v>5472</v>
      </c>
      <c r="C2326" s="1" t="s">
        <v>737</v>
      </c>
      <c r="K2326" s="1" t="s">
        <v>99</v>
      </c>
      <c r="L2326" s="1" t="s">
        <v>27</v>
      </c>
      <c r="N2326" s="1" t="s">
        <v>732</v>
      </c>
      <c r="O2326" s="1" t="s">
        <v>29</v>
      </c>
      <c r="R2326" s="1">
        <v>0.0</v>
      </c>
      <c r="S2326" s="1"/>
    </row>
    <row r="2327" ht="15.75" customHeight="1">
      <c r="A2327" s="1" t="s">
        <v>5473</v>
      </c>
      <c r="B2327" s="1" t="s">
        <v>5474</v>
      </c>
      <c r="C2327" s="1" t="s">
        <v>765</v>
      </c>
      <c r="K2327" s="1" t="s">
        <v>2892</v>
      </c>
      <c r="L2327" s="1" t="s">
        <v>27</v>
      </c>
      <c r="N2327" s="1" t="s">
        <v>28</v>
      </c>
      <c r="O2327" s="1" t="s">
        <v>57</v>
      </c>
      <c r="R2327" s="1">
        <v>0.0</v>
      </c>
      <c r="S2327" s="1"/>
    </row>
    <row r="2328" ht="15.75" customHeight="1">
      <c r="A2328" s="1" t="s">
        <v>5475</v>
      </c>
      <c r="B2328" s="1" t="s">
        <v>5476</v>
      </c>
      <c r="C2328" s="1" t="s">
        <v>38</v>
      </c>
      <c r="K2328" s="1" t="s">
        <v>2892</v>
      </c>
      <c r="L2328" s="1" t="s">
        <v>27</v>
      </c>
      <c r="N2328" s="1" t="s">
        <v>28</v>
      </c>
      <c r="O2328" s="1" t="s">
        <v>57</v>
      </c>
      <c r="R2328" s="1">
        <v>0.0</v>
      </c>
      <c r="S2328" s="1"/>
    </row>
    <row r="2329" ht="15.75" customHeight="1">
      <c r="A2329" s="1" t="s">
        <v>5477</v>
      </c>
      <c r="B2329" s="1" t="s">
        <v>5478</v>
      </c>
      <c r="C2329" s="1" t="s">
        <v>1832</v>
      </c>
      <c r="K2329" s="1" t="s">
        <v>2892</v>
      </c>
      <c r="L2329" s="1" t="s">
        <v>27</v>
      </c>
      <c r="N2329" s="1" t="s">
        <v>28</v>
      </c>
      <c r="O2329" s="1" t="s">
        <v>57</v>
      </c>
      <c r="R2329" s="1">
        <v>0.0</v>
      </c>
      <c r="S2329" s="1"/>
    </row>
    <row r="2330" ht="15.75" customHeight="1">
      <c r="A2330" s="1" t="s">
        <v>5479</v>
      </c>
      <c r="B2330" s="1" t="s">
        <v>5480</v>
      </c>
      <c r="C2330" s="1" t="s">
        <v>1062</v>
      </c>
      <c r="K2330" s="1" t="s">
        <v>2892</v>
      </c>
      <c r="L2330" s="1" t="s">
        <v>27</v>
      </c>
      <c r="N2330" s="1" t="s">
        <v>532</v>
      </c>
      <c r="O2330" s="1" t="s">
        <v>57</v>
      </c>
      <c r="R2330" s="1">
        <v>0.0</v>
      </c>
      <c r="S2330" s="1"/>
    </row>
    <row r="2331" ht="15.75" customHeight="1">
      <c r="A2331" s="1" t="s">
        <v>5481</v>
      </c>
      <c r="B2331" s="1" t="s">
        <v>5482</v>
      </c>
      <c r="C2331" s="1" t="s">
        <v>53</v>
      </c>
      <c r="K2331" s="1" t="s">
        <v>2892</v>
      </c>
      <c r="L2331" s="1" t="s">
        <v>27</v>
      </c>
      <c r="N2331" s="1" t="s">
        <v>28</v>
      </c>
      <c r="O2331" s="1" t="s">
        <v>57</v>
      </c>
      <c r="R2331" s="1">
        <v>0.0</v>
      </c>
      <c r="S2331" s="1"/>
    </row>
    <row r="2332" ht="15.75" customHeight="1">
      <c r="A2332" s="1" t="s">
        <v>5483</v>
      </c>
      <c r="B2332" s="1" t="s">
        <v>5484</v>
      </c>
      <c r="C2332" s="1" t="s">
        <v>3932</v>
      </c>
      <c r="K2332" s="1" t="s">
        <v>2892</v>
      </c>
      <c r="L2332" s="1" t="s">
        <v>27</v>
      </c>
      <c r="N2332" s="1" t="s">
        <v>28</v>
      </c>
      <c r="O2332" s="1" t="s">
        <v>57</v>
      </c>
      <c r="R2332" s="1">
        <v>0.0</v>
      </c>
      <c r="S2332" s="1" t="str">
        <f>IFERROR(__xludf.DUMMYFUNCTION("""COMPUTED_VALUE"""),"store_005255")</f>
        <v>store_005255</v>
      </c>
    </row>
    <row r="2333" ht="15.75" customHeight="1">
      <c r="A2333" s="1" t="s">
        <v>5485</v>
      </c>
      <c r="B2333" s="1" t="s">
        <v>5486</v>
      </c>
      <c r="C2333" s="1" t="s">
        <v>5487</v>
      </c>
      <c r="K2333" s="1" t="s">
        <v>2892</v>
      </c>
      <c r="L2333" s="1" t="s">
        <v>27</v>
      </c>
      <c r="N2333" s="1" t="s">
        <v>28</v>
      </c>
      <c r="O2333" s="1" t="s">
        <v>57</v>
      </c>
      <c r="P2333" s="1" t="s">
        <v>1749</v>
      </c>
      <c r="Q2333" s="1" t="s">
        <v>1750</v>
      </c>
      <c r="R2333" s="1">
        <v>0.0</v>
      </c>
      <c r="S2333" s="1" t="str">
        <f>IFERROR(__xludf.DUMMYFUNCTION("""COMPUTED_VALUE"""),"store_005259")</f>
        <v>store_005259</v>
      </c>
    </row>
    <row r="2334" ht="15.75" customHeight="1">
      <c r="A2334" s="1" t="s">
        <v>5488</v>
      </c>
      <c r="B2334" s="1" t="s">
        <v>5489</v>
      </c>
      <c r="C2334" s="1" t="s">
        <v>5490</v>
      </c>
      <c r="K2334" s="1" t="s">
        <v>2892</v>
      </c>
      <c r="L2334" s="1" t="s">
        <v>27</v>
      </c>
      <c r="N2334" s="1" t="s">
        <v>28</v>
      </c>
      <c r="O2334" s="1" t="s">
        <v>57</v>
      </c>
      <c r="P2334" s="1" t="s">
        <v>1749</v>
      </c>
      <c r="Q2334" s="1" t="s">
        <v>1750</v>
      </c>
      <c r="R2334" s="1">
        <v>0.0</v>
      </c>
      <c r="S2334" s="1" t="str">
        <f>IFERROR(__xludf.DUMMYFUNCTION("""COMPUTED_VALUE"""),"store_005260")</f>
        <v>store_005260</v>
      </c>
    </row>
    <row r="2335" ht="15.75" customHeight="1">
      <c r="A2335" s="1" t="s">
        <v>5491</v>
      </c>
      <c r="B2335" s="1" t="s">
        <v>5492</v>
      </c>
      <c r="C2335" s="1" t="s">
        <v>5493</v>
      </c>
      <c r="K2335" s="1" t="s">
        <v>2892</v>
      </c>
      <c r="L2335" s="1" t="s">
        <v>27</v>
      </c>
      <c r="N2335" s="1" t="s">
        <v>28</v>
      </c>
      <c r="O2335" s="1" t="s">
        <v>57</v>
      </c>
      <c r="P2335" s="1" t="s">
        <v>1749</v>
      </c>
      <c r="Q2335" s="1" t="s">
        <v>1750</v>
      </c>
      <c r="R2335" s="1">
        <v>0.0</v>
      </c>
      <c r="S2335" s="1" t="str">
        <f>IFERROR(__xludf.DUMMYFUNCTION("""COMPUTED_VALUE"""),"store_005261")</f>
        <v>store_005261</v>
      </c>
    </row>
    <row r="2336" ht="15.75" customHeight="1">
      <c r="A2336" s="1" t="s">
        <v>5494</v>
      </c>
      <c r="B2336" s="1" t="s">
        <v>5495</v>
      </c>
      <c r="C2336" s="1" t="s">
        <v>4773</v>
      </c>
      <c r="K2336" s="1" t="s">
        <v>2892</v>
      </c>
      <c r="L2336" s="1" t="s">
        <v>27</v>
      </c>
      <c r="N2336" s="1" t="s">
        <v>28</v>
      </c>
      <c r="O2336" s="1" t="s">
        <v>57</v>
      </c>
      <c r="P2336" s="1" t="s">
        <v>1749</v>
      </c>
      <c r="Q2336" s="1" t="s">
        <v>1750</v>
      </c>
      <c r="R2336" s="1">
        <v>0.0</v>
      </c>
      <c r="S2336" s="1" t="str">
        <f>IFERROR(__xludf.DUMMYFUNCTION("""COMPUTED_VALUE"""),"store_005262")</f>
        <v>store_005262</v>
      </c>
    </row>
    <row r="2337" ht="15.75" customHeight="1">
      <c r="A2337" s="1" t="s">
        <v>5496</v>
      </c>
      <c r="B2337" s="1" t="s">
        <v>5497</v>
      </c>
      <c r="C2337" s="1" t="s">
        <v>5498</v>
      </c>
      <c r="K2337" s="1" t="s">
        <v>2892</v>
      </c>
      <c r="L2337" s="1" t="s">
        <v>27</v>
      </c>
      <c r="N2337" s="1" t="s">
        <v>28</v>
      </c>
      <c r="O2337" s="1" t="s">
        <v>57</v>
      </c>
      <c r="P2337" s="1" t="s">
        <v>1749</v>
      </c>
      <c r="Q2337" s="1" t="s">
        <v>1750</v>
      </c>
      <c r="R2337" s="1">
        <v>0.0</v>
      </c>
      <c r="S2337" s="1" t="str">
        <f>IFERROR(__xludf.DUMMYFUNCTION("""COMPUTED_VALUE"""),"store_005263")</f>
        <v>store_005263</v>
      </c>
    </row>
    <row r="2338" ht="15.75" customHeight="1">
      <c r="A2338" s="1" t="s">
        <v>5499</v>
      </c>
      <c r="B2338" s="1" t="s">
        <v>5500</v>
      </c>
      <c r="C2338" s="1" t="s">
        <v>5501</v>
      </c>
      <c r="K2338" s="1" t="s">
        <v>2892</v>
      </c>
      <c r="L2338" s="1" t="s">
        <v>27</v>
      </c>
      <c r="N2338" s="1" t="s">
        <v>28</v>
      </c>
      <c r="O2338" s="1" t="s">
        <v>57</v>
      </c>
      <c r="P2338" s="1" t="s">
        <v>1749</v>
      </c>
      <c r="Q2338" s="1" t="s">
        <v>1750</v>
      </c>
      <c r="R2338" s="1">
        <v>0.0</v>
      </c>
      <c r="S2338" s="1" t="str">
        <f>IFERROR(__xludf.DUMMYFUNCTION("""COMPUTED_VALUE"""),"store_005264")</f>
        <v>store_005264</v>
      </c>
    </row>
    <row r="2339" ht="15.75" customHeight="1">
      <c r="A2339" s="1" t="s">
        <v>5502</v>
      </c>
      <c r="B2339" s="1" t="s">
        <v>5503</v>
      </c>
      <c r="C2339" s="1" t="s">
        <v>5504</v>
      </c>
      <c r="K2339" s="1" t="s">
        <v>2892</v>
      </c>
      <c r="L2339" s="1" t="s">
        <v>27</v>
      </c>
      <c r="N2339" s="1" t="s">
        <v>28</v>
      </c>
      <c r="O2339" s="1" t="s">
        <v>57</v>
      </c>
      <c r="P2339" s="1" t="s">
        <v>1749</v>
      </c>
      <c r="Q2339" s="1" t="s">
        <v>1750</v>
      </c>
      <c r="R2339" s="1">
        <v>0.0</v>
      </c>
      <c r="S2339" s="1" t="str">
        <f>IFERROR(__xludf.DUMMYFUNCTION("""COMPUTED_VALUE"""),"store_005265")</f>
        <v>store_005265</v>
      </c>
    </row>
    <row r="2340" ht="15.75" customHeight="1">
      <c r="A2340" s="1" t="s">
        <v>5505</v>
      </c>
      <c r="B2340" s="1" t="s">
        <v>5506</v>
      </c>
      <c r="C2340" s="1" t="s">
        <v>5507</v>
      </c>
      <c r="K2340" s="1" t="s">
        <v>2892</v>
      </c>
      <c r="L2340" s="1" t="s">
        <v>27</v>
      </c>
      <c r="N2340" s="1" t="s">
        <v>28</v>
      </c>
      <c r="O2340" s="1" t="s">
        <v>57</v>
      </c>
      <c r="P2340" s="1" t="s">
        <v>1749</v>
      </c>
      <c r="Q2340" s="1" t="s">
        <v>1750</v>
      </c>
      <c r="R2340" s="1">
        <v>0.0</v>
      </c>
      <c r="S2340" s="1" t="str">
        <f>IFERROR(__xludf.DUMMYFUNCTION("""COMPUTED_VALUE"""),"store_005268")</f>
        <v>store_005268</v>
      </c>
    </row>
    <row r="2341" ht="15.75" customHeight="1">
      <c r="A2341" s="1" t="s">
        <v>5508</v>
      </c>
      <c r="B2341" s="1" t="s">
        <v>5509</v>
      </c>
      <c r="C2341" s="1" t="s">
        <v>5510</v>
      </c>
      <c r="K2341" s="1" t="s">
        <v>2892</v>
      </c>
      <c r="L2341" s="1" t="s">
        <v>27</v>
      </c>
      <c r="N2341" s="1" t="s">
        <v>28</v>
      </c>
      <c r="O2341" s="1" t="s">
        <v>57</v>
      </c>
      <c r="P2341" s="1" t="s">
        <v>1749</v>
      </c>
      <c r="Q2341" s="1" t="s">
        <v>1750</v>
      </c>
      <c r="R2341" s="1">
        <v>0.0</v>
      </c>
      <c r="S2341" s="1" t="str">
        <f>IFERROR(__xludf.DUMMYFUNCTION("""COMPUTED_VALUE"""),"store_005269")</f>
        <v>store_005269</v>
      </c>
    </row>
    <row r="2342" ht="15.75" customHeight="1">
      <c r="A2342" s="1" t="s">
        <v>5511</v>
      </c>
      <c r="B2342" s="1" t="s">
        <v>5512</v>
      </c>
      <c r="C2342" s="1" t="s">
        <v>5513</v>
      </c>
      <c r="K2342" s="1" t="s">
        <v>2892</v>
      </c>
      <c r="L2342" s="1" t="s">
        <v>27</v>
      </c>
      <c r="N2342" s="1" t="s">
        <v>28</v>
      </c>
      <c r="O2342" s="1" t="s">
        <v>57</v>
      </c>
      <c r="P2342" s="1" t="s">
        <v>1749</v>
      </c>
      <c r="Q2342" s="1" t="s">
        <v>1750</v>
      </c>
      <c r="R2342" s="1">
        <v>0.0</v>
      </c>
      <c r="S2342" s="1" t="str">
        <f>IFERROR(__xludf.DUMMYFUNCTION("""COMPUTED_VALUE"""),"store_005270")</f>
        <v>store_005270</v>
      </c>
    </row>
    <row r="2343" ht="15.75" customHeight="1">
      <c r="A2343" s="1" t="s">
        <v>5514</v>
      </c>
      <c r="B2343" s="1" t="s">
        <v>5515</v>
      </c>
      <c r="C2343" s="1" t="s">
        <v>5516</v>
      </c>
      <c r="K2343" s="1" t="s">
        <v>2892</v>
      </c>
      <c r="L2343" s="1" t="s">
        <v>27</v>
      </c>
      <c r="N2343" s="1" t="s">
        <v>28</v>
      </c>
      <c r="O2343" s="1" t="s">
        <v>57</v>
      </c>
      <c r="P2343" s="1" t="s">
        <v>1749</v>
      </c>
      <c r="Q2343" s="1" t="s">
        <v>1750</v>
      </c>
      <c r="R2343" s="1">
        <v>0.0</v>
      </c>
      <c r="S2343" s="1" t="str">
        <f>IFERROR(__xludf.DUMMYFUNCTION("""COMPUTED_VALUE"""),"store_005271")</f>
        <v>store_005271</v>
      </c>
    </row>
    <row r="2344" ht="15.75" customHeight="1">
      <c r="A2344" s="1" t="s">
        <v>5517</v>
      </c>
      <c r="B2344" s="1" t="s">
        <v>5518</v>
      </c>
      <c r="C2344" s="1" t="s">
        <v>5519</v>
      </c>
      <c r="K2344" s="1" t="s">
        <v>2892</v>
      </c>
      <c r="L2344" s="1" t="s">
        <v>27</v>
      </c>
      <c r="N2344" s="1" t="s">
        <v>28</v>
      </c>
      <c r="O2344" s="1" t="s">
        <v>57</v>
      </c>
      <c r="P2344" s="1" t="s">
        <v>1749</v>
      </c>
      <c r="Q2344" s="1" t="s">
        <v>1750</v>
      </c>
      <c r="R2344" s="1">
        <v>0.0</v>
      </c>
      <c r="S2344" s="1" t="str">
        <f>IFERROR(__xludf.DUMMYFUNCTION("""COMPUTED_VALUE"""),"store_005275")</f>
        <v>store_005275</v>
      </c>
    </row>
    <row r="2345" ht="15.75" customHeight="1">
      <c r="A2345" s="1" t="s">
        <v>5520</v>
      </c>
      <c r="B2345" s="1" t="s">
        <v>5521</v>
      </c>
      <c r="C2345" s="1" t="s">
        <v>1949</v>
      </c>
      <c r="K2345" s="1" t="s">
        <v>2892</v>
      </c>
      <c r="L2345" s="1" t="s">
        <v>27</v>
      </c>
      <c r="N2345" s="1" t="s">
        <v>1950</v>
      </c>
      <c r="O2345" s="1" t="s">
        <v>57</v>
      </c>
      <c r="P2345" s="1" t="s">
        <v>2265</v>
      </c>
      <c r="Q2345" s="1" t="s">
        <v>2266</v>
      </c>
      <c r="R2345" s="1">
        <v>0.0</v>
      </c>
      <c r="S2345" s="1" t="str">
        <f>IFERROR(__xludf.DUMMYFUNCTION("""COMPUTED_VALUE"""),"store_005277")</f>
        <v>store_005277</v>
      </c>
    </row>
    <row r="2346" ht="15.75" customHeight="1">
      <c r="A2346" s="1" t="s">
        <v>5522</v>
      </c>
      <c r="B2346" s="1" t="s">
        <v>5523</v>
      </c>
      <c r="C2346" s="1" t="s">
        <v>5524</v>
      </c>
      <c r="K2346" s="1" t="s">
        <v>2892</v>
      </c>
      <c r="L2346" s="1" t="s">
        <v>27</v>
      </c>
      <c r="N2346" s="1" t="s">
        <v>28</v>
      </c>
      <c r="O2346" s="1" t="s">
        <v>57</v>
      </c>
      <c r="P2346" s="1" t="s">
        <v>1749</v>
      </c>
      <c r="Q2346" s="1" t="s">
        <v>1750</v>
      </c>
      <c r="R2346" s="1">
        <v>0.0</v>
      </c>
      <c r="S2346" s="1" t="str">
        <f>IFERROR(__xludf.DUMMYFUNCTION("""COMPUTED_VALUE"""),"store_005279")</f>
        <v>store_005279</v>
      </c>
    </row>
    <row r="2347" ht="15.75" customHeight="1">
      <c r="A2347" s="1" t="s">
        <v>5525</v>
      </c>
      <c r="B2347" s="1" t="s">
        <v>5526</v>
      </c>
      <c r="C2347" s="1" t="s">
        <v>174</v>
      </c>
      <c r="E2347" s="1">
        <v>28.6334515</v>
      </c>
      <c r="F2347" s="1">
        <v>77.2815092</v>
      </c>
      <c r="G2347" s="1" t="s">
        <v>2511</v>
      </c>
      <c r="H2347" s="1" t="s">
        <v>2512</v>
      </c>
      <c r="J2347" s="1" t="s">
        <v>56</v>
      </c>
      <c r="P2347" s="1" t="s">
        <v>1749</v>
      </c>
      <c r="Q2347" s="1" t="s">
        <v>1750</v>
      </c>
      <c r="R2347" s="1">
        <v>1.0</v>
      </c>
      <c r="S2347" s="1"/>
    </row>
    <row r="2348" ht="15.75" customHeight="1">
      <c r="A2348" s="1" t="s">
        <v>5527</v>
      </c>
      <c r="B2348" s="1" t="s">
        <v>5528</v>
      </c>
      <c r="C2348" s="1" t="s">
        <v>1949</v>
      </c>
      <c r="K2348" s="1" t="s">
        <v>2892</v>
      </c>
      <c r="L2348" s="1" t="s">
        <v>27</v>
      </c>
      <c r="N2348" s="1" t="s">
        <v>1950</v>
      </c>
      <c r="O2348" s="1" t="s">
        <v>57</v>
      </c>
      <c r="P2348" s="1" t="s">
        <v>1749</v>
      </c>
      <c r="Q2348" s="1" t="s">
        <v>1750</v>
      </c>
      <c r="R2348" s="1">
        <v>0.0</v>
      </c>
      <c r="S2348" s="1" t="str">
        <f>IFERROR(__xludf.DUMMYFUNCTION("""COMPUTED_VALUE"""),"store_005280")</f>
        <v>store_005280</v>
      </c>
    </row>
    <row r="2349" ht="15.75" customHeight="1">
      <c r="A2349" s="1" t="s">
        <v>5529</v>
      </c>
      <c r="B2349" s="1" t="s">
        <v>5530</v>
      </c>
      <c r="C2349" s="1" t="s">
        <v>5531</v>
      </c>
      <c r="K2349" s="1" t="s">
        <v>2892</v>
      </c>
      <c r="L2349" s="1" t="s">
        <v>27</v>
      </c>
      <c r="N2349" s="1" t="s">
        <v>28</v>
      </c>
      <c r="O2349" s="1" t="s">
        <v>57</v>
      </c>
      <c r="P2349" s="1" t="s">
        <v>1749</v>
      </c>
      <c r="Q2349" s="1" t="s">
        <v>1750</v>
      </c>
      <c r="R2349" s="1">
        <v>0.0</v>
      </c>
      <c r="S2349" s="1" t="str">
        <f>IFERROR(__xludf.DUMMYFUNCTION("""COMPUTED_VALUE"""),"store_005281")</f>
        <v>store_005281</v>
      </c>
    </row>
    <row r="2350" ht="15.75" customHeight="1">
      <c r="A2350" s="1" t="s">
        <v>5532</v>
      </c>
      <c r="B2350" s="1" t="s">
        <v>5533</v>
      </c>
      <c r="C2350" s="1" t="s">
        <v>5534</v>
      </c>
      <c r="K2350" s="1" t="s">
        <v>2892</v>
      </c>
      <c r="L2350" s="1" t="s">
        <v>27</v>
      </c>
      <c r="N2350" s="1" t="s">
        <v>28</v>
      </c>
      <c r="O2350" s="1" t="s">
        <v>57</v>
      </c>
      <c r="P2350" s="1" t="s">
        <v>1749</v>
      </c>
      <c r="Q2350" s="1" t="s">
        <v>1750</v>
      </c>
      <c r="R2350" s="1">
        <v>0.0</v>
      </c>
      <c r="S2350" s="1" t="str">
        <f>IFERROR(__xludf.DUMMYFUNCTION("""COMPUTED_VALUE"""),"store_005282")</f>
        <v>store_005282</v>
      </c>
    </row>
    <row r="2351" ht="15.75" customHeight="1">
      <c r="A2351" s="1" t="s">
        <v>5535</v>
      </c>
      <c r="B2351" s="1" t="s">
        <v>5536</v>
      </c>
      <c r="C2351" s="1" t="s">
        <v>765</v>
      </c>
      <c r="K2351" s="1" t="s">
        <v>2892</v>
      </c>
      <c r="L2351" s="1" t="s">
        <v>27</v>
      </c>
      <c r="N2351" s="1" t="s">
        <v>28</v>
      </c>
      <c r="O2351" s="1" t="s">
        <v>57</v>
      </c>
      <c r="P2351" s="1" t="s">
        <v>1749</v>
      </c>
      <c r="Q2351" s="1" t="s">
        <v>1750</v>
      </c>
      <c r="R2351" s="1">
        <v>0.0</v>
      </c>
      <c r="S2351" s="1" t="str">
        <f>IFERROR(__xludf.DUMMYFUNCTION("""COMPUTED_VALUE"""),"store_005285")</f>
        <v>store_005285</v>
      </c>
    </row>
    <row r="2352" ht="15.75" customHeight="1">
      <c r="A2352" s="1" t="s">
        <v>5537</v>
      </c>
      <c r="B2352" s="1" t="s">
        <v>5538</v>
      </c>
      <c r="C2352" s="1" t="s">
        <v>765</v>
      </c>
      <c r="K2352" s="1" t="s">
        <v>2892</v>
      </c>
      <c r="L2352" s="1" t="s">
        <v>27</v>
      </c>
      <c r="N2352" s="1" t="s">
        <v>28</v>
      </c>
      <c r="O2352" s="1" t="s">
        <v>57</v>
      </c>
      <c r="P2352" s="1" t="s">
        <v>1749</v>
      </c>
      <c r="Q2352" s="1" t="s">
        <v>1750</v>
      </c>
      <c r="R2352" s="1">
        <v>0.0</v>
      </c>
      <c r="S2352" s="1" t="str">
        <f>IFERROR(__xludf.DUMMYFUNCTION("""COMPUTED_VALUE"""),"store_005286")</f>
        <v>store_005286</v>
      </c>
    </row>
    <row r="2353" ht="15.75" customHeight="1">
      <c r="A2353" s="1" t="s">
        <v>5539</v>
      </c>
      <c r="B2353" s="1" t="s">
        <v>5540</v>
      </c>
      <c r="C2353" s="1" t="s">
        <v>4290</v>
      </c>
      <c r="K2353" s="1" t="s">
        <v>2892</v>
      </c>
      <c r="L2353" s="1" t="s">
        <v>27</v>
      </c>
      <c r="N2353" s="1" t="s">
        <v>28</v>
      </c>
      <c r="O2353" s="1" t="s">
        <v>57</v>
      </c>
      <c r="P2353" s="1" t="s">
        <v>1749</v>
      </c>
      <c r="Q2353" s="1" t="s">
        <v>1750</v>
      </c>
      <c r="R2353" s="1">
        <v>0.0</v>
      </c>
      <c r="S2353" s="1" t="str">
        <f>IFERROR(__xludf.DUMMYFUNCTION("""COMPUTED_VALUE"""),"store_005289")</f>
        <v>store_005289</v>
      </c>
    </row>
    <row r="2354" ht="15.75" customHeight="1">
      <c r="A2354" s="1" t="s">
        <v>5541</v>
      </c>
      <c r="B2354" s="1" t="s">
        <v>5542</v>
      </c>
      <c r="C2354" s="1" t="s">
        <v>5543</v>
      </c>
      <c r="K2354" s="1" t="s">
        <v>2892</v>
      </c>
      <c r="L2354" s="1" t="s">
        <v>27</v>
      </c>
      <c r="N2354" s="1" t="s">
        <v>28</v>
      </c>
      <c r="O2354" s="1" t="s">
        <v>57</v>
      </c>
      <c r="P2354" s="1" t="s">
        <v>2265</v>
      </c>
      <c r="Q2354" s="1" t="s">
        <v>2266</v>
      </c>
      <c r="R2354" s="1">
        <v>0.0</v>
      </c>
      <c r="S2354" s="1" t="str">
        <f>IFERROR(__xludf.DUMMYFUNCTION("""COMPUTED_VALUE"""),"store_005290")</f>
        <v>store_005290</v>
      </c>
    </row>
    <row r="2355" ht="15.75" customHeight="1">
      <c r="A2355" s="1" t="s">
        <v>5544</v>
      </c>
      <c r="B2355" s="1" t="s">
        <v>5545</v>
      </c>
      <c r="C2355" s="1" t="s">
        <v>38</v>
      </c>
      <c r="K2355" s="1" t="s">
        <v>2892</v>
      </c>
      <c r="L2355" s="1" t="s">
        <v>27</v>
      </c>
      <c r="N2355" s="1" t="s">
        <v>28</v>
      </c>
      <c r="O2355" s="1" t="s">
        <v>57</v>
      </c>
      <c r="P2355" s="1" t="s">
        <v>1749</v>
      </c>
      <c r="Q2355" s="1" t="s">
        <v>1750</v>
      </c>
      <c r="R2355" s="1">
        <v>0.0</v>
      </c>
      <c r="S2355" s="1" t="str">
        <f>IFERROR(__xludf.DUMMYFUNCTION("""COMPUTED_VALUE"""),"store_005291")</f>
        <v>store_005291</v>
      </c>
    </row>
    <row r="2356" ht="15.75" customHeight="1">
      <c r="A2356" s="1" t="s">
        <v>5546</v>
      </c>
      <c r="B2356" s="1" t="s">
        <v>5547</v>
      </c>
      <c r="C2356" s="1" t="s">
        <v>38</v>
      </c>
      <c r="K2356" s="1" t="s">
        <v>2892</v>
      </c>
      <c r="L2356" s="1" t="s">
        <v>27</v>
      </c>
      <c r="N2356" s="1" t="s">
        <v>28</v>
      </c>
      <c r="O2356" s="1" t="s">
        <v>57</v>
      </c>
      <c r="P2356" s="1" t="s">
        <v>1749</v>
      </c>
      <c r="Q2356" s="1" t="s">
        <v>1750</v>
      </c>
      <c r="R2356" s="1">
        <v>0.0</v>
      </c>
      <c r="S2356" s="1" t="str">
        <f>IFERROR(__xludf.DUMMYFUNCTION("""COMPUTED_VALUE"""),"store_005292")</f>
        <v>store_005292</v>
      </c>
    </row>
    <row r="2357" ht="15.75" customHeight="1">
      <c r="A2357" s="1" t="s">
        <v>5548</v>
      </c>
      <c r="B2357" s="1" t="s">
        <v>5549</v>
      </c>
      <c r="C2357" s="1" t="s">
        <v>38</v>
      </c>
      <c r="K2357" s="1" t="s">
        <v>2892</v>
      </c>
      <c r="L2357" s="1" t="s">
        <v>27</v>
      </c>
      <c r="N2357" s="1" t="s">
        <v>28</v>
      </c>
      <c r="O2357" s="1" t="s">
        <v>57</v>
      </c>
      <c r="P2357" s="1" t="s">
        <v>1749</v>
      </c>
      <c r="Q2357" s="1" t="s">
        <v>1750</v>
      </c>
      <c r="R2357" s="1">
        <v>0.0</v>
      </c>
      <c r="S2357" s="1" t="str">
        <f>IFERROR(__xludf.DUMMYFUNCTION("""COMPUTED_VALUE"""),"store_005293")</f>
        <v>store_005293</v>
      </c>
    </row>
    <row r="2358" ht="15.75" customHeight="1">
      <c r="A2358" s="1" t="s">
        <v>5550</v>
      </c>
      <c r="B2358" s="1" t="s">
        <v>5551</v>
      </c>
      <c r="C2358" s="1" t="s">
        <v>38</v>
      </c>
      <c r="K2358" s="1" t="s">
        <v>2892</v>
      </c>
      <c r="L2358" s="1" t="s">
        <v>27</v>
      </c>
      <c r="N2358" s="1" t="s">
        <v>28</v>
      </c>
      <c r="O2358" s="1" t="s">
        <v>57</v>
      </c>
      <c r="P2358" s="1" t="s">
        <v>1749</v>
      </c>
      <c r="Q2358" s="1" t="s">
        <v>1750</v>
      </c>
      <c r="R2358" s="1">
        <v>0.0</v>
      </c>
      <c r="S2358" s="1" t="str">
        <f>IFERROR(__xludf.DUMMYFUNCTION("""COMPUTED_VALUE"""),"store_005294")</f>
        <v>store_005294</v>
      </c>
    </row>
    <row r="2359" ht="15.75" customHeight="1">
      <c r="A2359" s="1" t="s">
        <v>5552</v>
      </c>
      <c r="B2359" s="1" t="s">
        <v>5553</v>
      </c>
      <c r="C2359" s="1" t="s">
        <v>38</v>
      </c>
      <c r="K2359" s="1" t="s">
        <v>2892</v>
      </c>
      <c r="L2359" s="1" t="s">
        <v>27</v>
      </c>
      <c r="N2359" s="1" t="s">
        <v>28</v>
      </c>
      <c r="O2359" s="1" t="s">
        <v>57</v>
      </c>
      <c r="P2359" s="1" t="s">
        <v>1749</v>
      </c>
      <c r="Q2359" s="1" t="s">
        <v>1750</v>
      </c>
      <c r="R2359" s="1">
        <v>0.0</v>
      </c>
      <c r="S2359" s="1" t="str">
        <f>IFERROR(__xludf.DUMMYFUNCTION("""COMPUTED_VALUE"""),"store_005295")</f>
        <v>store_005295</v>
      </c>
    </row>
    <row r="2360" ht="15.75" customHeight="1">
      <c r="A2360" s="1" t="s">
        <v>5554</v>
      </c>
      <c r="B2360" s="1" t="s">
        <v>5555</v>
      </c>
      <c r="C2360" s="1" t="s">
        <v>38</v>
      </c>
      <c r="K2360" s="1" t="s">
        <v>2892</v>
      </c>
      <c r="L2360" s="1" t="s">
        <v>27</v>
      </c>
      <c r="N2360" s="1" t="s">
        <v>28</v>
      </c>
      <c r="O2360" s="1" t="s">
        <v>57</v>
      </c>
      <c r="P2360" s="1" t="s">
        <v>1749</v>
      </c>
      <c r="Q2360" s="1" t="s">
        <v>1750</v>
      </c>
      <c r="R2360" s="1">
        <v>0.0</v>
      </c>
      <c r="S2360" s="1" t="str">
        <f>IFERROR(__xludf.DUMMYFUNCTION("""COMPUTED_VALUE"""),"store_005296")</f>
        <v>store_005296</v>
      </c>
    </row>
    <row r="2361" ht="15.75" customHeight="1">
      <c r="A2361" s="1" t="s">
        <v>5556</v>
      </c>
      <c r="B2361" s="1" t="s">
        <v>5557</v>
      </c>
      <c r="C2361" s="1" t="s">
        <v>38</v>
      </c>
      <c r="K2361" s="1" t="s">
        <v>2892</v>
      </c>
      <c r="L2361" s="1" t="s">
        <v>27</v>
      </c>
      <c r="N2361" s="1" t="s">
        <v>28</v>
      </c>
      <c r="O2361" s="1" t="s">
        <v>57</v>
      </c>
      <c r="P2361" s="1" t="s">
        <v>2265</v>
      </c>
      <c r="Q2361" s="1" t="s">
        <v>2266</v>
      </c>
      <c r="R2361" s="1">
        <v>0.0</v>
      </c>
      <c r="S2361" s="1" t="str">
        <f>IFERROR(__xludf.DUMMYFUNCTION("""COMPUTED_VALUE"""),"store_005297")</f>
        <v>store_005297</v>
      </c>
    </row>
    <row r="2362" ht="15.75" customHeight="1">
      <c r="A2362" s="1" t="s">
        <v>5558</v>
      </c>
      <c r="B2362" s="1" t="s">
        <v>5559</v>
      </c>
      <c r="C2362" s="1" t="s">
        <v>38</v>
      </c>
      <c r="K2362" s="1" t="s">
        <v>2892</v>
      </c>
      <c r="L2362" s="1" t="s">
        <v>27</v>
      </c>
      <c r="N2362" s="1" t="s">
        <v>28</v>
      </c>
      <c r="O2362" s="1" t="s">
        <v>57</v>
      </c>
      <c r="R2362" s="1">
        <v>0.0</v>
      </c>
      <c r="S2362" s="1" t="str">
        <f>IFERROR(__xludf.DUMMYFUNCTION("""COMPUTED_VALUE"""),"store_005298")</f>
        <v>store_005298</v>
      </c>
    </row>
    <row r="2363" ht="15.75" customHeight="1">
      <c r="A2363" s="1" t="s">
        <v>5560</v>
      </c>
      <c r="B2363" s="1" t="s">
        <v>5561</v>
      </c>
      <c r="C2363" s="1" t="s">
        <v>38</v>
      </c>
      <c r="K2363" s="1" t="s">
        <v>2892</v>
      </c>
      <c r="L2363" s="1" t="s">
        <v>27</v>
      </c>
      <c r="N2363" s="1" t="s">
        <v>28</v>
      </c>
      <c r="O2363" s="1" t="s">
        <v>57</v>
      </c>
      <c r="R2363" s="1">
        <v>0.0</v>
      </c>
      <c r="S2363" s="1" t="str">
        <f>IFERROR(__xludf.DUMMYFUNCTION("""COMPUTED_VALUE"""),"store_005299")</f>
        <v>store_005299</v>
      </c>
    </row>
    <row r="2364" ht="15.75" customHeight="1">
      <c r="A2364" s="1" t="s">
        <v>5562</v>
      </c>
      <c r="B2364" s="1" t="s">
        <v>5563</v>
      </c>
      <c r="C2364" s="1" t="s">
        <v>38</v>
      </c>
      <c r="K2364" s="1" t="s">
        <v>2892</v>
      </c>
      <c r="L2364" s="1" t="s">
        <v>27</v>
      </c>
      <c r="N2364" s="1" t="s">
        <v>28</v>
      </c>
      <c r="O2364" s="1" t="s">
        <v>57</v>
      </c>
      <c r="P2364" s="1" t="s">
        <v>1749</v>
      </c>
      <c r="Q2364" s="1" t="s">
        <v>1750</v>
      </c>
      <c r="R2364" s="1">
        <v>0.0</v>
      </c>
      <c r="S2364" s="1" t="str">
        <f>IFERROR(__xludf.DUMMYFUNCTION("""COMPUTED_VALUE"""),"store_005300")</f>
        <v>store_005300</v>
      </c>
    </row>
    <row r="2365" ht="15.75" customHeight="1">
      <c r="A2365" s="1" t="s">
        <v>5564</v>
      </c>
      <c r="B2365" s="1" t="s">
        <v>5565</v>
      </c>
      <c r="C2365" s="1" t="s">
        <v>38</v>
      </c>
      <c r="K2365" s="1" t="s">
        <v>2892</v>
      </c>
      <c r="L2365" s="1" t="s">
        <v>27</v>
      </c>
      <c r="N2365" s="1" t="s">
        <v>28</v>
      </c>
      <c r="O2365" s="1" t="s">
        <v>57</v>
      </c>
      <c r="R2365" s="1">
        <v>0.0</v>
      </c>
      <c r="S2365" s="1" t="str">
        <f>IFERROR(__xludf.DUMMYFUNCTION("""COMPUTED_VALUE"""),"store_005301")</f>
        <v>store_005301</v>
      </c>
    </row>
    <row r="2366" ht="15.75" customHeight="1">
      <c r="A2366" s="1" t="s">
        <v>5566</v>
      </c>
      <c r="B2366" s="1" t="s">
        <v>5567</v>
      </c>
      <c r="C2366" s="1" t="s">
        <v>630</v>
      </c>
      <c r="K2366" s="1" t="s">
        <v>2892</v>
      </c>
      <c r="L2366" s="1" t="s">
        <v>27</v>
      </c>
      <c r="N2366" s="1" t="s">
        <v>28</v>
      </c>
      <c r="O2366" s="1" t="s">
        <v>57</v>
      </c>
      <c r="R2366" s="1">
        <v>0.0</v>
      </c>
      <c r="S2366" s="1" t="str">
        <f>IFERROR(__xludf.DUMMYFUNCTION("""COMPUTED_VALUE"""),"store_005302")</f>
        <v>store_005302</v>
      </c>
    </row>
    <row r="2367" ht="15.75" customHeight="1">
      <c r="A2367" s="1" t="s">
        <v>5568</v>
      </c>
      <c r="B2367" s="1" t="s">
        <v>5569</v>
      </c>
      <c r="C2367" s="1" t="s">
        <v>617</v>
      </c>
      <c r="K2367" s="1" t="s">
        <v>2892</v>
      </c>
      <c r="L2367" s="1" t="s">
        <v>27</v>
      </c>
      <c r="N2367" s="1" t="s">
        <v>28</v>
      </c>
      <c r="O2367" s="1" t="s">
        <v>57</v>
      </c>
      <c r="R2367" s="1">
        <v>0.0</v>
      </c>
      <c r="S2367" s="1" t="str">
        <f>IFERROR(__xludf.DUMMYFUNCTION("""COMPUTED_VALUE"""),"store_005308")</f>
        <v>store_005308</v>
      </c>
    </row>
    <row r="2368" ht="15.75" customHeight="1">
      <c r="A2368" s="1" t="s">
        <v>5570</v>
      </c>
      <c r="B2368" s="1" t="s">
        <v>5571</v>
      </c>
      <c r="C2368" s="1" t="s">
        <v>617</v>
      </c>
      <c r="K2368" s="1" t="s">
        <v>2892</v>
      </c>
      <c r="L2368" s="1" t="s">
        <v>27</v>
      </c>
      <c r="N2368" s="1" t="s">
        <v>28</v>
      </c>
      <c r="O2368" s="1" t="s">
        <v>57</v>
      </c>
      <c r="R2368" s="1">
        <v>0.0</v>
      </c>
      <c r="S2368" s="1" t="str">
        <f>IFERROR(__xludf.DUMMYFUNCTION("""COMPUTED_VALUE"""),"store_005311")</f>
        <v>store_005311</v>
      </c>
    </row>
    <row r="2369" ht="15.75" customHeight="1">
      <c r="A2369" s="1" t="s">
        <v>5572</v>
      </c>
      <c r="B2369" s="1" t="s">
        <v>5573</v>
      </c>
      <c r="C2369" s="1" t="s">
        <v>617</v>
      </c>
      <c r="K2369" s="1" t="s">
        <v>2892</v>
      </c>
      <c r="L2369" s="1" t="s">
        <v>27</v>
      </c>
      <c r="N2369" s="1" t="s">
        <v>28</v>
      </c>
      <c r="O2369" s="1" t="s">
        <v>57</v>
      </c>
      <c r="R2369" s="1">
        <v>0.0</v>
      </c>
      <c r="S2369" s="1"/>
    </row>
    <row r="2370" ht="15.75" customHeight="1">
      <c r="A2370" s="1" t="s">
        <v>5574</v>
      </c>
      <c r="B2370" s="1" t="s">
        <v>5575</v>
      </c>
      <c r="C2370" s="1" t="s">
        <v>617</v>
      </c>
      <c r="K2370" s="1" t="s">
        <v>2892</v>
      </c>
      <c r="L2370" s="1" t="s">
        <v>27</v>
      </c>
      <c r="N2370" s="1" t="s">
        <v>28</v>
      </c>
      <c r="O2370" s="1" t="s">
        <v>57</v>
      </c>
      <c r="R2370" s="1">
        <v>0.0</v>
      </c>
      <c r="S2370" s="1" t="str">
        <f>IFERROR(__xludf.DUMMYFUNCTION("""COMPUTED_VALUE"""),"store_005313")</f>
        <v>store_005313</v>
      </c>
    </row>
    <row r="2371" ht="15.75" customHeight="1">
      <c r="A2371" s="1" t="s">
        <v>5576</v>
      </c>
      <c r="B2371" s="1" t="s">
        <v>5577</v>
      </c>
      <c r="C2371" s="1" t="s">
        <v>617</v>
      </c>
      <c r="K2371" s="1" t="s">
        <v>2892</v>
      </c>
      <c r="L2371" s="1" t="s">
        <v>27</v>
      </c>
      <c r="N2371" s="1" t="s">
        <v>28</v>
      </c>
      <c r="O2371" s="1" t="s">
        <v>57</v>
      </c>
      <c r="R2371" s="1">
        <v>0.0</v>
      </c>
      <c r="S2371" s="1" t="str">
        <f>IFERROR(__xludf.DUMMYFUNCTION("""COMPUTED_VALUE"""),"store_005314")</f>
        <v>store_005314</v>
      </c>
    </row>
    <row r="2372" ht="15.75" customHeight="1">
      <c r="A2372" s="1" t="s">
        <v>5578</v>
      </c>
      <c r="B2372" s="1" t="s">
        <v>5579</v>
      </c>
      <c r="C2372" s="1" t="s">
        <v>38</v>
      </c>
      <c r="K2372" s="1" t="s">
        <v>2892</v>
      </c>
      <c r="L2372" s="1" t="s">
        <v>27</v>
      </c>
      <c r="N2372" s="1" t="s">
        <v>28</v>
      </c>
      <c r="O2372" s="1" t="s">
        <v>57</v>
      </c>
      <c r="P2372" s="1" t="s">
        <v>1749</v>
      </c>
      <c r="Q2372" s="1" t="s">
        <v>1750</v>
      </c>
      <c r="R2372" s="1">
        <v>0.0</v>
      </c>
      <c r="S2372" s="1" t="str">
        <f>IFERROR(__xludf.DUMMYFUNCTION("""COMPUTED_VALUE"""),"store_005315")</f>
        <v>store_005315</v>
      </c>
    </row>
    <row r="2373" ht="15.75" customHeight="1">
      <c r="A2373" s="1" t="s">
        <v>5580</v>
      </c>
      <c r="B2373" s="1" t="s">
        <v>5581</v>
      </c>
      <c r="C2373" s="1" t="s">
        <v>38</v>
      </c>
      <c r="K2373" s="1" t="s">
        <v>2892</v>
      </c>
      <c r="L2373" s="1" t="s">
        <v>27</v>
      </c>
      <c r="N2373" s="1" t="s">
        <v>28</v>
      </c>
      <c r="O2373" s="1" t="s">
        <v>57</v>
      </c>
      <c r="R2373" s="1">
        <v>0.0</v>
      </c>
      <c r="S2373" s="1" t="str">
        <f>IFERROR(__xludf.DUMMYFUNCTION("""COMPUTED_VALUE"""),"store_005316")</f>
        <v>store_005316</v>
      </c>
    </row>
    <row r="2374" ht="15.75" customHeight="1">
      <c r="A2374" s="1" t="s">
        <v>5582</v>
      </c>
      <c r="B2374" s="1" t="s">
        <v>5583</v>
      </c>
      <c r="C2374" s="1" t="s">
        <v>38</v>
      </c>
      <c r="K2374" s="1" t="s">
        <v>2892</v>
      </c>
      <c r="L2374" s="1" t="s">
        <v>27</v>
      </c>
      <c r="N2374" s="1" t="s">
        <v>28</v>
      </c>
      <c r="O2374" s="1" t="s">
        <v>57</v>
      </c>
      <c r="R2374" s="1">
        <v>0.0</v>
      </c>
      <c r="S2374" s="1" t="str">
        <f>IFERROR(__xludf.DUMMYFUNCTION("""COMPUTED_VALUE"""),"store_005317")</f>
        <v>store_005317</v>
      </c>
    </row>
    <row r="2375" ht="15.75" customHeight="1">
      <c r="A2375" s="1" t="s">
        <v>5584</v>
      </c>
      <c r="B2375" s="1" t="s">
        <v>5585</v>
      </c>
      <c r="C2375" s="1" t="s">
        <v>38</v>
      </c>
      <c r="K2375" s="1" t="s">
        <v>2892</v>
      </c>
      <c r="L2375" s="1" t="s">
        <v>27</v>
      </c>
      <c r="N2375" s="1" t="s">
        <v>28</v>
      </c>
      <c r="O2375" s="1" t="s">
        <v>57</v>
      </c>
      <c r="R2375" s="1">
        <v>0.0</v>
      </c>
      <c r="S2375" s="1" t="str">
        <f>IFERROR(__xludf.DUMMYFUNCTION("""COMPUTED_VALUE"""),"store_005318")</f>
        <v>store_005318</v>
      </c>
    </row>
    <row r="2376" ht="15.75" customHeight="1">
      <c r="A2376" s="1" t="s">
        <v>5586</v>
      </c>
      <c r="B2376" s="1" t="s">
        <v>5587</v>
      </c>
      <c r="C2376" s="1" t="s">
        <v>38</v>
      </c>
      <c r="K2376" s="1" t="s">
        <v>2892</v>
      </c>
      <c r="L2376" s="1" t="s">
        <v>27</v>
      </c>
      <c r="N2376" s="1" t="s">
        <v>28</v>
      </c>
      <c r="O2376" s="1" t="s">
        <v>57</v>
      </c>
      <c r="P2376" s="1" t="s">
        <v>1749</v>
      </c>
      <c r="Q2376" s="1" t="s">
        <v>1750</v>
      </c>
      <c r="R2376" s="1">
        <v>0.0</v>
      </c>
      <c r="S2376" s="1" t="str">
        <f>IFERROR(__xludf.DUMMYFUNCTION("""COMPUTED_VALUE"""),"store_005319")</f>
        <v>store_005319</v>
      </c>
    </row>
    <row r="2377" ht="15.75" customHeight="1">
      <c r="A2377" s="1" t="s">
        <v>5588</v>
      </c>
      <c r="B2377" s="1" t="s">
        <v>5589</v>
      </c>
      <c r="C2377" s="1" t="s">
        <v>38</v>
      </c>
      <c r="K2377" s="1" t="s">
        <v>2892</v>
      </c>
      <c r="L2377" s="1" t="s">
        <v>27</v>
      </c>
      <c r="N2377" s="1" t="s">
        <v>28</v>
      </c>
      <c r="O2377" s="1" t="s">
        <v>57</v>
      </c>
      <c r="R2377" s="1">
        <v>0.0</v>
      </c>
      <c r="S2377" s="1" t="str">
        <f>IFERROR(__xludf.DUMMYFUNCTION("""COMPUTED_VALUE"""),"store_005320")</f>
        <v>store_005320</v>
      </c>
    </row>
    <row r="2378" ht="15.75" customHeight="1">
      <c r="A2378" s="1" t="s">
        <v>5590</v>
      </c>
      <c r="B2378" s="1" t="s">
        <v>5591</v>
      </c>
      <c r="C2378" s="1" t="s">
        <v>38</v>
      </c>
      <c r="K2378" s="1" t="s">
        <v>2892</v>
      </c>
      <c r="L2378" s="1" t="s">
        <v>27</v>
      </c>
      <c r="N2378" s="1" t="s">
        <v>28</v>
      </c>
      <c r="O2378" s="1" t="s">
        <v>57</v>
      </c>
      <c r="R2378" s="1">
        <v>0.0</v>
      </c>
      <c r="S2378" s="1" t="str">
        <f>IFERROR(__xludf.DUMMYFUNCTION("""COMPUTED_VALUE"""),"store_005321")</f>
        <v>store_005321</v>
      </c>
    </row>
    <row r="2379" ht="15.75" customHeight="1">
      <c r="A2379" s="1" t="s">
        <v>5592</v>
      </c>
      <c r="B2379" s="1" t="s">
        <v>5593</v>
      </c>
      <c r="C2379" s="1" t="s">
        <v>38</v>
      </c>
      <c r="K2379" s="1" t="s">
        <v>2892</v>
      </c>
      <c r="L2379" s="1" t="s">
        <v>27</v>
      </c>
      <c r="N2379" s="1" t="s">
        <v>28</v>
      </c>
      <c r="O2379" s="1" t="s">
        <v>57</v>
      </c>
      <c r="R2379" s="1">
        <v>0.0</v>
      </c>
      <c r="S2379" s="1" t="str">
        <f>IFERROR(__xludf.DUMMYFUNCTION("""COMPUTED_VALUE"""),"store_005322")</f>
        <v>store_005322</v>
      </c>
    </row>
    <row r="2380" ht="15.75" customHeight="1">
      <c r="A2380" s="1" t="s">
        <v>5594</v>
      </c>
      <c r="B2380" s="1" t="s">
        <v>5595</v>
      </c>
      <c r="C2380" s="1" t="s">
        <v>38</v>
      </c>
      <c r="K2380" s="1" t="s">
        <v>2892</v>
      </c>
      <c r="L2380" s="1" t="s">
        <v>27</v>
      </c>
      <c r="N2380" s="1" t="s">
        <v>28</v>
      </c>
      <c r="O2380" s="1" t="s">
        <v>57</v>
      </c>
      <c r="R2380" s="1">
        <v>0.0</v>
      </c>
      <c r="S2380" s="1" t="str">
        <f>IFERROR(__xludf.DUMMYFUNCTION("""COMPUTED_VALUE"""),"store_005323")</f>
        <v>store_005323</v>
      </c>
    </row>
    <row r="2381" ht="15.75" customHeight="1">
      <c r="A2381" s="1" t="s">
        <v>5596</v>
      </c>
      <c r="B2381" s="1" t="s">
        <v>5597</v>
      </c>
      <c r="C2381" s="1" t="s">
        <v>38</v>
      </c>
      <c r="K2381" s="1" t="s">
        <v>2892</v>
      </c>
      <c r="L2381" s="1" t="s">
        <v>27</v>
      </c>
      <c r="N2381" s="1" t="s">
        <v>28</v>
      </c>
      <c r="O2381" s="1" t="s">
        <v>57</v>
      </c>
      <c r="R2381" s="1">
        <v>0.0</v>
      </c>
      <c r="S2381" s="1" t="str">
        <f>IFERROR(__xludf.DUMMYFUNCTION("""COMPUTED_VALUE"""),"store_005324")</f>
        <v>store_005324</v>
      </c>
    </row>
    <row r="2382" ht="15.75" customHeight="1">
      <c r="A2382" s="1" t="s">
        <v>5598</v>
      </c>
      <c r="B2382" s="1" t="s">
        <v>5599</v>
      </c>
      <c r="C2382" s="1" t="s">
        <v>38</v>
      </c>
      <c r="K2382" s="1" t="s">
        <v>2892</v>
      </c>
      <c r="L2382" s="1" t="s">
        <v>27</v>
      </c>
      <c r="N2382" s="1" t="s">
        <v>28</v>
      </c>
      <c r="O2382" s="1" t="s">
        <v>57</v>
      </c>
      <c r="R2382" s="1">
        <v>0.0</v>
      </c>
      <c r="S2382" s="1" t="str">
        <f>IFERROR(__xludf.DUMMYFUNCTION("""COMPUTED_VALUE"""),"store_005325")</f>
        <v>store_005325</v>
      </c>
    </row>
    <row r="2383" ht="15.75" customHeight="1">
      <c r="A2383" s="1" t="s">
        <v>5600</v>
      </c>
      <c r="B2383" s="1" t="s">
        <v>5601</v>
      </c>
      <c r="C2383" s="1" t="s">
        <v>38</v>
      </c>
      <c r="K2383" s="1" t="s">
        <v>2892</v>
      </c>
      <c r="L2383" s="1" t="s">
        <v>27</v>
      </c>
      <c r="N2383" s="1" t="s">
        <v>28</v>
      </c>
      <c r="O2383" s="1" t="s">
        <v>57</v>
      </c>
      <c r="R2383" s="1">
        <v>0.0</v>
      </c>
      <c r="S2383" s="1" t="str">
        <f>IFERROR(__xludf.DUMMYFUNCTION("""COMPUTED_VALUE"""),"store_005326")</f>
        <v>store_005326</v>
      </c>
    </row>
    <row r="2384" ht="15.75" customHeight="1">
      <c r="A2384" s="1" t="s">
        <v>5602</v>
      </c>
      <c r="B2384" s="1" t="s">
        <v>5603</v>
      </c>
      <c r="C2384" s="1" t="s">
        <v>38</v>
      </c>
      <c r="K2384" s="1" t="s">
        <v>2892</v>
      </c>
      <c r="L2384" s="1" t="s">
        <v>27</v>
      </c>
      <c r="N2384" s="1" t="s">
        <v>28</v>
      </c>
      <c r="O2384" s="1" t="s">
        <v>57</v>
      </c>
      <c r="R2384" s="1">
        <v>0.0</v>
      </c>
      <c r="S2384" s="1" t="str">
        <f>IFERROR(__xludf.DUMMYFUNCTION("""COMPUTED_VALUE"""),"store_005327")</f>
        <v>store_005327</v>
      </c>
    </row>
    <row r="2385" ht="15.75" customHeight="1">
      <c r="A2385" s="1" t="s">
        <v>5604</v>
      </c>
      <c r="B2385" s="1" t="s">
        <v>5605</v>
      </c>
      <c r="C2385" s="1" t="s">
        <v>38</v>
      </c>
      <c r="K2385" s="1" t="s">
        <v>2892</v>
      </c>
      <c r="L2385" s="1" t="s">
        <v>27</v>
      </c>
      <c r="N2385" s="1" t="s">
        <v>28</v>
      </c>
      <c r="O2385" s="1" t="s">
        <v>57</v>
      </c>
      <c r="R2385" s="1">
        <v>0.0</v>
      </c>
      <c r="S2385" s="1" t="str">
        <f>IFERROR(__xludf.DUMMYFUNCTION("""COMPUTED_VALUE"""),"store_005328")</f>
        <v>store_005328</v>
      </c>
    </row>
    <row r="2386" ht="15.75" customHeight="1">
      <c r="A2386" s="1" t="s">
        <v>5606</v>
      </c>
      <c r="B2386" s="1" t="s">
        <v>5607</v>
      </c>
      <c r="C2386" s="1" t="s">
        <v>38</v>
      </c>
      <c r="K2386" s="1" t="s">
        <v>2892</v>
      </c>
      <c r="L2386" s="1" t="s">
        <v>27</v>
      </c>
      <c r="N2386" s="1" t="s">
        <v>28</v>
      </c>
      <c r="O2386" s="1" t="s">
        <v>57</v>
      </c>
      <c r="P2386" s="1" t="s">
        <v>1749</v>
      </c>
      <c r="Q2386" s="1" t="s">
        <v>1750</v>
      </c>
      <c r="R2386" s="1">
        <v>0.0</v>
      </c>
      <c r="S2386" s="1" t="str">
        <f>IFERROR(__xludf.DUMMYFUNCTION("""COMPUTED_VALUE"""),"store_005329")</f>
        <v>store_005329</v>
      </c>
    </row>
    <row r="2387" ht="15.75" customHeight="1">
      <c r="A2387" s="1" t="s">
        <v>5608</v>
      </c>
      <c r="B2387" s="1" t="s">
        <v>5609</v>
      </c>
      <c r="C2387" s="1" t="s">
        <v>38</v>
      </c>
      <c r="K2387" s="1" t="s">
        <v>2892</v>
      </c>
      <c r="L2387" s="1" t="s">
        <v>27</v>
      </c>
      <c r="N2387" s="1" t="s">
        <v>28</v>
      </c>
      <c r="O2387" s="1" t="s">
        <v>57</v>
      </c>
      <c r="R2387" s="1">
        <v>0.0</v>
      </c>
      <c r="S2387" s="1" t="str">
        <f>IFERROR(__xludf.DUMMYFUNCTION("""COMPUTED_VALUE"""),"store_005330")</f>
        <v>store_005330</v>
      </c>
    </row>
    <row r="2388" ht="15.75" customHeight="1">
      <c r="A2388" s="1" t="s">
        <v>5610</v>
      </c>
      <c r="B2388" s="1" t="s">
        <v>5611</v>
      </c>
      <c r="C2388" s="1" t="s">
        <v>38</v>
      </c>
      <c r="K2388" s="1" t="s">
        <v>2892</v>
      </c>
      <c r="L2388" s="1" t="s">
        <v>27</v>
      </c>
      <c r="N2388" s="1" t="s">
        <v>28</v>
      </c>
      <c r="O2388" s="1" t="s">
        <v>57</v>
      </c>
      <c r="R2388" s="1">
        <v>0.0</v>
      </c>
      <c r="S2388" s="1" t="str">
        <f>IFERROR(__xludf.DUMMYFUNCTION("""COMPUTED_VALUE"""),"store_005331")</f>
        <v>store_005331</v>
      </c>
    </row>
    <row r="2389" ht="15.75" customHeight="1">
      <c r="A2389" s="1" t="s">
        <v>5612</v>
      </c>
      <c r="B2389" s="1" t="s">
        <v>5613</v>
      </c>
      <c r="C2389" s="1" t="s">
        <v>38</v>
      </c>
      <c r="K2389" s="1" t="s">
        <v>2892</v>
      </c>
      <c r="L2389" s="1" t="s">
        <v>27</v>
      </c>
      <c r="N2389" s="1" t="s">
        <v>28</v>
      </c>
      <c r="O2389" s="1" t="s">
        <v>57</v>
      </c>
      <c r="P2389" s="1" t="s">
        <v>1749</v>
      </c>
      <c r="Q2389" s="1" t="s">
        <v>1750</v>
      </c>
      <c r="R2389" s="1">
        <v>0.0</v>
      </c>
      <c r="S2389" s="1" t="str">
        <f>IFERROR(__xludf.DUMMYFUNCTION("""COMPUTED_VALUE"""),"store_005335")</f>
        <v>store_005335</v>
      </c>
    </row>
    <row r="2390" ht="15.75" customHeight="1">
      <c r="A2390" s="1" t="s">
        <v>5614</v>
      </c>
      <c r="B2390" s="1" t="s">
        <v>5615</v>
      </c>
      <c r="C2390" s="1" t="s">
        <v>38</v>
      </c>
      <c r="K2390" s="1" t="s">
        <v>2892</v>
      </c>
      <c r="L2390" s="1" t="s">
        <v>27</v>
      </c>
      <c r="N2390" s="1" t="s">
        <v>28</v>
      </c>
      <c r="O2390" s="1" t="s">
        <v>57</v>
      </c>
      <c r="R2390" s="1">
        <v>0.0</v>
      </c>
      <c r="S2390" s="1"/>
    </row>
    <row r="2391" ht="15.75" customHeight="1">
      <c r="A2391" s="1" t="s">
        <v>5616</v>
      </c>
      <c r="B2391" s="1" t="s">
        <v>5617</v>
      </c>
      <c r="C2391" s="1" t="s">
        <v>38</v>
      </c>
      <c r="K2391" s="1" t="s">
        <v>2892</v>
      </c>
      <c r="L2391" s="1" t="s">
        <v>27</v>
      </c>
      <c r="N2391" s="1" t="s">
        <v>28</v>
      </c>
      <c r="O2391" s="1" t="s">
        <v>57</v>
      </c>
      <c r="P2391" s="1" t="s">
        <v>1749</v>
      </c>
      <c r="Q2391" s="1" t="s">
        <v>1750</v>
      </c>
      <c r="R2391" s="1">
        <v>0.0</v>
      </c>
      <c r="S2391" s="1" t="str">
        <f>IFERROR(__xludf.DUMMYFUNCTION("""COMPUTED_VALUE"""),"store_005338")</f>
        <v>store_005338</v>
      </c>
    </row>
    <row r="2392" ht="15.75" customHeight="1">
      <c r="A2392" s="1" t="s">
        <v>5618</v>
      </c>
      <c r="B2392" s="1" t="s">
        <v>5619</v>
      </c>
      <c r="C2392" s="1" t="s">
        <v>38</v>
      </c>
      <c r="K2392" s="1" t="s">
        <v>2892</v>
      </c>
      <c r="L2392" s="1" t="s">
        <v>27</v>
      </c>
      <c r="N2392" s="1" t="s">
        <v>28</v>
      </c>
      <c r="O2392" s="1" t="s">
        <v>57</v>
      </c>
      <c r="P2392" s="1" t="s">
        <v>1749</v>
      </c>
      <c r="Q2392" s="1" t="s">
        <v>1750</v>
      </c>
      <c r="R2392" s="1">
        <v>0.0</v>
      </c>
      <c r="S2392" s="1" t="str">
        <f>IFERROR(__xludf.DUMMYFUNCTION("""COMPUTED_VALUE"""),"store_005339")</f>
        <v>store_005339</v>
      </c>
    </row>
    <row r="2393" ht="15.75" customHeight="1">
      <c r="A2393" s="1" t="s">
        <v>5620</v>
      </c>
      <c r="B2393" s="1" t="s">
        <v>5621</v>
      </c>
      <c r="C2393" s="1" t="s">
        <v>38</v>
      </c>
      <c r="K2393" s="1" t="s">
        <v>2892</v>
      </c>
      <c r="L2393" s="1" t="s">
        <v>27</v>
      </c>
      <c r="N2393" s="1" t="s">
        <v>28</v>
      </c>
      <c r="O2393" s="1" t="s">
        <v>57</v>
      </c>
      <c r="R2393" s="1">
        <v>0.0</v>
      </c>
      <c r="S2393" s="1"/>
    </row>
    <row r="2394" ht="15.75" customHeight="1">
      <c r="A2394" s="1" t="s">
        <v>5622</v>
      </c>
      <c r="B2394" s="1" t="s">
        <v>5623</v>
      </c>
      <c r="C2394" s="1" t="s">
        <v>38</v>
      </c>
      <c r="K2394" s="1" t="s">
        <v>2892</v>
      </c>
      <c r="L2394" s="1" t="s">
        <v>27</v>
      </c>
      <c r="N2394" s="1" t="s">
        <v>28</v>
      </c>
      <c r="O2394" s="1" t="s">
        <v>57</v>
      </c>
      <c r="R2394" s="1">
        <v>0.0</v>
      </c>
      <c r="S2394" s="1" t="str">
        <f>IFERROR(__xludf.DUMMYFUNCTION("""COMPUTED_VALUE"""),"store_005341")</f>
        <v>store_005341</v>
      </c>
    </row>
    <row r="2395" ht="15.75" customHeight="1">
      <c r="A2395" s="1" t="s">
        <v>5624</v>
      </c>
      <c r="B2395" s="1" t="s">
        <v>5625</v>
      </c>
      <c r="C2395" s="1" t="s">
        <v>38</v>
      </c>
      <c r="K2395" s="1" t="s">
        <v>2892</v>
      </c>
      <c r="L2395" s="1" t="s">
        <v>27</v>
      </c>
      <c r="N2395" s="1" t="s">
        <v>28</v>
      </c>
      <c r="O2395" s="1" t="s">
        <v>57</v>
      </c>
      <c r="P2395" s="1" t="s">
        <v>1749</v>
      </c>
      <c r="Q2395" s="1" t="s">
        <v>1750</v>
      </c>
      <c r="R2395" s="1">
        <v>0.0</v>
      </c>
      <c r="S2395" s="1" t="str">
        <f>IFERROR(__xludf.DUMMYFUNCTION("""COMPUTED_VALUE"""),"")</f>
        <v/>
      </c>
    </row>
    <row r="2396" ht="15.75" customHeight="1">
      <c r="A2396" s="1" t="s">
        <v>5626</v>
      </c>
      <c r="B2396" s="1" t="s">
        <v>5627</v>
      </c>
      <c r="C2396" s="1" t="s">
        <v>38</v>
      </c>
      <c r="K2396" s="1" t="s">
        <v>2892</v>
      </c>
      <c r="L2396" s="1" t="s">
        <v>27</v>
      </c>
      <c r="N2396" s="1" t="s">
        <v>28</v>
      </c>
      <c r="O2396" s="1" t="s">
        <v>57</v>
      </c>
      <c r="P2396" s="1" t="s">
        <v>1749</v>
      </c>
      <c r="Q2396" s="1" t="s">
        <v>1750</v>
      </c>
      <c r="R2396" s="1">
        <v>0.0</v>
      </c>
      <c r="S2396" s="1" t="str">
        <f>IFERROR(__xludf.DUMMYFUNCTION("""COMPUTED_VALUE"""),"store_005344")</f>
        <v>store_005344</v>
      </c>
    </row>
    <row r="2397" ht="15.75" customHeight="1">
      <c r="A2397" s="1" t="s">
        <v>5628</v>
      </c>
      <c r="B2397" s="1" t="s">
        <v>5629</v>
      </c>
      <c r="C2397" s="1" t="s">
        <v>38</v>
      </c>
      <c r="K2397" s="1" t="s">
        <v>2892</v>
      </c>
      <c r="L2397" s="1" t="s">
        <v>27</v>
      </c>
      <c r="N2397" s="1" t="s">
        <v>28</v>
      </c>
      <c r="O2397" s="1" t="s">
        <v>57</v>
      </c>
      <c r="P2397" s="1" t="s">
        <v>1749</v>
      </c>
      <c r="Q2397" s="1" t="s">
        <v>1750</v>
      </c>
      <c r="R2397" s="1">
        <v>0.0</v>
      </c>
      <c r="S2397" s="1" t="str">
        <f>IFERROR(__xludf.DUMMYFUNCTION("""COMPUTED_VALUE"""),"store_005345")</f>
        <v>store_005345</v>
      </c>
    </row>
    <row r="2398" ht="15.75" customHeight="1">
      <c r="A2398" s="1" t="s">
        <v>5630</v>
      </c>
      <c r="B2398" s="1" t="s">
        <v>5631</v>
      </c>
      <c r="C2398" s="1" t="s">
        <v>38</v>
      </c>
      <c r="K2398" s="1" t="s">
        <v>2892</v>
      </c>
      <c r="L2398" s="1" t="s">
        <v>27</v>
      </c>
      <c r="N2398" s="1" t="s">
        <v>28</v>
      </c>
      <c r="O2398" s="1" t="s">
        <v>57</v>
      </c>
      <c r="P2398" s="1" t="s">
        <v>1749</v>
      </c>
      <c r="Q2398" s="1" t="s">
        <v>1750</v>
      </c>
      <c r="R2398" s="1">
        <v>0.0</v>
      </c>
      <c r="S2398" s="1" t="str">
        <f>IFERROR(__xludf.DUMMYFUNCTION("""COMPUTED_VALUE"""),"store_005346")</f>
        <v>store_005346</v>
      </c>
    </row>
    <row r="2399" ht="15.75" customHeight="1">
      <c r="A2399" s="1" t="s">
        <v>5632</v>
      </c>
      <c r="B2399" s="1" t="s">
        <v>5633</v>
      </c>
      <c r="C2399" s="1" t="s">
        <v>38</v>
      </c>
      <c r="K2399" s="1" t="s">
        <v>2892</v>
      </c>
      <c r="L2399" s="1" t="s">
        <v>27</v>
      </c>
      <c r="N2399" s="1" t="s">
        <v>28</v>
      </c>
      <c r="O2399" s="1" t="s">
        <v>57</v>
      </c>
      <c r="P2399" s="1" t="s">
        <v>1749</v>
      </c>
      <c r="Q2399" s="1" t="s">
        <v>1750</v>
      </c>
      <c r="R2399" s="1">
        <v>0.0</v>
      </c>
      <c r="S2399" s="1" t="str">
        <f>IFERROR(__xludf.DUMMYFUNCTION("""COMPUTED_VALUE"""),"store_005347")</f>
        <v>store_005347</v>
      </c>
    </row>
    <row r="2400" ht="15.75" customHeight="1">
      <c r="A2400" s="1" t="s">
        <v>5634</v>
      </c>
      <c r="B2400" s="1" t="s">
        <v>5635</v>
      </c>
      <c r="C2400" s="1" t="s">
        <v>38</v>
      </c>
      <c r="K2400" s="1" t="s">
        <v>2892</v>
      </c>
      <c r="L2400" s="1" t="s">
        <v>27</v>
      </c>
      <c r="N2400" s="1" t="s">
        <v>28</v>
      </c>
      <c r="O2400" s="1" t="s">
        <v>57</v>
      </c>
      <c r="P2400" s="1" t="s">
        <v>1749</v>
      </c>
      <c r="Q2400" s="1" t="s">
        <v>1750</v>
      </c>
      <c r="R2400" s="1">
        <v>0.0</v>
      </c>
      <c r="S2400" s="1" t="str">
        <f>IFERROR(__xludf.DUMMYFUNCTION("""COMPUTED_VALUE"""),"store_005348")</f>
        <v>store_005348</v>
      </c>
    </row>
    <row r="2401" ht="15.75" customHeight="1">
      <c r="A2401" s="1" t="s">
        <v>5636</v>
      </c>
      <c r="B2401" s="1" t="s">
        <v>5637</v>
      </c>
      <c r="C2401" s="1" t="s">
        <v>38</v>
      </c>
      <c r="K2401" s="1" t="s">
        <v>2892</v>
      </c>
      <c r="L2401" s="1" t="s">
        <v>27</v>
      </c>
      <c r="N2401" s="1" t="s">
        <v>28</v>
      </c>
      <c r="O2401" s="1" t="s">
        <v>57</v>
      </c>
      <c r="P2401" s="1" t="s">
        <v>1749</v>
      </c>
      <c r="Q2401" s="1" t="s">
        <v>1750</v>
      </c>
      <c r="R2401" s="1">
        <v>0.0</v>
      </c>
      <c r="S2401" s="1" t="str">
        <f>IFERROR(__xludf.DUMMYFUNCTION("""COMPUTED_VALUE"""),"store_005349")</f>
        <v>store_005349</v>
      </c>
    </row>
    <row r="2402" ht="15.75" customHeight="1">
      <c r="A2402" s="1" t="s">
        <v>5638</v>
      </c>
      <c r="B2402" s="1" t="s">
        <v>5639</v>
      </c>
      <c r="C2402" s="1" t="s">
        <v>38</v>
      </c>
      <c r="K2402" s="1" t="s">
        <v>2892</v>
      </c>
      <c r="L2402" s="1" t="s">
        <v>27</v>
      </c>
      <c r="N2402" s="1" t="s">
        <v>28</v>
      </c>
      <c r="O2402" s="1" t="s">
        <v>57</v>
      </c>
      <c r="P2402" s="1" t="s">
        <v>1749</v>
      </c>
      <c r="Q2402" s="1" t="s">
        <v>1750</v>
      </c>
      <c r="R2402" s="1">
        <v>0.0</v>
      </c>
      <c r="S2402" s="1" t="str">
        <f>IFERROR(__xludf.DUMMYFUNCTION("""COMPUTED_VALUE"""),"store_005350")</f>
        <v>store_005350</v>
      </c>
    </row>
    <row r="2403" ht="15.75" customHeight="1">
      <c r="A2403" s="1" t="s">
        <v>5640</v>
      </c>
      <c r="B2403" s="1" t="s">
        <v>5641</v>
      </c>
      <c r="C2403" s="1" t="s">
        <v>38</v>
      </c>
      <c r="K2403" s="1" t="s">
        <v>2892</v>
      </c>
      <c r="L2403" s="1" t="s">
        <v>27</v>
      </c>
      <c r="N2403" s="1" t="s">
        <v>28</v>
      </c>
      <c r="O2403" s="1" t="s">
        <v>57</v>
      </c>
      <c r="R2403" s="1">
        <v>0.0</v>
      </c>
      <c r="S2403" s="1" t="str">
        <f>IFERROR(__xludf.DUMMYFUNCTION("""COMPUTED_VALUE"""),"store_005351")</f>
        <v>store_005351</v>
      </c>
    </row>
    <row r="2404" ht="15.75" customHeight="1">
      <c r="A2404" s="1" t="s">
        <v>5642</v>
      </c>
      <c r="B2404" s="1" t="s">
        <v>5643</v>
      </c>
      <c r="C2404" s="1" t="s">
        <v>38</v>
      </c>
      <c r="K2404" s="1" t="s">
        <v>2892</v>
      </c>
      <c r="L2404" s="1" t="s">
        <v>27</v>
      </c>
      <c r="N2404" s="1" t="s">
        <v>28</v>
      </c>
      <c r="O2404" s="1" t="s">
        <v>57</v>
      </c>
      <c r="P2404" s="1" t="s">
        <v>1749</v>
      </c>
      <c r="Q2404" s="1" t="s">
        <v>1750</v>
      </c>
      <c r="R2404" s="1">
        <v>0.0</v>
      </c>
      <c r="S2404" s="1" t="str">
        <f>IFERROR(__xludf.DUMMYFUNCTION("""COMPUTED_VALUE"""),"store_005352")</f>
        <v>store_005352</v>
      </c>
    </row>
    <row r="2405" ht="15.75" customHeight="1">
      <c r="A2405" s="1" t="s">
        <v>5644</v>
      </c>
      <c r="B2405" s="1" t="s">
        <v>5645</v>
      </c>
      <c r="C2405" s="1" t="s">
        <v>38</v>
      </c>
      <c r="K2405" s="1" t="s">
        <v>2892</v>
      </c>
      <c r="L2405" s="1" t="s">
        <v>27</v>
      </c>
      <c r="N2405" s="1" t="s">
        <v>28</v>
      </c>
      <c r="O2405" s="1" t="s">
        <v>57</v>
      </c>
      <c r="P2405" s="1" t="s">
        <v>1749</v>
      </c>
      <c r="Q2405" s="1" t="s">
        <v>1750</v>
      </c>
      <c r="R2405" s="1">
        <v>0.0</v>
      </c>
      <c r="S2405" s="1" t="str">
        <f>IFERROR(__xludf.DUMMYFUNCTION("""COMPUTED_VALUE"""),"store_005353")</f>
        <v>store_005353</v>
      </c>
    </row>
    <row r="2406" ht="15.75" customHeight="1">
      <c r="A2406" s="1" t="s">
        <v>5646</v>
      </c>
      <c r="B2406" s="1" t="s">
        <v>5647</v>
      </c>
      <c r="C2406" s="1" t="s">
        <v>38</v>
      </c>
      <c r="K2406" s="1" t="s">
        <v>2892</v>
      </c>
      <c r="L2406" s="1" t="s">
        <v>27</v>
      </c>
      <c r="N2406" s="1" t="s">
        <v>28</v>
      </c>
      <c r="O2406" s="1" t="s">
        <v>57</v>
      </c>
      <c r="R2406" s="1">
        <v>0.0</v>
      </c>
      <c r="S2406" s="1" t="str">
        <f>IFERROR(__xludf.DUMMYFUNCTION("""COMPUTED_VALUE"""),"store_005354")</f>
        <v>store_005354</v>
      </c>
    </row>
    <row r="2407" ht="15.75" customHeight="1">
      <c r="A2407" s="1" t="s">
        <v>5648</v>
      </c>
      <c r="B2407" s="1" t="s">
        <v>5649</v>
      </c>
      <c r="C2407" s="1" t="s">
        <v>38</v>
      </c>
      <c r="K2407" s="1" t="s">
        <v>2892</v>
      </c>
      <c r="L2407" s="1" t="s">
        <v>27</v>
      </c>
      <c r="N2407" s="1" t="s">
        <v>28</v>
      </c>
      <c r="O2407" s="1" t="s">
        <v>57</v>
      </c>
      <c r="P2407" s="1" t="s">
        <v>1749</v>
      </c>
      <c r="Q2407" s="1" t="s">
        <v>1750</v>
      </c>
      <c r="R2407" s="1">
        <v>0.0</v>
      </c>
      <c r="S2407" s="1" t="str">
        <f>IFERROR(__xludf.DUMMYFUNCTION("""COMPUTED_VALUE"""),"store_005355")</f>
        <v>store_005355</v>
      </c>
    </row>
    <row r="2408" ht="15.75" customHeight="1">
      <c r="A2408" s="1" t="s">
        <v>5650</v>
      </c>
      <c r="B2408" s="1" t="s">
        <v>5651</v>
      </c>
      <c r="C2408" s="1" t="s">
        <v>38</v>
      </c>
      <c r="K2408" s="1" t="s">
        <v>2892</v>
      </c>
      <c r="L2408" s="1" t="s">
        <v>27</v>
      </c>
      <c r="N2408" s="1" t="s">
        <v>28</v>
      </c>
      <c r="O2408" s="1" t="s">
        <v>57</v>
      </c>
      <c r="P2408" s="1" t="s">
        <v>1749</v>
      </c>
      <c r="Q2408" s="1" t="s">
        <v>1750</v>
      </c>
      <c r="R2408" s="1">
        <v>0.0</v>
      </c>
      <c r="S2408" s="1" t="str">
        <f>IFERROR(__xludf.DUMMYFUNCTION("""COMPUTED_VALUE"""),"store_005356")</f>
        <v>store_005356</v>
      </c>
    </row>
    <row r="2409" ht="15.75" customHeight="1">
      <c r="A2409" s="1" t="s">
        <v>5652</v>
      </c>
      <c r="B2409" s="1" t="s">
        <v>5653</v>
      </c>
      <c r="C2409" s="1" t="s">
        <v>38</v>
      </c>
      <c r="K2409" s="1" t="s">
        <v>2892</v>
      </c>
      <c r="L2409" s="1" t="s">
        <v>27</v>
      </c>
      <c r="N2409" s="1" t="s">
        <v>28</v>
      </c>
      <c r="O2409" s="1" t="s">
        <v>57</v>
      </c>
      <c r="P2409" s="1" t="s">
        <v>1749</v>
      </c>
      <c r="Q2409" s="1" t="s">
        <v>1750</v>
      </c>
      <c r="R2409" s="1">
        <v>0.0</v>
      </c>
      <c r="S2409" s="1" t="str">
        <f>IFERROR(__xludf.DUMMYFUNCTION("""COMPUTED_VALUE"""),"store_005357")</f>
        <v>store_005357</v>
      </c>
    </row>
    <row r="2410" ht="15.75" customHeight="1">
      <c r="A2410" s="1" t="s">
        <v>5654</v>
      </c>
      <c r="B2410" s="1" t="s">
        <v>5655</v>
      </c>
      <c r="C2410" s="1" t="s">
        <v>38</v>
      </c>
      <c r="K2410" s="1" t="s">
        <v>2892</v>
      </c>
      <c r="L2410" s="1" t="s">
        <v>27</v>
      </c>
      <c r="N2410" s="1" t="s">
        <v>28</v>
      </c>
      <c r="O2410" s="1" t="s">
        <v>57</v>
      </c>
      <c r="P2410" s="1" t="s">
        <v>5656</v>
      </c>
      <c r="Q2410" s="1" t="s">
        <v>5657</v>
      </c>
      <c r="R2410" s="1">
        <v>0.0</v>
      </c>
      <c r="S2410" s="1" t="str">
        <f>IFERROR(__xludf.DUMMYFUNCTION("""COMPUTED_VALUE"""),"store_005358")</f>
        <v>store_005358</v>
      </c>
    </row>
    <row r="2411" ht="15.75" customHeight="1">
      <c r="A2411" s="1" t="s">
        <v>5658</v>
      </c>
      <c r="B2411" s="1" t="s">
        <v>5659</v>
      </c>
      <c r="C2411" s="1" t="s">
        <v>38</v>
      </c>
      <c r="K2411" s="1" t="s">
        <v>2892</v>
      </c>
      <c r="L2411" s="1" t="s">
        <v>27</v>
      </c>
      <c r="N2411" s="1" t="s">
        <v>28</v>
      </c>
      <c r="O2411" s="1" t="s">
        <v>57</v>
      </c>
      <c r="P2411" s="1" t="s">
        <v>1749</v>
      </c>
      <c r="Q2411" s="1" t="s">
        <v>1750</v>
      </c>
      <c r="R2411" s="1">
        <v>0.0</v>
      </c>
      <c r="S2411" s="1" t="str">
        <f>IFERROR(__xludf.DUMMYFUNCTION("""COMPUTED_VALUE"""),"store_005359")</f>
        <v>store_005359</v>
      </c>
    </row>
    <row r="2412" ht="15.75" customHeight="1">
      <c r="A2412" s="1" t="s">
        <v>5660</v>
      </c>
      <c r="B2412" s="1" t="s">
        <v>5661</v>
      </c>
      <c r="C2412" s="1" t="s">
        <v>38</v>
      </c>
      <c r="K2412" s="1" t="s">
        <v>2892</v>
      </c>
      <c r="L2412" s="1" t="s">
        <v>27</v>
      </c>
      <c r="N2412" s="1" t="s">
        <v>28</v>
      </c>
      <c r="O2412" s="1" t="s">
        <v>57</v>
      </c>
      <c r="P2412" s="1" t="s">
        <v>1749</v>
      </c>
      <c r="Q2412" s="1" t="s">
        <v>1750</v>
      </c>
      <c r="R2412" s="1">
        <v>0.0</v>
      </c>
      <c r="S2412" s="1" t="str">
        <f>IFERROR(__xludf.DUMMYFUNCTION("""COMPUTED_VALUE"""),"store_005360")</f>
        <v>store_005360</v>
      </c>
    </row>
    <row r="2413" ht="15.75" customHeight="1">
      <c r="A2413" s="1" t="s">
        <v>5662</v>
      </c>
      <c r="B2413" s="1" t="s">
        <v>5663</v>
      </c>
      <c r="C2413" s="1" t="s">
        <v>38</v>
      </c>
      <c r="K2413" s="1" t="s">
        <v>2892</v>
      </c>
      <c r="L2413" s="1" t="s">
        <v>27</v>
      </c>
      <c r="N2413" s="1" t="s">
        <v>28</v>
      </c>
      <c r="O2413" s="1" t="s">
        <v>57</v>
      </c>
      <c r="P2413" s="1" t="s">
        <v>1749</v>
      </c>
      <c r="Q2413" s="1" t="s">
        <v>1750</v>
      </c>
      <c r="R2413" s="1">
        <v>0.0</v>
      </c>
      <c r="S2413" s="1" t="str">
        <f>IFERROR(__xludf.DUMMYFUNCTION("""COMPUTED_VALUE"""),"store_005362")</f>
        <v>store_005362</v>
      </c>
    </row>
    <row r="2414" ht="15.75" customHeight="1">
      <c r="A2414" s="1" t="s">
        <v>5664</v>
      </c>
      <c r="B2414" s="1" t="s">
        <v>5665</v>
      </c>
      <c r="C2414" s="1" t="s">
        <v>38</v>
      </c>
      <c r="K2414" s="1" t="s">
        <v>2892</v>
      </c>
      <c r="L2414" s="1" t="s">
        <v>27</v>
      </c>
      <c r="N2414" s="1" t="s">
        <v>28</v>
      </c>
      <c r="O2414" s="1" t="s">
        <v>57</v>
      </c>
      <c r="R2414" s="1">
        <v>0.0</v>
      </c>
      <c r="S2414" s="1" t="str">
        <f>IFERROR(__xludf.DUMMYFUNCTION("""COMPUTED_VALUE"""),"store_005363")</f>
        <v>store_005363</v>
      </c>
    </row>
    <row r="2415" ht="15.75" customHeight="1">
      <c r="A2415" s="1" t="s">
        <v>5666</v>
      </c>
      <c r="B2415" s="1" t="s">
        <v>5667</v>
      </c>
      <c r="C2415" s="1" t="s">
        <v>174</v>
      </c>
      <c r="E2415" s="1">
        <v>28.5389118</v>
      </c>
      <c r="F2415" s="1">
        <v>77.2721347</v>
      </c>
      <c r="G2415" s="1" t="s">
        <v>2511</v>
      </c>
      <c r="H2415" s="1" t="s">
        <v>2512</v>
      </c>
      <c r="J2415" s="1" t="s">
        <v>118</v>
      </c>
      <c r="R2415" s="1">
        <v>2.0</v>
      </c>
      <c r="S2415" s="1"/>
    </row>
    <row r="2416" ht="15.75" customHeight="1">
      <c r="A2416" s="1" t="s">
        <v>5668</v>
      </c>
      <c r="B2416" s="1" t="s">
        <v>5669</v>
      </c>
      <c r="C2416" s="1" t="s">
        <v>38</v>
      </c>
      <c r="K2416" s="1" t="s">
        <v>2892</v>
      </c>
      <c r="L2416" s="1" t="s">
        <v>27</v>
      </c>
      <c r="N2416" s="1" t="s">
        <v>28</v>
      </c>
      <c r="O2416" s="1" t="s">
        <v>57</v>
      </c>
      <c r="R2416" s="1">
        <v>0.0</v>
      </c>
      <c r="S2416" s="1" t="str">
        <f>IFERROR(__xludf.DUMMYFUNCTION("""COMPUTED_VALUE"""),"store_005364")</f>
        <v>store_005364</v>
      </c>
    </row>
    <row r="2417" ht="15.75" customHeight="1">
      <c r="A2417" s="1" t="s">
        <v>5670</v>
      </c>
      <c r="B2417" s="1" t="s">
        <v>5671</v>
      </c>
      <c r="C2417" s="1" t="s">
        <v>38</v>
      </c>
      <c r="K2417" s="1" t="s">
        <v>2892</v>
      </c>
      <c r="L2417" s="1" t="s">
        <v>27</v>
      </c>
      <c r="N2417" s="1" t="s">
        <v>28</v>
      </c>
      <c r="O2417" s="1" t="s">
        <v>57</v>
      </c>
      <c r="R2417" s="1">
        <v>0.0</v>
      </c>
      <c r="S2417" s="1" t="str">
        <f>IFERROR(__xludf.DUMMYFUNCTION("""COMPUTED_VALUE"""),"store_005365")</f>
        <v>store_005365</v>
      </c>
    </row>
    <row r="2418" ht="15.75" customHeight="1">
      <c r="A2418" s="1" t="s">
        <v>5672</v>
      </c>
      <c r="B2418" s="1" t="s">
        <v>5673</v>
      </c>
      <c r="C2418" s="1" t="s">
        <v>38</v>
      </c>
      <c r="K2418" s="1" t="s">
        <v>2892</v>
      </c>
      <c r="L2418" s="1" t="s">
        <v>27</v>
      </c>
      <c r="N2418" s="1" t="s">
        <v>28</v>
      </c>
      <c r="O2418" s="1" t="s">
        <v>57</v>
      </c>
      <c r="P2418" s="1" t="s">
        <v>1749</v>
      </c>
      <c r="Q2418" s="1" t="s">
        <v>1750</v>
      </c>
      <c r="R2418" s="1">
        <v>0.0</v>
      </c>
      <c r="S2418" s="1" t="str">
        <f>IFERROR(__xludf.DUMMYFUNCTION("""COMPUTED_VALUE"""),"store_005366")</f>
        <v>store_005366</v>
      </c>
    </row>
    <row r="2419" ht="15.75" customHeight="1">
      <c r="A2419" s="1" t="s">
        <v>5674</v>
      </c>
      <c r="B2419" s="1" t="s">
        <v>5675</v>
      </c>
      <c r="C2419" s="1" t="s">
        <v>174</v>
      </c>
      <c r="E2419" s="1">
        <v>28.6582515</v>
      </c>
      <c r="F2419" s="1">
        <v>77.2842496</v>
      </c>
      <c r="G2419" s="1" t="s">
        <v>2511</v>
      </c>
      <c r="H2419" s="1" t="s">
        <v>2512</v>
      </c>
      <c r="J2419" s="1" t="s">
        <v>118</v>
      </c>
      <c r="K2419" s="1" t="s">
        <v>99</v>
      </c>
      <c r="L2419" s="1" t="s">
        <v>27</v>
      </c>
      <c r="N2419" s="1" t="s">
        <v>174</v>
      </c>
      <c r="O2419" s="1" t="s">
        <v>29</v>
      </c>
      <c r="P2419" s="1" t="s">
        <v>1767</v>
      </c>
      <c r="Q2419" s="1" t="s">
        <v>1768</v>
      </c>
      <c r="R2419" s="1">
        <v>8.0</v>
      </c>
      <c r="S2419" s="1"/>
    </row>
    <row r="2420" ht="15.75" customHeight="1">
      <c r="A2420" s="1" t="s">
        <v>5676</v>
      </c>
      <c r="B2420" s="1" t="s">
        <v>5677</v>
      </c>
      <c r="C2420" s="1" t="s">
        <v>38</v>
      </c>
      <c r="K2420" s="1" t="s">
        <v>2892</v>
      </c>
      <c r="L2420" s="1" t="s">
        <v>27</v>
      </c>
      <c r="N2420" s="1" t="s">
        <v>28</v>
      </c>
      <c r="O2420" s="1" t="s">
        <v>57</v>
      </c>
      <c r="P2420" s="1" t="s">
        <v>1749</v>
      </c>
      <c r="Q2420" s="1" t="s">
        <v>1750</v>
      </c>
      <c r="R2420" s="1">
        <v>0.0</v>
      </c>
      <c r="S2420" s="1" t="str">
        <f>IFERROR(__xludf.DUMMYFUNCTION("""COMPUTED_VALUE"""),"store_005367")</f>
        <v>store_005367</v>
      </c>
    </row>
    <row r="2421" ht="15.75" customHeight="1">
      <c r="A2421" s="1" t="s">
        <v>5678</v>
      </c>
      <c r="B2421" s="1" t="s">
        <v>5679</v>
      </c>
      <c r="C2421" s="1" t="s">
        <v>38</v>
      </c>
      <c r="K2421" s="1" t="s">
        <v>2892</v>
      </c>
      <c r="L2421" s="1" t="s">
        <v>27</v>
      </c>
      <c r="N2421" s="1" t="s">
        <v>28</v>
      </c>
      <c r="O2421" s="1" t="s">
        <v>57</v>
      </c>
      <c r="P2421" s="1" t="s">
        <v>1749</v>
      </c>
      <c r="Q2421" s="1" t="s">
        <v>1750</v>
      </c>
      <c r="R2421" s="1">
        <v>0.0</v>
      </c>
      <c r="S2421" s="1" t="str">
        <f>IFERROR(__xludf.DUMMYFUNCTION("""COMPUTED_VALUE"""),"store_005368")</f>
        <v>store_005368</v>
      </c>
    </row>
    <row r="2422" ht="15.75" customHeight="1">
      <c r="A2422" s="1" t="s">
        <v>5680</v>
      </c>
      <c r="B2422" s="1" t="s">
        <v>5681</v>
      </c>
      <c r="C2422" s="1" t="s">
        <v>38</v>
      </c>
      <c r="K2422" s="1" t="s">
        <v>2892</v>
      </c>
      <c r="L2422" s="1" t="s">
        <v>27</v>
      </c>
      <c r="N2422" s="1" t="s">
        <v>28</v>
      </c>
      <c r="O2422" s="1" t="s">
        <v>57</v>
      </c>
      <c r="R2422" s="1">
        <v>0.0</v>
      </c>
      <c r="S2422" s="1" t="str">
        <f>IFERROR(__xludf.DUMMYFUNCTION("""COMPUTED_VALUE"""),"store_005369")</f>
        <v>store_005369</v>
      </c>
    </row>
    <row r="2423" ht="15.75" customHeight="1">
      <c r="A2423" s="1" t="s">
        <v>5682</v>
      </c>
      <c r="B2423" s="1" t="s">
        <v>5683</v>
      </c>
      <c r="C2423" s="1" t="s">
        <v>38</v>
      </c>
      <c r="K2423" s="1" t="s">
        <v>2892</v>
      </c>
      <c r="L2423" s="1" t="s">
        <v>27</v>
      </c>
      <c r="N2423" s="1" t="s">
        <v>28</v>
      </c>
      <c r="O2423" s="1" t="s">
        <v>57</v>
      </c>
      <c r="P2423" s="1" t="s">
        <v>1749</v>
      </c>
      <c r="Q2423" s="1" t="s">
        <v>1750</v>
      </c>
      <c r="R2423" s="1">
        <v>0.0</v>
      </c>
      <c r="S2423" s="1" t="str">
        <f>IFERROR(__xludf.DUMMYFUNCTION("""COMPUTED_VALUE"""),"store_005370")</f>
        <v>store_005370</v>
      </c>
    </row>
    <row r="2424" ht="15.75" customHeight="1">
      <c r="A2424" s="1" t="s">
        <v>5684</v>
      </c>
      <c r="B2424" s="1" t="s">
        <v>5685</v>
      </c>
      <c r="C2424" s="1" t="s">
        <v>38</v>
      </c>
      <c r="K2424" s="1" t="s">
        <v>2892</v>
      </c>
      <c r="L2424" s="1" t="s">
        <v>27</v>
      </c>
      <c r="N2424" s="1" t="s">
        <v>28</v>
      </c>
      <c r="O2424" s="1" t="s">
        <v>57</v>
      </c>
      <c r="P2424" s="1" t="s">
        <v>1749</v>
      </c>
      <c r="Q2424" s="1" t="s">
        <v>1750</v>
      </c>
      <c r="R2424" s="1">
        <v>0.0</v>
      </c>
      <c r="S2424" s="1" t="str">
        <f>IFERROR(__xludf.DUMMYFUNCTION("""COMPUTED_VALUE"""),"store_005371")</f>
        <v>store_005371</v>
      </c>
    </row>
    <row r="2425" ht="15.75" customHeight="1">
      <c r="A2425" s="1" t="s">
        <v>5686</v>
      </c>
      <c r="B2425" s="1" t="s">
        <v>5687</v>
      </c>
      <c r="C2425" s="1" t="s">
        <v>174</v>
      </c>
      <c r="E2425" s="1">
        <v>28.65841</v>
      </c>
      <c r="F2425" s="1">
        <v>77.23538669999999</v>
      </c>
      <c r="G2425" s="1" t="s">
        <v>2511</v>
      </c>
      <c r="H2425" s="1" t="s">
        <v>2512</v>
      </c>
      <c r="J2425" s="1" t="s">
        <v>118</v>
      </c>
      <c r="P2425" s="1" t="s">
        <v>2543</v>
      </c>
      <c r="Q2425" s="1" t="s">
        <v>2544</v>
      </c>
      <c r="R2425" s="1">
        <v>2.0</v>
      </c>
      <c r="S2425" s="1"/>
    </row>
    <row r="2426" ht="15.75" customHeight="1">
      <c r="A2426" s="1" t="s">
        <v>5688</v>
      </c>
      <c r="B2426" s="1" t="s">
        <v>5689</v>
      </c>
      <c r="C2426" s="1" t="s">
        <v>746</v>
      </c>
      <c r="K2426" s="1" t="s">
        <v>2892</v>
      </c>
      <c r="L2426" s="1" t="s">
        <v>27</v>
      </c>
      <c r="N2426" s="1" t="s">
        <v>28</v>
      </c>
      <c r="O2426" s="1" t="s">
        <v>57</v>
      </c>
      <c r="R2426" s="1">
        <v>0.0</v>
      </c>
      <c r="S2426" s="1" t="str">
        <f>IFERROR(__xludf.DUMMYFUNCTION("""COMPUTED_VALUE"""),"store_005372")</f>
        <v>store_005372</v>
      </c>
    </row>
    <row r="2427" ht="15.75" customHeight="1">
      <c r="A2427" s="1" t="s">
        <v>5690</v>
      </c>
      <c r="B2427" s="1" t="s">
        <v>5691</v>
      </c>
      <c r="C2427" s="1" t="s">
        <v>746</v>
      </c>
      <c r="K2427" s="1" t="s">
        <v>2892</v>
      </c>
      <c r="L2427" s="1" t="s">
        <v>27</v>
      </c>
      <c r="N2427" s="1" t="s">
        <v>28</v>
      </c>
      <c r="O2427" s="1" t="s">
        <v>57</v>
      </c>
      <c r="P2427" s="1" t="s">
        <v>1749</v>
      </c>
      <c r="Q2427" s="1" t="s">
        <v>1750</v>
      </c>
      <c r="R2427" s="1">
        <v>0.0</v>
      </c>
      <c r="S2427" s="1" t="str">
        <f>IFERROR(__xludf.DUMMYFUNCTION("""COMPUTED_VALUE"""),"store_005373")</f>
        <v>store_005373</v>
      </c>
    </row>
    <row r="2428" ht="15.75" customHeight="1">
      <c r="A2428" s="1" t="s">
        <v>1878</v>
      </c>
      <c r="B2428" s="1" t="s">
        <v>1877</v>
      </c>
      <c r="C2428" s="1" t="s">
        <v>174</v>
      </c>
      <c r="E2428" s="1">
        <v>28.6227575</v>
      </c>
      <c r="F2428" s="1">
        <v>77.0589959</v>
      </c>
      <c r="G2428" s="1" t="s">
        <v>4799</v>
      </c>
      <c r="H2428" s="1" t="s">
        <v>4800</v>
      </c>
      <c r="I2428" s="1" t="s">
        <v>24</v>
      </c>
      <c r="J2428" s="1" t="s">
        <v>5692</v>
      </c>
      <c r="K2428" s="1" t="s">
        <v>99</v>
      </c>
      <c r="L2428" s="1" t="s">
        <v>27</v>
      </c>
      <c r="N2428" s="1" t="s">
        <v>174</v>
      </c>
      <c r="O2428" s="1" t="s">
        <v>29</v>
      </c>
      <c r="P2428" s="1" t="s">
        <v>5693</v>
      </c>
      <c r="Q2428" s="1" t="s">
        <v>5694</v>
      </c>
      <c r="R2428" s="1">
        <v>6.0</v>
      </c>
      <c r="S2428" s="1" t="str">
        <f>IFERROR(__xludf.DUMMYFUNCTION("""COMPUTED_VALUE"""),"store_004031")</f>
        <v>store_004031</v>
      </c>
    </row>
    <row r="2429" ht="15.75" customHeight="1">
      <c r="A2429" s="1" t="s">
        <v>5695</v>
      </c>
      <c r="B2429" s="1" t="s">
        <v>5696</v>
      </c>
      <c r="C2429" s="1" t="s">
        <v>746</v>
      </c>
      <c r="K2429" s="1" t="s">
        <v>2892</v>
      </c>
      <c r="L2429" s="1" t="s">
        <v>27</v>
      </c>
      <c r="N2429" s="1" t="s">
        <v>28</v>
      </c>
      <c r="O2429" s="1" t="s">
        <v>57</v>
      </c>
      <c r="R2429" s="1">
        <v>0.0</v>
      </c>
      <c r="S2429" s="1" t="str">
        <f>IFERROR(__xludf.DUMMYFUNCTION("""COMPUTED_VALUE"""),"store_005374")</f>
        <v>store_005374</v>
      </c>
    </row>
    <row r="2430" ht="15.75" customHeight="1">
      <c r="A2430" s="1" t="s">
        <v>5697</v>
      </c>
      <c r="B2430" s="1" t="s">
        <v>5698</v>
      </c>
      <c r="C2430" s="1" t="s">
        <v>746</v>
      </c>
      <c r="K2430" s="1" t="s">
        <v>2892</v>
      </c>
      <c r="L2430" s="1" t="s">
        <v>27</v>
      </c>
      <c r="N2430" s="1" t="s">
        <v>28</v>
      </c>
      <c r="O2430" s="1" t="s">
        <v>57</v>
      </c>
      <c r="P2430" s="1" t="s">
        <v>2265</v>
      </c>
      <c r="Q2430" s="1" t="s">
        <v>2266</v>
      </c>
      <c r="R2430" s="1">
        <v>0.0</v>
      </c>
      <c r="S2430" s="1" t="str">
        <f>IFERROR(__xludf.DUMMYFUNCTION("""COMPUTED_VALUE"""),"store_005376")</f>
        <v>store_005376</v>
      </c>
    </row>
    <row r="2431" ht="15.75" customHeight="1">
      <c r="A2431" s="1" t="s">
        <v>5699</v>
      </c>
      <c r="B2431" s="1" t="s">
        <v>5700</v>
      </c>
      <c r="C2431" s="1" t="s">
        <v>746</v>
      </c>
      <c r="K2431" s="1" t="s">
        <v>2892</v>
      </c>
      <c r="L2431" s="1" t="s">
        <v>27</v>
      </c>
      <c r="N2431" s="1" t="s">
        <v>28</v>
      </c>
      <c r="O2431" s="1" t="s">
        <v>57</v>
      </c>
      <c r="R2431" s="1">
        <v>0.0</v>
      </c>
      <c r="S2431" s="1" t="str">
        <f>IFERROR(__xludf.DUMMYFUNCTION("""COMPUTED_VALUE"""),"")</f>
        <v/>
      </c>
    </row>
    <row r="2432" ht="15.75" customHeight="1">
      <c r="A2432" s="1" t="s">
        <v>5701</v>
      </c>
      <c r="B2432" s="1" t="s">
        <v>5702</v>
      </c>
      <c r="C2432" s="1" t="s">
        <v>38</v>
      </c>
      <c r="K2432" s="1" t="s">
        <v>2892</v>
      </c>
      <c r="L2432" s="1" t="s">
        <v>27</v>
      </c>
      <c r="N2432" s="1" t="s">
        <v>28</v>
      </c>
      <c r="O2432" s="1" t="s">
        <v>57</v>
      </c>
      <c r="R2432" s="1">
        <v>0.0</v>
      </c>
      <c r="S2432" s="1" t="str">
        <f>IFERROR(__xludf.DUMMYFUNCTION("""COMPUTED_VALUE"""),"store_005379")</f>
        <v>store_005379</v>
      </c>
    </row>
    <row r="2433" ht="15.75" customHeight="1">
      <c r="A2433" s="1" t="s">
        <v>5703</v>
      </c>
      <c r="B2433" s="1" t="s">
        <v>5704</v>
      </c>
      <c r="C2433" s="1" t="s">
        <v>38</v>
      </c>
      <c r="K2433" s="1" t="s">
        <v>2892</v>
      </c>
      <c r="L2433" s="1" t="s">
        <v>27</v>
      </c>
      <c r="N2433" s="1" t="s">
        <v>28</v>
      </c>
      <c r="O2433" s="1" t="s">
        <v>57</v>
      </c>
      <c r="R2433" s="1">
        <v>0.0</v>
      </c>
      <c r="S2433" s="1" t="str">
        <f>IFERROR(__xludf.DUMMYFUNCTION("""COMPUTED_VALUE"""),"store_005380")</f>
        <v>store_005380</v>
      </c>
    </row>
    <row r="2434" ht="15.75" customHeight="1">
      <c r="A2434" s="1" t="s">
        <v>5705</v>
      </c>
      <c r="B2434" s="1" t="s">
        <v>5706</v>
      </c>
      <c r="C2434" s="1" t="s">
        <v>38</v>
      </c>
      <c r="K2434" s="1" t="s">
        <v>2892</v>
      </c>
      <c r="L2434" s="1" t="s">
        <v>27</v>
      </c>
      <c r="N2434" s="1" t="s">
        <v>28</v>
      </c>
      <c r="O2434" s="1" t="s">
        <v>57</v>
      </c>
      <c r="R2434" s="1">
        <v>0.0</v>
      </c>
      <c r="S2434" s="1" t="str">
        <f>IFERROR(__xludf.DUMMYFUNCTION("""COMPUTED_VALUE"""),"store_005383")</f>
        <v>store_005383</v>
      </c>
    </row>
    <row r="2435" ht="15.75" customHeight="1">
      <c r="A2435" s="1" t="s">
        <v>5707</v>
      </c>
      <c r="B2435" s="1" t="s">
        <v>5708</v>
      </c>
      <c r="C2435" s="1" t="s">
        <v>38</v>
      </c>
      <c r="K2435" s="1" t="s">
        <v>2892</v>
      </c>
      <c r="L2435" s="1" t="s">
        <v>27</v>
      </c>
      <c r="N2435" s="1" t="s">
        <v>28</v>
      </c>
      <c r="O2435" s="1" t="s">
        <v>57</v>
      </c>
      <c r="R2435" s="1">
        <v>0.0</v>
      </c>
      <c r="S2435" s="1" t="str">
        <f>IFERROR(__xludf.DUMMYFUNCTION("""COMPUTED_VALUE"""),"store_005386")</f>
        <v>store_005386</v>
      </c>
    </row>
    <row r="2436" ht="15.75" customHeight="1">
      <c r="A2436" s="1" t="s">
        <v>5709</v>
      </c>
      <c r="B2436" s="1" t="s">
        <v>5710</v>
      </c>
      <c r="C2436" s="1" t="s">
        <v>38</v>
      </c>
      <c r="K2436" s="1" t="s">
        <v>2892</v>
      </c>
      <c r="L2436" s="1" t="s">
        <v>27</v>
      </c>
      <c r="N2436" s="1" t="s">
        <v>28</v>
      </c>
      <c r="O2436" s="1" t="s">
        <v>57</v>
      </c>
      <c r="R2436" s="1">
        <v>0.0</v>
      </c>
      <c r="S2436" s="1" t="str">
        <f>IFERROR(__xludf.DUMMYFUNCTION("""COMPUTED_VALUE"""),"store_005387")</f>
        <v>store_005387</v>
      </c>
    </row>
    <row r="2437" ht="15.75" customHeight="1">
      <c r="A2437" s="1" t="s">
        <v>5711</v>
      </c>
      <c r="B2437" s="1" t="s">
        <v>5712</v>
      </c>
      <c r="C2437" s="1" t="s">
        <v>151</v>
      </c>
      <c r="K2437" s="1" t="s">
        <v>99</v>
      </c>
      <c r="L2437" s="1" t="s">
        <v>27</v>
      </c>
      <c r="N2437" s="1" t="s">
        <v>143</v>
      </c>
      <c r="O2437" s="1" t="s">
        <v>29</v>
      </c>
      <c r="R2437" s="1">
        <v>0.0</v>
      </c>
      <c r="S2437" s="1"/>
    </row>
    <row r="2438" ht="15.75" customHeight="1">
      <c r="A2438" s="1" t="s">
        <v>5713</v>
      </c>
      <c r="B2438" s="1" t="s">
        <v>5714</v>
      </c>
      <c r="C2438" s="1" t="s">
        <v>737</v>
      </c>
      <c r="K2438" s="1" t="s">
        <v>99</v>
      </c>
      <c r="L2438" s="1" t="s">
        <v>27</v>
      </c>
      <c r="N2438" s="1" t="s">
        <v>732</v>
      </c>
      <c r="O2438" s="1" t="s">
        <v>29</v>
      </c>
      <c r="P2438" s="1" t="s">
        <v>1749</v>
      </c>
      <c r="Q2438" s="1" t="s">
        <v>1750</v>
      </c>
      <c r="R2438" s="1">
        <v>0.0</v>
      </c>
      <c r="S2438" s="1"/>
    </row>
    <row r="2439" ht="15.75" customHeight="1">
      <c r="A2439" s="1" t="s">
        <v>5715</v>
      </c>
      <c r="B2439" s="1" t="s">
        <v>5716</v>
      </c>
      <c r="C2439" s="1" t="s">
        <v>185</v>
      </c>
      <c r="K2439" s="1" t="s">
        <v>26</v>
      </c>
      <c r="L2439" s="1" t="s">
        <v>27</v>
      </c>
      <c r="N2439" s="1" t="s">
        <v>186</v>
      </c>
      <c r="O2439" s="1" t="s">
        <v>57</v>
      </c>
      <c r="R2439" s="1">
        <v>0.0</v>
      </c>
      <c r="S2439" s="1"/>
    </row>
    <row r="2440" ht="15.75" customHeight="1">
      <c r="A2440" s="1" t="s">
        <v>5717</v>
      </c>
      <c r="B2440" s="1" t="s">
        <v>5718</v>
      </c>
      <c r="C2440" s="1" t="s">
        <v>2372</v>
      </c>
      <c r="K2440" s="1" t="s">
        <v>99</v>
      </c>
      <c r="L2440" s="1" t="s">
        <v>27</v>
      </c>
      <c r="N2440" s="1" t="s">
        <v>1210</v>
      </c>
      <c r="O2440" s="1" t="s">
        <v>29</v>
      </c>
      <c r="P2440" s="1" t="s">
        <v>1749</v>
      </c>
      <c r="Q2440" s="1" t="s">
        <v>1750</v>
      </c>
      <c r="R2440" s="1">
        <v>0.0</v>
      </c>
      <c r="S2440" s="1"/>
    </row>
    <row r="2441" ht="15.75" customHeight="1">
      <c r="A2441" s="1" t="s">
        <v>5719</v>
      </c>
      <c r="B2441" s="1" t="s">
        <v>5720</v>
      </c>
      <c r="C2441" s="1" t="s">
        <v>215</v>
      </c>
      <c r="K2441" s="1" t="s">
        <v>26</v>
      </c>
      <c r="L2441" s="1" t="s">
        <v>27</v>
      </c>
      <c r="N2441" s="1" t="s">
        <v>216</v>
      </c>
      <c r="O2441" s="1" t="s">
        <v>57</v>
      </c>
      <c r="P2441" s="1" t="s">
        <v>1749</v>
      </c>
      <c r="Q2441" s="1" t="s">
        <v>1750</v>
      </c>
      <c r="R2441" s="1">
        <v>0.0</v>
      </c>
      <c r="S2441" s="1"/>
    </row>
    <row r="2442" ht="15.75" customHeight="1">
      <c r="A2442" s="1" t="s">
        <v>5721</v>
      </c>
      <c r="B2442" s="1" t="s">
        <v>5722</v>
      </c>
      <c r="C2442" s="1" t="s">
        <v>185</v>
      </c>
      <c r="K2442" s="1" t="s">
        <v>26</v>
      </c>
      <c r="L2442" s="1" t="s">
        <v>27</v>
      </c>
      <c r="N2442" s="1" t="s">
        <v>186</v>
      </c>
      <c r="O2442" s="1" t="s">
        <v>57</v>
      </c>
      <c r="P2442" s="1" t="s">
        <v>1749</v>
      </c>
      <c r="Q2442" s="1" t="s">
        <v>1750</v>
      </c>
      <c r="R2442" s="1">
        <v>0.0</v>
      </c>
      <c r="S2442" s="1"/>
    </row>
    <row r="2443" ht="15.75" customHeight="1">
      <c r="A2443" s="1" t="s">
        <v>5723</v>
      </c>
      <c r="B2443" s="1" t="s">
        <v>5724</v>
      </c>
      <c r="C2443" s="1" t="s">
        <v>848</v>
      </c>
      <c r="K2443" s="1" t="s">
        <v>99</v>
      </c>
      <c r="L2443" s="1" t="s">
        <v>27</v>
      </c>
      <c r="N2443" s="1" t="s">
        <v>849</v>
      </c>
      <c r="O2443" s="1" t="s">
        <v>57</v>
      </c>
      <c r="P2443" s="1" t="s">
        <v>1749</v>
      </c>
      <c r="Q2443" s="1" t="s">
        <v>1750</v>
      </c>
      <c r="R2443" s="1">
        <v>0.0</v>
      </c>
      <c r="S2443" s="1"/>
    </row>
    <row r="2444" ht="15.75" customHeight="1">
      <c r="A2444" s="1" t="s">
        <v>5725</v>
      </c>
      <c r="B2444" s="1" t="s">
        <v>5726</v>
      </c>
      <c r="C2444" s="1" t="s">
        <v>151</v>
      </c>
      <c r="K2444" s="1" t="s">
        <v>26</v>
      </c>
      <c r="L2444" s="1" t="s">
        <v>27</v>
      </c>
      <c r="N2444" s="1" t="s">
        <v>143</v>
      </c>
      <c r="O2444" s="1" t="s">
        <v>57</v>
      </c>
      <c r="R2444" s="1">
        <v>0.0</v>
      </c>
      <c r="S2444" s="1"/>
    </row>
    <row r="2445" ht="15.75" customHeight="1">
      <c r="A2445" s="1" t="s">
        <v>5727</v>
      </c>
      <c r="B2445" s="1" t="s">
        <v>5728</v>
      </c>
      <c r="C2445" s="1" t="s">
        <v>151</v>
      </c>
      <c r="K2445" s="1" t="s">
        <v>26</v>
      </c>
      <c r="L2445" s="1" t="s">
        <v>27</v>
      </c>
      <c r="N2445" s="1" t="s">
        <v>143</v>
      </c>
      <c r="O2445" s="1" t="s">
        <v>57</v>
      </c>
      <c r="R2445" s="1">
        <v>0.0</v>
      </c>
      <c r="S2445" s="1"/>
    </row>
    <row r="2446" ht="15.75" customHeight="1">
      <c r="A2446" s="1" t="s">
        <v>5729</v>
      </c>
      <c r="B2446" s="1" t="s">
        <v>5730</v>
      </c>
      <c r="C2446" s="1" t="s">
        <v>1138</v>
      </c>
      <c r="K2446" s="1" t="s">
        <v>26</v>
      </c>
      <c r="L2446" s="1" t="s">
        <v>27</v>
      </c>
      <c r="N2446" s="1" t="s">
        <v>1097</v>
      </c>
      <c r="O2446" s="1" t="s">
        <v>57</v>
      </c>
      <c r="R2446" s="1">
        <v>0.0</v>
      </c>
      <c r="S2446" s="1"/>
    </row>
    <row r="2447" ht="15.75" customHeight="1">
      <c r="A2447" s="1" t="s">
        <v>5731</v>
      </c>
      <c r="B2447" s="1" t="s">
        <v>5732</v>
      </c>
      <c r="C2447" s="1" t="s">
        <v>1138</v>
      </c>
      <c r="K2447" s="1" t="s">
        <v>99</v>
      </c>
      <c r="L2447" s="1" t="s">
        <v>27</v>
      </c>
      <c r="N2447" s="1" t="s">
        <v>1097</v>
      </c>
      <c r="O2447" s="1" t="s">
        <v>29</v>
      </c>
      <c r="R2447" s="1">
        <v>0.0</v>
      </c>
      <c r="S2447" s="1"/>
    </row>
    <row r="2448" ht="15.75" customHeight="1">
      <c r="A2448" s="1" t="s">
        <v>5733</v>
      </c>
      <c r="B2448" s="1" t="s">
        <v>5734</v>
      </c>
      <c r="C2448" s="1" t="s">
        <v>531</v>
      </c>
      <c r="K2448" s="1" t="s">
        <v>26</v>
      </c>
      <c r="L2448" s="1" t="s">
        <v>27</v>
      </c>
      <c r="N2448" s="1" t="s">
        <v>532</v>
      </c>
      <c r="O2448" s="1" t="s">
        <v>57</v>
      </c>
      <c r="R2448" s="1">
        <v>0.0</v>
      </c>
      <c r="S2448" s="1"/>
    </row>
    <row r="2449" ht="15.75" customHeight="1">
      <c r="A2449" s="1" t="s">
        <v>5735</v>
      </c>
      <c r="B2449" s="1" t="s">
        <v>5736</v>
      </c>
      <c r="C2449" s="1" t="s">
        <v>531</v>
      </c>
      <c r="K2449" s="1" t="s">
        <v>26</v>
      </c>
      <c r="L2449" s="1" t="s">
        <v>27</v>
      </c>
      <c r="N2449" s="1" t="s">
        <v>532</v>
      </c>
      <c r="O2449" s="1" t="s">
        <v>57</v>
      </c>
      <c r="R2449" s="1">
        <v>0.0</v>
      </c>
      <c r="S2449" s="1"/>
    </row>
    <row r="2450" ht="15.75" customHeight="1">
      <c r="A2450" s="1" t="s">
        <v>5737</v>
      </c>
      <c r="B2450" s="1" t="s">
        <v>5738</v>
      </c>
      <c r="C2450" s="1" t="s">
        <v>174</v>
      </c>
      <c r="K2450" s="1" t="s">
        <v>26</v>
      </c>
      <c r="L2450" s="1" t="s">
        <v>27</v>
      </c>
      <c r="N2450" s="1" t="s">
        <v>174</v>
      </c>
      <c r="O2450" s="1" t="s">
        <v>57</v>
      </c>
      <c r="R2450" s="1">
        <v>0.0</v>
      </c>
      <c r="S2450" s="1"/>
    </row>
    <row r="2451" ht="15.75" customHeight="1">
      <c r="A2451" s="1" t="s">
        <v>5739</v>
      </c>
      <c r="B2451" s="1" t="s">
        <v>5740</v>
      </c>
      <c r="C2451" s="1" t="s">
        <v>531</v>
      </c>
      <c r="K2451" s="1" t="s">
        <v>99</v>
      </c>
      <c r="L2451" s="1" t="s">
        <v>27</v>
      </c>
      <c r="N2451" s="1" t="s">
        <v>532</v>
      </c>
      <c r="O2451" s="1" t="s">
        <v>29</v>
      </c>
      <c r="R2451" s="1">
        <v>0.0</v>
      </c>
      <c r="S2451" s="1"/>
    </row>
    <row r="2452" ht="15.75" customHeight="1">
      <c r="A2452" s="1" t="s">
        <v>5741</v>
      </c>
      <c r="B2452" s="1" t="s">
        <v>5742</v>
      </c>
      <c r="C2452" s="1" t="s">
        <v>531</v>
      </c>
      <c r="K2452" s="1" t="s">
        <v>99</v>
      </c>
      <c r="L2452" s="1" t="s">
        <v>27</v>
      </c>
      <c r="N2452" s="1" t="s">
        <v>532</v>
      </c>
      <c r="O2452" s="1" t="s">
        <v>29</v>
      </c>
      <c r="R2452" s="1">
        <v>0.0</v>
      </c>
      <c r="S2452" s="1"/>
    </row>
    <row r="2453" ht="15.75" customHeight="1">
      <c r="A2453" s="1" t="s">
        <v>5743</v>
      </c>
      <c r="B2453" s="1" t="s">
        <v>5744</v>
      </c>
      <c r="C2453" s="1" t="s">
        <v>497</v>
      </c>
      <c r="K2453" s="1" t="s">
        <v>99</v>
      </c>
      <c r="L2453" s="1" t="s">
        <v>27</v>
      </c>
      <c r="N2453" s="1" t="s">
        <v>498</v>
      </c>
      <c r="O2453" s="1" t="s">
        <v>29</v>
      </c>
      <c r="R2453" s="1">
        <v>0.0</v>
      </c>
      <c r="S2453" s="1"/>
    </row>
    <row r="2454" ht="15.75" customHeight="1">
      <c r="A2454" s="1" t="s">
        <v>5745</v>
      </c>
      <c r="B2454" s="1" t="s">
        <v>5746</v>
      </c>
      <c r="C2454" s="1" t="s">
        <v>549</v>
      </c>
      <c r="K2454" s="1" t="s">
        <v>99</v>
      </c>
      <c r="L2454" s="1" t="s">
        <v>27</v>
      </c>
      <c r="N2454" s="1" t="s">
        <v>549</v>
      </c>
      <c r="O2454" s="1" t="s">
        <v>29</v>
      </c>
      <c r="R2454" s="1">
        <v>0.0</v>
      </c>
      <c r="S2454" s="1"/>
    </row>
    <row r="2455" ht="15.75" customHeight="1">
      <c r="A2455" s="1" t="s">
        <v>5747</v>
      </c>
      <c r="B2455" s="1" t="s">
        <v>5748</v>
      </c>
      <c r="C2455" s="1" t="s">
        <v>1786</v>
      </c>
      <c r="K2455" s="1" t="s">
        <v>26</v>
      </c>
      <c r="L2455" s="1" t="s">
        <v>27</v>
      </c>
      <c r="N2455" s="1" t="s">
        <v>1874</v>
      </c>
      <c r="O2455" s="1" t="s">
        <v>57</v>
      </c>
      <c r="R2455" s="1">
        <v>0.0</v>
      </c>
      <c r="S2455" s="1"/>
    </row>
    <row r="2456" ht="15.75" customHeight="1">
      <c r="A2456" s="1" t="s">
        <v>5749</v>
      </c>
      <c r="B2456" s="1" t="s">
        <v>5750</v>
      </c>
      <c r="C2456" s="1" t="s">
        <v>1786</v>
      </c>
      <c r="K2456" s="1" t="s">
        <v>99</v>
      </c>
      <c r="L2456" s="1" t="s">
        <v>27</v>
      </c>
      <c r="N2456" s="1" t="s">
        <v>1874</v>
      </c>
      <c r="O2456" s="1" t="s">
        <v>29</v>
      </c>
      <c r="R2456" s="1">
        <v>0.0</v>
      </c>
      <c r="S2456" s="1"/>
    </row>
    <row r="2457" ht="15.75" customHeight="1">
      <c r="A2457" s="1" t="s">
        <v>5751</v>
      </c>
      <c r="B2457" s="1" t="s">
        <v>5752</v>
      </c>
      <c r="C2457" s="1" t="s">
        <v>531</v>
      </c>
      <c r="K2457" s="1" t="s">
        <v>99</v>
      </c>
      <c r="L2457" s="1" t="s">
        <v>27</v>
      </c>
      <c r="N2457" s="1" t="s">
        <v>532</v>
      </c>
      <c r="O2457" s="1" t="s">
        <v>29</v>
      </c>
      <c r="R2457" s="1">
        <v>0.0</v>
      </c>
      <c r="S2457" s="1"/>
    </row>
    <row r="2458" ht="15.75" customHeight="1">
      <c r="A2458" s="1" t="s">
        <v>5753</v>
      </c>
      <c r="B2458" s="1" t="s">
        <v>5754</v>
      </c>
      <c r="C2458" s="1" t="s">
        <v>38</v>
      </c>
      <c r="K2458" s="1" t="s">
        <v>99</v>
      </c>
      <c r="L2458" s="1" t="s">
        <v>27</v>
      </c>
      <c r="N2458" s="1" t="s">
        <v>28</v>
      </c>
      <c r="O2458" s="1" t="s">
        <v>29</v>
      </c>
      <c r="R2458" s="1">
        <v>0.0</v>
      </c>
      <c r="S2458" s="1"/>
    </row>
    <row r="2459" ht="15.75" customHeight="1">
      <c r="A2459" s="1" t="s">
        <v>5755</v>
      </c>
      <c r="B2459" s="1" t="s">
        <v>5756</v>
      </c>
      <c r="C2459" s="1" t="s">
        <v>497</v>
      </c>
      <c r="K2459" s="1" t="s">
        <v>99</v>
      </c>
      <c r="L2459" s="1" t="s">
        <v>27</v>
      </c>
      <c r="N2459" s="1" t="s">
        <v>498</v>
      </c>
      <c r="O2459" s="1" t="s">
        <v>29</v>
      </c>
      <c r="R2459" s="1">
        <v>0.0</v>
      </c>
      <c r="S2459" s="1"/>
    </row>
    <row r="2460" ht="15.75" customHeight="1">
      <c r="A2460" s="1" t="s">
        <v>5757</v>
      </c>
      <c r="B2460" s="1" t="s">
        <v>5758</v>
      </c>
      <c r="C2460" s="1" t="s">
        <v>617</v>
      </c>
      <c r="K2460" s="1" t="s">
        <v>99</v>
      </c>
      <c r="L2460" s="1" t="s">
        <v>27</v>
      </c>
      <c r="N2460" s="1" t="s">
        <v>28</v>
      </c>
      <c r="O2460" s="1" t="s">
        <v>29</v>
      </c>
      <c r="R2460" s="1">
        <v>0.0</v>
      </c>
      <c r="S2460" s="1"/>
    </row>
    <row r="2461" ht="15.75" customHeight="1">
      <c r="A2461" s="1" t="s">
        <v>5759</v>
      </c>
      <c r="B2461" s="1" t="s">
        <v>5760</v>
      </c>
      <c r="C2461" s="1" t="s">
        <v>617</v>
      </c>
      <c r="K2461" s="1" t="s">
        <v>26</v>
      </c>
      <c r="L2461" s="1" t="s">
        <v>27</v>
      </c>
      <c r="N2461" s="1" t="s">
        <v>28</v>
      </c>
      <c r="O2461" s="1" t="s">
        <v>57</v>
      </c>
      <c r="R2461" s="1">
        <v>0.0</v>
      </c>
      <c r="S2461" s="1"/>
    </row>
    <row r="2462" ht="15.75" customHeight="1">
      <c r="A2462" s="1" t="s">
        <v>5761</v>
      </c>
      <c r="B2462" s="1" t="s">
        <v>5762</v>
      </c>
      <c r="C2462" s="1" t="s">
        <v>617</v>
      </c>
      <c r="K2462" s="1" t="s">
        <v>99</v>
      </c>
      <c r="L2462" s="1" t="s">
        <v>27</v>
      </c>
      <c r="N2462" s="1" t="s">
        <v>28</v>
      </c>
      <c r="O2462" s="1" t="s">
        <v>29</v>
      </c>
      <c r="R2462" s="1">
        <v>0.0</v>
      </c>
      <c r="S2462" s="1"/>
    </row>
    <row r="2463" ht="15.75" customHeight="1">
      <c r="A2463" s="1" t="s">
        <v>5763</v>
      </c>
      <c r="B2463" s="1" t="s">
        <v>5764</v>
      </c>
      <c r="C2463" s="1" t="s">
        <v>1716</v>
      </c>
      <c r="K2463" s="1" t="s">
        <v>26</v>
      </c>
      <c r="L2463" s="1" t="s">
        <v>27</v>
      </c>
      <c r="N2463" s="1" t="s">
        <v>163</v>
      </c>
      <c r="O2463" s="1" t="s">
        <v>57</v>
      </c>
      <c r="R2463" s="1">
        <v>0.0</v>
      </c>
      <c r="S2463" s="1"/>
    </row>
    <row r="2464" ht="15.75" customHeight="1">
      <c r="A2464" s="1" t="s">
        <v>5765</v>
      </c>
      <c r="B2464" s="1" t="s">
        <v>5766</v>
      </c>
      <c r="C2464" s="1" t="s">
        <v>531</v>
      </c>
      <c r="K2464" s="1" t="s">
        <v>26</v>
      </c>
      <c r="L2464" s="1" t="s">
        <v>27</v>
      </c>
      <c r="N2464" s="1" t="s">
        <v>532</v>
      </c>
      <c r="O2464" s="1" t="s">
        <v>57</v>
      </c>
      <c r="R2464" s="1">
        <v>0.0</v>
      </c>
      <c r="S2464" s="1"/>
    </row>
    <row r="2465" ht="15.75" customHeight="1">
      <c r="A2465" s="1" t="s">
        <v>5767</v>
      </c>
      <c r="B2465" s="1" t="s">
        <v>5768</v>
      </c>
      <c r="C2465" s="1" t="s">
        <v>531</v>
      </c>
      <c r="K2465" s="1" t="s">
        <v>26</v>
      </c>
      <c r="L2465" s="1" t="s">
        <v>27</v>
      </c>
      <c r="N2465" s="1" t="s">
        <v>532</v>
      </c>
      <c r="O2465" s="1" t="s">
        <v>57</v>
      </c>
      <c r="R2465" s="1">
        <v>0.0</v>
      </c>
      <c r="S2465" s="1"/>
    </row>
    <row r="2466" ht="15.75" customHeight="1">
      <c r="A2466" s="1" t="s">
        <v>5769</v>
      </c>
      <c r="B2466" s="1" t="s">
        <v>5770</v>
      </c>
      <c r="C2466" s="1" t="s">
        <v>531</v>
      </c>
      <c r="K2466" s="1" t="s">
        <v>26</v>
      </c>
      <c r="L2466" s="1" t="s">
        <v>27</v>
      </c>
      <c r="N2466" s="1" t="s">
        <v>532</v>
      </c>
      <c r="O2466" s="1" t="s">
        <v>57</v>
      </c>
      <c r="R2466" s="1">
        <v>0.0</v>
      </c>
      <c r="S2466" s="1"/>
    </row>
    <row r="2467" ht="15.75" customHeight="1">
      <c r="A2467" s="1" t="s">
        <v>5771</v>
      </c>
      <c r="B2467" s="1" t="s">
        <v>5772</v>
      </c>
      <c r="C2467" s="1" t="s">
        <v>946</v>
      </c>
      <c r="K2467" s="1" t="s">
        <v>99</v>
      </c>
      <c r="L2467" s="1" t="s">
        <v>27</v>
      </c>
      <c r="N2467" s="1" t="s">
        <v>123</v>
      </c>
      <c r="O2467" s="1" t="s">
        <v>29</v>
      </c>
      <c r="R2467" s="1">
        <v>0.0</v>
      </c>
      <c r="S2467" s="1"/>
    </row>
    <row r="2468" ht="15.75" customHeight="1">
      <c r="A2468" s="1" t="s">
        <v>5773</v>
      </c>
      <c r="B2468" s="1" t="s">
        <v>5774</v>
      </c>
      <c r="C2468" s="1" t="s">
        <v>617</v>
      </c>
      <c r="K2468" s="1" t="s">
        <v>26</v>
      </c>
      <c r="L2468" s="1" t="s">
        <v>27</v>
      </c>
      <c r="N2468" s="1" t="s">
        <v>28</v>
      </c>
      <c r="O2468" s="1" t="s">
        <v>57</v>
      </c>
      <c r="R2468" s="1">
        <v>0.0</v>
      </c>
      <c r="S2468" s="1"/>
    </row>
    <row r="2469" ht="15.75" customHeight="1">
      <c r="A2469" s="1" t="s">
        <v>5775</v>
      </c>
      <c r="B2469" s="1" t="s">
        <v>5776</v>
      </c>
      <c r="C2469" s="1" t="s">
        <v>617</v>
      </c>
      <c r="K2469" s="1" t="s">
        <v>26</v>
      </c>
      <c r="L2469" s="1" t="s">
        <v>27</v>
      </c>
      <c r="N2469" s="1" t="s">
        <v>28</v>
      </c>
      <c r="O2469" s="1" t="s">
        <v>57</v>
      </c>
      <c r="R2469" s="1">
        <v>0.0</v>
      </c>
      <c r="S2469" s="1"/>
    </row>
    <row r="2470" ht="15.75" customHeight="1">
      <c r="A2470" s="1" t="s">
        <v>5777</v>
      </c>
      <c r="B2470" s="1" t="s">
        <v>5778</v>
      </c>
      <c r="C2470" s="1" t="s">
        <v>38</v>
      </c>
      <c r="K2470" s="1" t="s">
        <v>99</v>
      </c>
      <c r="L2470" s="1" t="s">
        <v>27</v>
      </c>
      <c r="N2470" s="1" t="s">
        <v>28</v>
      </c>
      <c r="O2470" s="1" t="s">
        <v>29</v>
      </c>
      <c r="R2470" s="1">
        <v>0.0</v>
      </c>
      <c r="S2470" s="1"/>
    </row>
    <row r="2471" ht="15.75" customHeight="1">
      <c r="A2471" s="1" t="s">
        <v>5779</v>
      </c>
      <c r="B2471" s="1" t="s">
        <v>5780</v>
      </c>
      <c r="C2471" s="1" t="s">
        <v>946</v>
      </c>
      <c r="K2471" s="1" t="s">
        <v>26</v>
      </c>
      <c r="L2471" s="1" t="s">
        <v>27</v>
      </c>
      <c r="N2471" s="1" t="s">
        <v>123</v>
      </c>
      <c r="O2471" s="1" t="s">
        <v>57</v>
      </c>
      <c r="R2471" s="1">
        <v>0.0</v>
      </c>
      <c r="S2471" s="1"/>
    </row>
    <row r="2472" ht="15.75" customHeight="1">
      <c r="A2472" s="1" t="s">
        <v>5781</v>
      </c>
      <c r="B2472" s="1" t="s">
        <v>5782</v>
      </c>
      <c r="C2472" s="1" t="s">
        <v>617</v>
      </c>
      <c r="K2472" s="1" t="s">
        <v>26</v>
      </c>
      <c r="L2472" s="1" t="s">
        <v>27</v>
      </c>
      <c r="N2472" s="1" t="s">
        <v>28</v>
      </c>
      <c r="O2472" s="1" t="s">
        <v>57</v>
      </c>
      <c r="R2472" s="1">
        <v>0.0</v>
      </c>
      <c r="S2472" s="1"/>
    </row>
    <row r="2473" ht="15.75" customHeight="1">
      <c r="A2473" s="1" t="s">
        <v>5783</v>
      </c>
      <c r="B2473" s="1" t="s">
        <v>5784</v>
      </c>
      <c r="C2473" s="1" t="s">
        <v>1786</v>
      </c>
      <c r="K2473" s="1" t="s">
        <v>26</v>
      </c>
      <c r="L2473" s="1" t="s">
        <v>27</v>
      </c>
      <c r="N2473" s="1" t="s">
        <v>1874</v>
      </c>
      <c r="O2473" s="1" t="s">
        <v>57</v>
      </c>
      <c r="R2473" s="1">
        <v>0.0</v>
      </c>
      <c r="S2473" s="1"/>
    </row>
    <row r="2474" ht="15.75" customHeight="1">
      <c r="A2474" s="1" t="s">
        <v>5785</v>
      </c>
      <c r="B2474" s="1" t="s">
        <v>5786</v>
      </c>
      <c r="C2474" s="1" t="s">
        <v>531</v>
      </c>
      <c r="K2474" s="1" t="s">
        <v>26</v>
      </c>
      <c r="L2474" s="1" t="s">
        <v>27</v>
      </c>
      <c r="N2474" s="1" t="s">
        <v>532</v>
      </c>
      <c r="O2474" s="1" t="s">
        <v>57</v>
      </c>
      <c r="R2474" s="1">
        <v>0.0</v>
      </c>
      <c r="S2474" s="1"/>
    </row>
    <row r="2475" ht="15.75" customHeight="1">
      <c r="A2475" s="1" t="s">
        <v>5787</v>
      </c>
      <c r="B2475" s="1" t="s">
        <v>5788</v>
      </c>
      <c r="C2475" s="1" t="s">
        <v>1716</v>
      </c>
      <c r="K2475" s="1" t="s">
        <v>5789</v>
      </c>
      <c r="L2475" s="1" t="s">
        <v>27</v>
      </c>
      <c r="N2475" s="1" t="s">
        <v>163</v>
      </c>
      <c r="O2475" s="1" t="s">
        <v>29</v>
      </c>
      <c r="R2475" s="1">
        <v>0.0</v>
      </c>
      <c r="S2475" s="1"/>
    </row>
    <row r="2476" ht="15.75" customHeight="1">
      <c r="A2476" s="1" t="s">
        <v>5790</v>
      </c>
      <c r="B2476" s="1" t="s">
        <v>5791</v>
      </c>
      <c r="C2476" s="1" t="s">
        <v>1716</v>
      </c>
      <c r="K2476" s="1" t="s">
        <v>26</v>
      </c>
      <c r="L2476" s="1" t="s">
        <v>27</v>
      </c>
      <c r="N2476" s="1" t="s">
        <v>163</v>
      </c>
      <c r="O2476" s="1" t="s">
        <v>57</v>
      </c>
      <c r="R2476" s="1">
        <v>0.0</v>
      </c>
      <c r="S2476" s="1"/>
    </row>
    <row r="2477" ht="15.75" customHeight="1">
      <c r="A2477" s="1" t="s">
        <v>5792</v>
      </c>
      <c r="B2477" s="1" t="s">
        <v>5793</v>
      </c>
      <c r="C2477" s="1" t="s">
        <v>946</v>
      </c>
      <c r="K2477" s="1" t="s">
        <v>99</v>
      </c>
      <c r="L2477" s="1" t="s">
        <v>27</v>
      </c>
      <c r="N2477" s="1" t="s">
        <v>123</v>
      </c>
      <c r="O2477" s="1" t="s">
        <v>29</v>
      </c>
      <c r="R2477" s="1">
        <v>0.0</v>
      </c>
      <c r="S2477" s="1"/>
    </row>
    <row r="2478" ht="15.75" customHeight="1">
      <c r="A2478" s="1" t="s">
        <v>5794</v>
      </c>
      <c r="B2478" s="1" t="s">
        <v>5795</v>
      </c>
      <c r="C2478" s="1" t="s">
        <v>617</v>
      </c>
      <c r="K2478" s="1" t="s">
        <v>26</v>
      </c>
      <c r="L2478" s="1" t="s">
        <v>27</v>
      </c>
      <c r="N2478" s="1" t="s">
        <v>28</v>
      </c>
      <c r="O2478" s="1" t="s">
        <v>57</v>
      </c>
      <c r="R2478" s="1">
        <v>0.0</v>
      </c>
      <c r="S2478" s="1"/>
    </row>
    <row r="2479" ht="15.75" customHeight="1">
      <c r="A2479" s="1" t="s">
        <v>5796</v>
      </c>
      <c r="B2479" s="1" t="s">
        <v>5797</v>
      </c>
      <c r="C2479" s="1" t="s">
        <v>531</v>
      </c>
      <c r="K2479" s="1" t="s">
        <v>99</v>
      </c>
      <c r="L2479" s="1" t="s">
        <v>27</v>
      </c>
      <c r="N2479" s="1" t="s">
        <v>532</v>
      </c>
      <c r="O2479" s="1" t="s">
        <v>29</v>
      </c>
      <c r="R2479" s="1">
        <v>0.0</v>
      </c>
      <c r="S2479" s="1"/>
    </row>
    <row r="2480" ht="15.75" customHeight="1">
      <c r="A2480" s="1" t="s">
        <v>5798</v>
      </c>
      <c r="B2480" s="1" t="s">
        <v>5799</v>
      </c>
      <c r="C2480" s="1" t="s">
        <v>38</v>
      </c>
      <c r="K2480" s="1" t="s">
        <v>99</v>
      </c>
      <c r="L2480" s="1" t="s">
        <v>27</v>
      </c>
      <c r="N2480" s="1" t="s">
        <v>28</v>
      </c>
      <c r="O2480" s="1" t="s">
        <v>29</v>
      </c>
      <c r="R2480" s="1">
        <v>0.0</v>
      </c>
      <c r="S2480" s="1"/>
    </row>
    <row r="2481" ht="15.75" customHeight="1">
      <c r="A2481" s="1" t="s">
        <v>5800</v>
      </c>
      <c r="B2481" s="1" t="s">
        <v>5801</v>
      </c>
      <c r="C2481" s="1" t="s">
        <v>617</v>
      </c>
      <c r="K2481" s="1" t="s">
        <v>26</v>
      </c>
      <c r="L2481" s="1" t="s">
        <v>27</v>
      </c>
      <c r="N2481" s="1" t="s">
        <v>28</v>
      </c>
      <c r="O2481" s="1" t="s">
        <v>57</v>
      </c>
      <c r="R2481" s="1">
        <v>0.0</v>
      </c>
      <c r="S2481" s="1"/>
    </row>
    <row r="2482" ht="15.75" customHeight="1">
      <c r="A2482" s="1" t="s">
        <v>5802</v>
      </c>
      <c r="B2482" s="1" t="s">
        <v>5803</v>
      </c>
      <c r="C2482" s="1" t="s">
        <v>531</v>
      </c>
      <c r="K2482" s="1" t="s">
        <v>26</v>
      </c>
      <c r="L2482" s="1" t="s">
        <v>27</v>
      </c>
      <c r="N2482" s="1" t="s">
        <v>532</v>
      </c>
      <c r="O2482" s="1" t="s">
        <v>57</v>
      </c>
      <c r="R2482" s="1">
        <v>0.0</v>
      </c>
      <c r="S2482" s="1"/>
    </row>
    <row r="2483" ht="15.75" customHeight="1">
      <c r="A2483" s="1" t="s">
        <v>5804</v>
      </c>
      <c r="B2483" s="1" t="s">
        <v>5805</v>
      </c>
      <c r="C2483" s="1" t="s">
        <v>549</v>
      </c>
      <c r="K2483" s="1" t="s">
        <v>99</v>
      </c>
      <c r="L2483" s="1" t="s">
        <v>27</v>
      </c>
      <c r="N2483" s="1" t="s">
        <v>549</v>
      </c>
      <c r="O2483" s="1" t="s">
        <v>29</v>
      </c>
      <c r="R2483" s="1">
        <v>0.0</v>
      </c>
      <c r="S2483" s="1"/>
    </row>
    <row r="2484" ht="15.75" customHeight="1">
      <c r="A2484" s="1" t="s">
        <v>5806</v>
      </c>
      <c r="B2484" s="1" t="s">
        <v>5807</v>
      </c>
      <c r="C2484" s="1" t="s">
        <v>38</v>
      </c>
      <c r="K2484" s="1" t="s">
        <v>26</v>
      </c>
      <c r="L2484" s="1" t="s">
        <v>27</v>
      </c>
      <c r="N2484" s="1" t="s">
        <v>28</v>
      </c>
      <c r="O2484" s="1" t="s">
        <v>57</v>
      </c>
      <c r="R2484" s="1">
        <v>0.0</v>
      </c>
      <c r="S2484" s="1"/>
    </row>
    <row r="2485" ht="15.75" customHeight="1">
      <c r="A2485" s="1" t="s">
        <v>5808</v>
      </c>
      <c r="B2485" s="1" t="s">
        <v>5809</v>
      </c>
      <c r="C2485" s="1" t="s">
        <v>174</v>
      </c>
      <c r="K2485" s="1" t="s">
        <v>26</v>
      </c>
      <c r="L2485" s="1" t="s">
        <v>27</v>
      </c>
      <c r="N2485" s="1" t="s">
        <v>174</v>
      </c>
      <c r="O2485" s="1" t="s">
        <v>57</v>
      </c>
      <c r="R2485" s="1">
        <v>0.0</v>
      </c>
      <c r="S2485" s="1"/>
    </row>
    <row r="2486" ht="15.75" customHeight="1">
      <c r="A2486" s="1" t="s">
        <v>5810</v>
      </c>
      <c r="B2486" s="1" t="s">
        <v>5811</v>
      </c>
      <c r="C2486" s="1" t="s">
        <v>946</v>
      </c>
      <c r="K2486" s="1" t="s">
        <v>99</v>
      </c>
      <c r="L2486" s="1" t="s">
        <v>27</v>
      </c>
      <c r="N2486" s="1" t="s">
        <v>123</v>
      </c>
      <c r="O2486" s="1" t="s">
        <v>29</v>
      </c>
      <c r="R2486" s="1">
        <v>0.0</v>
      </c>
      <c r="S2486" s="1"/>
    </row>
    <row r="2487" ht="15.75" customHeight="1">
      <c r="A2487" s="1" t="s">
        <v>5812</v>
      </c>
      <c r="B2487" s="1" t="s">
        <v>5813</v>
      </c>
      <c r="C2487" s="1" t="s">
        <v>174</v>
      </c>
      <c r="K2487" s="1" t="s">
        <v>26</v>
      </c>
      <c r="L2487" s="1" t="s">
        <v>27</v>
      </c>
      <c r="N2487" s="1" t="s">
        <v>174</v>
      </c>
      <c r="O2487" s="1" t="s">
        <v>57</v>
      </c>
      <c r="R2487" s="1">
        <v>0.0</v>
      </c>
      <c r="S2487" s="1"/>
    </row>
    <row r="2488" ht="15.75" customHeight="1">
      <c r="A2488" s="1" t="s">
        <v>5814</v>
      </c>
      <c r="B2488" s="1" t="s">
        <v>5815</v>
      </c>
      <c r="C2488" s="1" t="s">
        <v>497</v>
      </c>
      <c r="K2488" s="1" t="s">
        <v>26</v>
      </c>
      <c r="L2488" s="1" t="s">
        <v>27</v>
      </c>
      <c r="N2488" s="1" t="s">
        <v>498</v>
      </c>
      <c r="O2488" s="1" t="s">
        <v>57</v>
      </c>
      <c r="R2488" s="1">
        <v>0.0</v>
      </c>
      <c r="S2488" s="1"/>
    </row>
    <row r="2489" ht="15.75" customHeight="1">
      <c r="A2489" s="1" t="s">
        <v>5816</v>
      </c>
      <c r="B2489" s="1" t="s">
        <v>5817</v>
      </c>
      <c r="C2489" s="1" t="s">
        <v>617</v>
      </c>
      <c r="K2489" s="1" t="s">
        <v>99</v>
      </c>
      <c r="L2489" s="1" t="s">
        <v>27</v>
      </c>
      <c r="N2489" s="1" t="s">
        <v>28</v>
      </c>
      <c r="O2489" s="1" t="s">
        <v>29</v>
      </c>
      <c r="R2489" s="1">
        <v>0.0</v>
      </c>
      <c r="S2489" s="1"/>
    </row>
    <row r="2490" ht="15.75" customHeight="1">
      <c r="A2490" s="1" t="s">
        <v>5818</v>
      </c>
      <c r="B2490" s="1" t="s">
        <v>5819</v>
      </c>
      <c r="C2490" s="1" t="s">
        <v>531</v>
      </c>
      <c r="K2490" s="1" t="s">
        <v>26</v>
      </c>
      <c r="L2490" s="1" t="s">
        <v>27</v>
      </c>
      <c r="N2490" s="1" t="s">
        <v>532</v>
      </c>
      <c r="O2490" s="1" t="s">
        <v>57</v>
      </c>
      <c r="R2490" s="1">
        <v>0.0</v>
      </c>
      <c r="S2490" s="1"/>
    </row>
    <row r="2491" ht="15.75" customHeight="1">
      <c r="A2491" s="1" t="s">
        <v>5820</v>
      </c>
      <c r="B2491" s="1" t="s">
        <v>5821</v>
      </c>
      <c r="C2491" s="1" t="s">
        <v>497</v>
      </c>
      <c r="K2491" s="1" t="s">
        <v>99</v>
      </c>
      <c r="L2491" s="1" t="s">
        <v>27</v>
      </c>
      <c r="N2491" s="1" t="s">
        <v>498</v>
      </c>
      <c r="O2491" s="1" t="s">
        <v>29</v>
      </c>
      <c r="R2491" s="1">
        <v>0.0</v>
      </c>
      <c r="S2491" s="1"/>
    </row>
    <row r="2492" ht="15.75" customHeight="1">
      <c r="A2492" s="1" t="s">
        <v>5822</v>
      </c>
      <c r="B2492" s="1" t="s">
        <v>5823</v>
      </c>
      <c r="C2492" s="1" t="s">
        <v>617</v>
      </c>
      <c r="K2492" s="1" t="s">
        <v>99</v>
      </c>
      <c r="L2492" s="1" t="s">
        <v>27</v>
      </c>
      <c r="N2492" s="1" t="s">
        <v>28</v>
      </c>
      <c r="O2492" s="1" t="s">
        <v>29</v>
      </c>
      <c r="R2492" s="1">
        <v>0.0</v>
      </c>
      <c r="S2492" s="1"/>
    </row>
    <row r="2493" ht="15.75" customHeight="1">
      <c r="A2493" s="1" t="s">
        <v>5824</v>
      </c>
      <c r="B2493" s="1" t="s">
        <v>5825</v>
      </c>
      <c r="C2493" s="1" t="s">
        <v>617</v>
      </c>
      <c r="K2493" s="1" t="s">
        <v>99</v>
      </c>
      <c r="L2493" s="1" t="s">
        <v>27</v>
      </c>
      <c r="N2493" s="1" t="s">
        <v>28</v>
      </c>
      <c r="O2493" s="1" t="s">
        <v>29</v>
      </c>
      <c r="R2493" s="1">
        <v>0.0</v>
      </c>
      <c r="S2493" s="1"/>
    </row>
    <row r="2494" ht="15.75" customHeight="1">
      <c r="A2494" s="1" t="s">
        <v>5826</v>
      </c>
      <c r="B2494" s="1" t="s">
        <v>5827</v>
      </c>
      <c r="C2494" s="1" t="s">
        <v>946</v>
      </c>
      <c r="K2494" s="1" t="s">
        <v>99</v>
      </c>
      <c r="L2494" s="1" t="s">
        <v>27</v>
      </c>
      <c r="N2494" s="1" t="s">
        <v>123</v>
      </c>
      <c r="O2494" s="1" t="s">
        <v>29</v>
      </c>
      <c r="R2494" s="1">
        <v>0.0</v>
      </c>
      <c r="S2494" s="1"/>
    </row>
    <row r="2495" ht="15.75" customHeight="1">
      <c r="A2495" s="1" t="s">
        <v>5828</v>
      </c>
      <c r="B2495" s="1" t="s">
        <v>5829</v>
      </c>
      <c r="C2495" s="1" t="s">
        <v>531</v>
      </c>
      <c r="K2495" s="1" t="s">
        <v>99</v>
      </c>
      <c r="L2495" s="1" t="s">
        <v>27</v>
      </c>
      <c r="N2495" s="1" t="s">
        <v>532</v>
      </c>
      <c r="O2495" s="1" t="s">
        <v>29</v>
      </c>
      <c r="R2495" s="1">
        <v>0.0</v>
      </c>
      <c r="S2495" s="1"/>
    </row>
    <row r="2496" ht="15.75" customHeight="1">
      <c r="A2496" s="1" t="s">
        <v>5830</v>
      </c>
      <c r="B2496" s="1" t="s">
        <v>5831</v>
      </c>
      <c r="C2496" s="1" t="s">
        <v>497</v>
      </c>
      <c r="K2496" s="1" t="s">
        <v>99</v>
      </c>
      <c r="L2496" s="1" t="s">
        <v>27</v>
      </c>
      <c r="N2496" s="1" t="s">
        <v>498</v>
      </c>
      <c r="O2496" s="1" t="s">
        <v>29</v>
      </c>
      <c r="R2496" s="1">
        <v>0.0</v>
      </c>
      <c r="S2496" s="1"/>
    </row>
    <row r="2497" ht="15.75" customHeight="1">
      <c r="A2497" s="1" t="s">
        <v>5832</v>
      </c>
      <c r="B2497" s="1" t="s">
        <v>5833</v>
      </c>
      <c r="C2497" s="1" t="s">
        <v>617</v>
      </c>
      <c r="K2497" s="1" t="s">
        <v>26</v>
      </c>
      <c r="L2497" s="1" t="s">
        <v>27</v>
      </c>
      <c r="N2497" s="1" t="s">
        <v>28</v>
      </c>
      <c r="O2497" s="1" t="s">
        <v>57</v>
      </c>
      <c r="R2497" s="1">
        <v>0.0</v>
      </c>
      <c r="S2497" s="1"/>
    </row>
    <row r="2498" ht="15.75" customHeight="1">
      <c r="A2498" s="1" t="s">
        <v>5834</v>
      </c>
      <c r="B2498" s="1" t="s">
        <v>5835</v>
      </c>
      <c r="C2498" s="1" t="s">
        <v>531</v>
      </c>
      <c r="K2498" s="1" t="s">
        <v>26</v>
      </c>
      <c r="L2498" s="1" t="s">
        <v>27</v>
      </c>
      <c r="N2498" s="1" t="s">
        <v>532</v>
      </c>
      <c r="O2498" s="1" t="s">
        <v>57</v>
      </c>
      <c r="R2498" s="1">
        <v>0.0</v>
      </c>
      <c r="S2498" s="1"/>
    </row>
    <row r="2499" ht="15.75" customHeight="1">
      <c r="A2499" s="1" t="s">
        <v>5836</v>
      </c>
      <c r="B2499" s="1" t="s">
        <v>5837</v>
      </c>
      <c r="C2499" s="1" t="s">
        <v>531</v>
      </c>
      <c r="K2499" s="1" t="s">
        <v>26</v>
      </c>
      <c r="L2499" s="1" t="s">
        <v>27</v>
      </c>
      <c r="N2499" s="1" t="s">
        <v>532</v>
      </c>
      <c r="O2499" s="1" t="s">
        <v>57</v>
      </c>
      <c r="R2499" s="1">
        <v>0.0</v>
      </c>
      <c r="S2499" s="1"/>
    </row>
    <row r="2500" ht="15.75" customHeight="1">
      <c r="A2500" s="1" t="s">
        <v>5838</v>
      </c>
      <c r="B2500" s="1" t="s">
        <v>5839</v>
      </c>
      <c r="C2500" s="1" t="s">
        <v>531</v>
      </c>
      <c r="K2500" s="1" t="s">
        <v>26</v>
      </c>
      <c r="L2500" s="1" t="s">
        <v>27</v>
      </c>
      <c r="N2500" s="1" t="s">
        <v>532</v>
      </c>
      <c r="O2500" s="1" t="s">
        <v>57</v>
      </c>
      <c r="R2500" s="1">
        <v>0.0</v>
      </c>
      <c r="S2500" s="1"/>
    </row>
    <row r="2501" ht="15.75" customHeight="1">
      <c r="A2501" s="1" t="s">
        <v>5840</v>
      </c>
      <c r="B2501" s="1" t="s">
        <v>5841</v>
      </c>
      <c r="C2501" s="1" t="s">
        <v>531</v>
      </c>
      <c r="K2501" s="1" t="s">
        <v>99</v>
      </c>
      <c r="L2501" s="1" t="s">
        <v>27</v>
      </c>
      <c r="N2501" s="1" t="s">
        <v>532</v>
      </c>
      <c r="O2501" s="1" t="s">
        <v>29</v>
      </c>
      <c r="R2501" s="1">
        <v>0.0</v>
      </c>
      <c r="S2501" s="1"/>
    </row>
    <row r="2502" ht="15.75" customHeight="1">
      <c r="A2502" s="1" t="s">
        <v>5842</v>
      </c>
      <c r="B2502" s="1" t="s">
        <v>5843</v>
      </c>
      <c r="C2502" s="1" t="s">
        <v>531</v>
      </c>
      <c r="K2502" s="1" t="s">
        <v>26</v>
      </c>
      <c r="L2502" s="1" t="s">
        <v>27</v>
      </c>
      <c r="N2502" s="1" t="s">
        <v>532</v>
      </c>
      <c r="O2502" s="1" t="s">
        <v>57</v>
      </c>
      <c r="R2502" s="1">
        <v>0.0</v>
      </c>
      <c r="S2502" s="1"/>
    </row>
    <row r="2503" ht="15.75" customHeight="1">
      <c r="A2503" s="1" t="s">
        <v>5844</v>
      </c>
      <c r="B2503" s="1" t="s">
        <v>5845</v>
      </c>
      <c r="C2503" s="1" t="s">
        <v>549</v>
      </c>
      <c r="K2503" s="1" t="s">
        <v>99</v>
      </c>
      <c r="L2503" s="1" t="s">
        <v>27</v>
      </c>
      <c r="N2503" s="1" t="s">
        <v>549</v>
      </c>
      <c r="O2503" s="1" t="s">
        <v>29</v>
      </c>
      <c r="R2503" s="1">
        <v>0.0</v>
      </c>
      <c r="S2503" s="1"/>
    </row>
    <row r="2504" ht="15.75" customHeight="1">
      <c r="A2504" s="1" t="s">
        <v>5846</v>
      </c>
      <c r="B2504" s="1" t="s">
        <v>5847</v>
      </c>
      <c r="C2504" s="1" t="s">
        <v>38</v>
      </c>
      <c r="K2504" s="1" t="s">
        <v>99</v>
      </c>
      <c r="L2504" s="1" t="s">
        <v>27</v>
      </c>
      <c r="N2504" s="1" t="s">
        <v>28</v>
      </c>
      <c r="O2504" s="1" t="s">
        <v>29</v>
      </c>
      <c r="R2504" s="1">
        <v>0.0</v>
      </c>
      <c r="S2504" s="1"/>
    </row>
    <row r="2505" ht="15.75" customHeight="1">
      <c r="A2505" s="1" t="s">
        <v>5848</v>
      </c>
      <c r="B2505" s="1" t="s">
        <v>5849</v>
      </c>
      <c r="C2505" s="1" t="s">
        <v>174</v>
      </c>
      <c r="K2505" s="1" t="s">
        <v>99</v>
      </c>
      <c r="L2505" s="1" t="s">
        <v>27</v>
      </c>
      <c r="N2505" s="1" t="s">
        <v>174</v>
      </c>
      <c r="O2505" s="1" t="s">
        <v>29</v>
      </c>
      <c r="R2505" s="1">
        <v>0.0</v>
      </c>
      <c r="S2505" s="1"/>
    </row>
    <row r="2506" ht="15.75" customHeight="1">
      <c r="A2506" s="1" t="s">
        <v>5850</v>
      </c>
      <c r="B2506" s="1" t="s">
        <v>5851</v>
      </c>
      <c r="C2506" s="1" t="s">
        <v>174</v>
      </c>
      <c r="K2506" s="1" t="s">
        <v>99</v>
      </c>
      <c r="L2506" s="1" t="s">
        <v>27</v>
      </c>
      <c r="N2506" s="1" t="s">
        <v>174</v>
      </c>
      <c r="O2506" s="1" t="s">
        <v>29</v>
      </c>
      <c r="R2506" s="1">
        <v>0.0</v>
      </c>
      <c r="S2506" s="1"/>
    </row>
    <row r="2507" ht="15.75" customHeight="1">
      <c r="A2507" s="1" t="s">
        <v>5852</v>
      </c>
      <c r="B2507" s="1" t="s">
        <v>5853</v>
      </c>
      <c r="C2507" s="1" t="s">
        <v>174</v>
      </c>
      <c r="K2507" s="1" t="s">
        <v>5789</v>
      </c>
      <c r="L2507" s="1" t="s">
        <v>27</v>
      </c>
      <c r="N2507" s="1" t="s">
        <v>174</v>
      </c>
      <c r="O2507" s="1" t="s">
        <v>29</v>
      </c>
      <c r="R2507" s="1">
        <v>0.0</v>
      </c>
      <c r="S2507" s="1"/>
    </row>
    <row r="2508" ht="15.75" customHeight="1">
      <c r="A2508" s="1" t="s">
        <v>5854</v>
      </c>
      <c r="B2508" s="1" t="s">
        <v>5855</v>
      </c>
      <c r="C2508" s="1" t="s">
        <v>946</v>
      </c>
      <c r="K2508" s="1" t="s">
        <v>99</v>
      </c>
      <c r="L2508" s="1" t="s">
        <v>27</v>
      </c>
      <c r="N2508" s="1" t="s">
        <v>123</v>
      </c>
      <c r="O2508" s="1" t="s">
        <v>29</v>
      </c>
      <c r="R2508" s="1">
        <v>0.0</v>
      </c>
      <c r="S2508" s="1"/>
    </row>
    <row r="2509" ht="15.75" customHeight="1">
      <c r="A2509" s="1" t="s">
        <v>5856</v>
      </c>
      <c r="B2509" s="1" t="s">
        <v>5857</v>
      </c>
      <c r="C2509" s="1" t="s">
        <v>549</v>
      </c>
      <c r="K2509" s="1" t="s">
        <v>99</v>
      </c>
      <c r="L2509" s="1" t="s">
        <v>27</v>
      </c>
      <c r="N2509" s="1" t="s">
        <v>549</v>
      </c>
      <c r="O2509" s="1" t="s">
        <v>29</v>
      </c>
      <c r="R2509" s="1">
        <v>0.0</v>
      </c>
      <c r="S2509" s="1"/>
    </row>
    <row r="2510" ht="15.75" customHeight="1">
      <c r="A2510" s="1" t="s">
        <v>5858</v>
      </c>
      <c r="B2510" s="1" t="s">
        <v>5859</v>
      </c>
      <c r="C2510" s="1" t="s">
        <v>549</v>
      </c>
      <c r="K2510" s="1" t="s">
        <v>5789</v>
      </c>
      <c r="L2510" s="1" t="s">
        <v>27</v>
      </c>
      <c r="N2510" s="1" t="s">
        <v>549</v>
      </c>
      <c r="O2510" s="1" t="s">
        <v>29</v>
      </c>
      <c r="R2510" s="1">
        <v>0.0</v>
      </c>
      <c r="S2510" s="1"/>
    </row>
    <row r="2511" ht="15.75" customHeight="1">
      <c r="A2511" s="1" t="s">
        <v>5860</v>
      </c>
      <c r="B2511" s="1" t="s">
        <v>5861</v>
      </c>
      <c r="C2511" s="1" t="s">
        <v>1716</v>
      </c>
      <c r="K2511" s="1" t="s">
        <v>99</v>
      </c>
      <c r="L2511" s="1" t="s">
        <v>27</v>
      </c>
      <c r="N2511" s="1" t="s">
        <v>163</v>
      </c>
      <c r="O2511" s="1" t="s">
        <v>29</v>
      </c>
      <c r="R2511" s="1">
        <v>0.0</v>
      </c>
      <c r="S2511" s="1"/>
    </row>
    <row r="2512" ht="15.75" customHeight="1">
      <c r="A2512" s="1" t="s">
        <v>5862</v>
      </c>
      <c r="B2512" s="1" t="s">
        <v>5863</v>
      </c>
      <c r="C2512" s="1" t="s">
        <v>38</v>
      </c>
      <c r="K2512" s="1" t="s">
        <v>99</v>
      </c>
      <c r="L2512" s="1" t="s">
        <v>27</v>
      </c>
      <c r="N2512" s="1" t="s">
        <v>28</v>
      </c>
      <c r="O2512" s="1" t="s">
        <v>29</v>
      </c>
      <c r="R2512" s="1">
        <v>0.0</v>
      </c>
      <c r="S2512" s="1"/>
    </row>
    <row r="2513" ht="15.75" customHeight="1">
      <c r="A2513" s="1" t="s">
        <v>5864</v>
      </c>
      <c r="B2513" s="1" t="s">
        <v>5865</v>
      </c>
      <c r="C2513" s="1" t="s">
        <v>617</v>
      </c>
      <c r="K2513" s="1" t="s">
        <v>99</v>
      </c>
      <c r="L2513" s="1" t="s">
        <v>27</v>
      </c>
      <c r="N2513" s="1" t="s">
        <v>28</v>
      </c>
      <c r="O2513" s="1" t="s">
        <v>29</v>
      </c>
      <c r="R2513" s="1">
        <v>0.0</v>
      </c>
      <c r="S2513" s="1"/>
    </row>
    <row r="2514" ht="15.75" customHeight="1">
      <c r="A2514" s="1" t="s">
        <v>5866</v>
      </c>
      <c r="B2514" s="1" t="s">
        <v>5867</v>
      </c>
      <c r="C2514" s="1" t="s">
        <v>38</v>
      </c>
      <c r="K2514" s="1" t="s">
        <v>99</v>
      </c>
      <c r="L2514" s="1" t="s">
        <v>27</v>
      </c>
      <c r="N2514" s="1" t="s">
        <v>28</v>
      </c>
      <c r="O2514" s="1" t="s">
        <v>29</v>
      </c>
      <c r="R2514" s="1">
        <v>0.0</v>
      </c>
      <c r="S2514" s="1"/>
    </row>
    <row r="2515" ht="15.75" customHeight="1">
      <c r="A2515" s="1" t="s">
        <v>5868</v>
      </c>
      <c r="B2515" s="1" t="s">
        <v>5869</v>
      </c>
      <c r="C2515" s="1" t="s">
        <v>946</v>
      </c>
      <c r="K2515" s="1" t="s">
        <v>99</v>
      </c>
      <c r="L2515" s="1" t="s">
        <v>27</v>
      </c>
      <c r="N2515" s="1" t="s">
        <v>123</v>
      </c>
      <c r="O2515" s="1" t="s">
        <v>29</v>
      </c>
      <c r="R2515" s="1">
        <v>0.0</v>
      </c>
      <c r="S2515" s="1"/>
    </row>
    <row r="2516" ht="15.75" customHeight="1">
      <c r="A2516" s="1" t="s">
        <v>5870</v>
      </c>
      <c r="B2516" s="1" t="s">
        <v>5871</v>
      </c>
      <c r="C2516" s="1" t="s">
        <v>617</v>
      </c>
      <c r="K2516" s="1" t="s">
        <v>99</v>
      </c>
      <c r="L2516" s="1" t="s">
        <v>27</v>
      </c>
      <c r="N2516" s="1" t="s">
        <v>28</v>
      </c>
      <c r="O2516" s="1" t="s">
        <v>29</v>
      </c>
      <c r="R2516" s="1">
        <v>0.0</v>
      </c>
      <c r="S2516" s="1"/>
    </row>
    <row r="2517" ht="15.75" customHeight="1">
      <c r="A2517" s="1" t="s">
        <v>5872</v>
      </c>
      <c r="B2517" s="1" t="s">
        <v>5873</v>
      </c>
      <c r="C2517" s="1" t="s">
        <v>38</v>
      </c>
      <c r="K2517" s="1" t="s">
        <v>99</v>
      </c>
      <c r="L2517" s="1" t="s">
        <v>27</v>
      </c>
      <c r="N2517" s="1" t="s">
        <v>28</v>
      </c>
      <c r="O2517" s="1" t="s">
        <v>29</v>
      </c>
      <c r="R2517" s="1">
        <v>0.0</v>
      </c>
      <c r="S2517" s="1"/>
    </row>
    <row r="2518" ht="15.75" customHeight="1">
      <c r="A2518" s="1" t="s">
        <v>5874</v>
      </c>
      <c r="B2518" s="1" t="s">
        <v>5875</v>
      </c>
      <c r="C2518" s="1" t="s">
        <v>617</v>
      </c>
      <c r="K2518" s="1" t="s">
        <v>99</v>
      </c>
      <c r="L2518" s="1" t="s">
        <v>27</v>
      </c>
      <c r="N2518" s="1" t="s">
        <v>28</v>
      </c>
      <c r="O2518" s="1" t="s">
        <v>29</v>
      </c>
      <c r="R2518" s="1">
        <v>0.0</v>
      </c>
      <c r="S2518" s="1"/>
    </row>
    <row r="2519" ht="15.75" customHeight="1">
      <c r="A2519" s="1" t="s">
        <v>5876</v>
      </c>
      <c r="B2519" s="1" t="s">
        <v>5877</v>
      </c>
      <c r="C2519" s="1" t="s">
        <v>617</v>
      </c>
      <c r="K2519" s="1" t="s">
        <v>99</v>
      </c>
      <c r="L2519" s="1" t="s">
        <v>27</v>
      </c>
      <c r="N2519" s="1" t="s">
        <v>28</v>
      </c>
      <c r="O2519" s="1" t="s">
        <v>29</v>
      </c>
      <c r="R2519" s="1">
        <v>0.0</v>
      </c>
      <c r="S2519" s="1"/>
    </row>
    <row r="2520" ht="15.75" customHeight="1">
      <c r="A2520" s="1" t="s">
        <v>5878</v>
      </c>
      <c r="B2520" s="1" t="s">
        <v>5879</v>
      </c>
      <c r="C2520" s="1" t="s">
        <v>549</v>
      </c>
      <c r="K2520" s="1" t="s">
        <v>99</v>
      </c>
      <c r="L2520" s="1" t="s">
        <v>27</v>
      </c>
      <c r="N2520" s="1" t="s">
        <v>549</v>
      </c>
      <c r="O2520" s="1" t="s">
        <v>29</v>
      </c>
      <c r="R2520" s="1">
        <v>0.0</v>
      </c>
      <c r="S2520" s="1"/>
    </row>
    <row r="2521" ht="15.75" customHeight="1">
      <c r="A2521" s="1" t="s">
        <v>5880</v>
      </c>
      <c r="B2521" s="1" t="s">
        <v>5881</v>
      </c>
      <c r="C2521" s="1" t="s">
        <v>1716</v>
      </c>
      <c r="K2521" s="1" t="s">
        <v>99</v>
      </c>
      <c r="L2521" s="1" t="s">
        <v>27</v>
      </c>
      <c r="N2521" s="1" t="s">
        <v>163</v>
      </c>
      <c r="O2521" s="1" t="s">
        <v>29</v>
      </c>
      <c r="P2521" s="1" t="s">
        <v>5882</v>
      </c>
      <c r="Q2521" s="1" t="s">
        <v>5883</v>
      </c>
      <c r="R2521" s="1">
        <v>0.0</v>
      </c>
      <c r="S2521" s="1"/>
    </row>
    <row r="2522" ht="15.75" customHeight="1">
      <c r="A2522" s="1" t="s">
        <v>5884</v>
      </c>
      <c r="B2522" s="1" t="s">
        <v>5885</v>
      </c>
      <c r="C2522" s="1" t="s">
        <v>174</v>
      </c>
      <c r="K2522" s="1" t="s">
        <v>99</v>
      </c>
      <c r="L2522" s="1" t="s">
        <v>27</v>
      </c>
      <c r="N2522" s="1" t="s">
        <v>174</v>
      </c>
      <c r="O2522" s="1" t="s">
        <v>29</v>
      </c>
      <c r="P2522" s="1" t="s">
        <v>2265</v>
      </c>
      <c r="Q2522" s="1" t="s">
        <v>2266</v>
      </c>
      <c r="R2522" s="1">
        <v>0.0</v>
      </c>
      <c r="S2522" s="1"/>
    </row>
    <row r="2523" ht="15.75" customHeight="1">
      <c r="A2523" s="1" t="s">
        <v>5886</v>
      </c>
      <c r="B2523" s="1" t="s">
        <v>5887</v>
      </c>
      <c r="C2523" s="1" t="s">
        <v>1716</v>
      </c>
      <c r="K2523" s="1" t="s">
        <v>99</v>
      </c>
      <c r="L2523" s="1" t="s">
        <v>27</v>
      </c>
      <c r="N2523" s="1" t="s">
        <v>163</v>
      </c>
      <c r="O2523" s="1" t="s">
        <v>29</v>
      </c>
      <c r="P2523" s="1" t="s">
        <v>1749</v>
      </c>
      <c r="Q2523" s="1" t="s">
        <v>1750</v>
      </c>
      <c r="R2523" s="1">
        <v>0.0</v>
      </c>
      <c r="S2523" s="1"/>
    </row>
    <row r="2524" ht="15.75" customHeight="1">
      <c r="A2524" s="1" t="s">
        <v>5888</v>
      </c>
      <c r="B2524" s="1" t="s">
        <v>5889</v>
      </c>
      <c r="C2524" s="1" t="s">
        <v>617</v>
      </c>
      <c r="K2524" s="1" t="s">
        <v>99</v>
      </c>
      <c r="L2524" s="1" t="s">
        <v>27</v>
      </c>
      <c r="N2524" s="1" t="s">
        <v>28</v>
      </c>
      <c r="O2524" s="1" t="s">
        <v>29</v>
      </c>
      <c r="P2524" s="1" t="s">
        <v>1749</v>
      </c>
      <c r="Q2524" s="1" t="s">
        <v>1750</v>
      </c>
      <c r="R2524" s="1">
        <v>0.0</v>
      </c>
      <c r="S2524" s="1"/>
    </row>
    <row r="2525" ht="15.75" customHeight="1">
      <c r="A2525" s="1" t="s">
        <v>5890</v>
      </c>
      <c r="B2525" s="1" t="s">
        <v>5891</v>
      </c>
      <c r="C2525" s="1" t="s">
        <v>174</v>
      </c>
      <c r="E2525" s="1">
        <v>28.53852</v>
      </c>
      <c r="F2525" s="1">
        <v>77.25976600000001</v>
      </c>
      <c r="G2525" s="1" t="s">
        <v>2511</v>
      </c>
      <c r="H2525" s="1" t="s">
        <v>2512</v>
      </c>
      <c r="J2525" s="1" t="s">
        <v>118</v>
      </c>
      <c r="P2525" s="1" t="s">
        <v>2543</v>
      </c>
      <c r="Q2525" s="1" t="s">
        <v>2544</v>
      </c>
      <c r="R2525" s="1">
        <v>7.0</v>
      </c>
      <c r="S2525" s="1"/>
    </row>
    <row r="2526" ht="15.75" customHeight="1">
      <c r="A2526" s="1" t="s">
        <v>5892</v>
      </c>
      <c r="B2526" s="1" t="s">
        <v>5893</v>
      </c>
      <c r="C2526" s="1" t="s">
        <v>174</v>
      </c>
      <c r="E2526" s="1">
        <v>28.629211</v>
      </c>
      <c r="F2526" s="1">
        <v>77.09961</v>
      </c>
      <c r="G2526" s="1" t="s">
        <v>2511</v>
      </c>
      <c r="H2526" s="1" t="s">
        <v>2512</v>
      </c>
      <c r="J2526" s="1" t="s">
        <v>118</v>
      </c>
      <c r="P2526" s="1" t="s">
        <v>2543</v>
      </c>
      <c r="Q2526" s="1" t="s">
        <v>2544</v>
      </c>
      <c r="R2526" s="1">
        <v>1.0</v>
      </c>
      <c r="S2526" s="1"/>
    </row>
    <row r="2527" ht="15.75" customHeight="1">
      <c r="A2527" s="1" t="s">
        <v>5894</v>
      </c>
      <c r="B2527" s="1" t="s">
        <v>5895</v>
      </c>
      <c r="C2527" s="1" t="s">
        <v>174</v>
      </c>
      <c r="E2527" s="1">
        <v>28.5349239</v>
      </c>
      <c r="F2527" s="1">
        <v>77.2096978</v>
      </c>
      <c r="G2527" s="1" t="s">
        <v>2511</v>
      </c>
      <c r="H2527" s="1" t="s">
        <v>2512</v>
      </c>
      <c r="J2527" s="1" t="s">
        <v>118</v>
      </c>
      <c r="P2527" s="1" t="s">
        <v>2543</v>
      </c>
      <c r="Q2527" s="1" t="s">
        <v>2544</v>
      </c>
      <c r="R2527" s="1">
        <v>2.0</v>
      </c>
      <c r="S2527" s="1"/>
    </row>
    <row r="2528" ht="15.75" customHeight="1">
      <c r="A2528" s="1" t="s">
        <v>5896</v>
      </c>
      <c r="B2528" s="1" t="s">
        <v>5897</v>
      </c>
      <c r="C2528" s="1" t="s">
        <v>174</v>
      </c>
      <c r="K2528" s="1" t="s">
        <v>26</v>
      </c>
      <c r="L2528" s="1" t="s">
        <v>27</v>
      </c>
      <c r="N2528" s="1" t="s">
        <v>174</v>
      </c>
      <c r="O2528" s="1" t="s">
        <v>57</v>
      </c>
      <c r="P2528" s="1" t="s">
        <v>1749</v>
      </c>
      <c r="Q2528" s="1" t="s">
        <v>1750</v>
      </c>
      <c r="R2528" s="1">
        <v>0.0</v>
      </c>
      <c r="S2528" s="1"/>
    </row>
    <row r="2529" ht="15.75" customHeight="1">
      <c r="A2529" s="1" t="s">
        <v>5898</v>
      </c>
      <c r="B2529" s="1" t="s">
        <v>5899</v>
      </c>
      <c r="C2529" s="1" t="s">
        <v>1716</v>
      </c>
      <c r="K2529" s="1" t="s">
        <v>99</v>
      </c>
      <c r="L2529" s="1" t="s">
        <v>27</v>
      </c>
      <c r="N2529" s="1" t="s">
        <v>163</v>
      </c>
      <c r="O2529" s="1" t="s">
        <v>29</v>
      </c>
      <c r="P2529" s="1" t="s">
        <v>1749</v>
      </c>
      <c r="Q2529" s="1" t="s">
        <v>1750</v>
      </c>
      <c r="R2529" s="1">
        <v>0.0</v>
      </c>
      <c r="S2529" s="1"/>
    </row>
    <row r="2530" ht="15.75" customHeight="1">
      <c r="A2530" s="1" t="s">
        <v>5900</v>
      </c>
      <c r="B2530" s="1" t="s">
        <v>5901</v>
      </c>
      <c r="C2530" s="1" t="s">
        <v>1716</v>
      </c>
      <c r="K2530" s="1" t="s">
        <v>99</v>
      </c>
      <c r="L2530" s="1" t="s">
        <v>27</v>
      </c>
      <c r="N2530" s="1" t="s">
        <v>163</v>
      </c>
      <c r="O2530" s="1" t="s">
        <v>29</v>
      </c>
      <c r="P2530" s="1" t="s">
        <v>1749</v>
      </c>
      <c r="Q2530" s="1" t="s">
        <v>1750</v>
      </c>
      <c r="R2530" s="1">
        <v>0.0</v>
      </c>
      <c r="S2530" s="1"/>
    </row>
    <row r="2531" ht="15.75" customHeight="1">
      <c r="A2531" s="1" t="s">
        <v>5902</v>
      </c>
      <c r="B2531" s="1" t="s">
        <v>5903</v>
      </c>
      <c r="C2531" s="1" t="s">
        <v>946</v>
      </c>
      <c r="K2531" s="1" t="s">
        <v>99</v>
      </c>
      <c r="L2531" s="1" t="s">
        <v>27</v>
      </c>
      <c r="N2531" s="1" t="s">
        <v>123</v>
      </c>
      <c r="O2531" s="1" t="s">
        <v>29</v>
      </c>
      <c r="P2531" s="1" t="s">
        <v>1749</v>
      </c>
      <c r="Q2531" s="1" t="s">
        <v>1750</v>
      </c>
      <c r="R2531" s="1">
        <v>0.0</v>
      </c>
      <c r="S2531" s="1"/>
    </row>
    <row r="2532" ht="15.75" customHeight="1">
      <c r="A2532" s="1" t="s">
        <v>5904</v>
      </c>
      <c r="B2532" s="1" t="s">
        <v>5905</v>
      </c>
      <c r="C2532" s="1" t="s">
        <v>174</v>
      </c>
      <c r="E2532" s="1">
        <v>28.5429402</v>
      </c>
      <c r="F2532" s="1">
        <v>77.2522518</v>
      </c>
      <c r="G2532" s="1" t="s">
        <v>2511</v>
      </c>
      <c r="H2532" s="1" t="s">
        <v>2512</v>
      </c>
      <c r="J2532" s="1" t="s">
        <v>118</v>
      </c>
      <c r="K2532" s="1" t="s">
        <v>99</v>
      </c>
      <c r="L2532" s="1" t="s">
        <v>27</v>
      </c>
      <c r="N2532" s="1" t="s">
        <v>174</v>
      </c>
      <c r="O2532" s="1" t="s">
        <v>29</v>
      </c>
      <c r="P2532" s="1" t="s">
        <v>2543</v>
      </c>
      <c r="Q2532" s="1" t="s">
        <v>2544</v>
      </c>
      <c r="R2532" s="1">
        <v>9.0</v>
      </c>
      <c r="S2532" s="1"/>
    </row>
    <row r="2533" ht="15.75" customHeight="1">
      <c r="A2533" s="1" t="s">
        <v>5906</v>
      </c>
      <c r="B2533" s="1" t="s">
        <v>5907</v>
      </c>
      <c r="C2533" s="1" t="s">
        <v>946</v>
      </c>
      <c r="K2533" s="1" t="s">
        <v>99</v>
      </c>
      <c r="L2533" s="1" t="s">
        <v>27</v>
      </c>
      <c r="N2533" s="1" t="s">
        <v>123</v>
      </c>
      <c r="O2533" s="1" t="s">
        <v>29</v>
      </c>
      <c r="P2533" s="1" t="s">
        <v>1749</v>
      </c>
      <c r="Q2533" s="1" t="s">
        <v>1750</v>
      </c>
      <c r="R2533" s="1">
        <v>0.0</v>
      </c>
      <c r="S2533" s="1"/>
    </row>
    <row r="2534" ht="15.75" customHeight="1">
      <c r="A2534" s="1" t="s">
        <v>5908</v>
      </c>
      <c r="B2534" s="1" t="s">
        <v>5909</v>
      </c>
      <c r="C2534" s="1" t="s">
        <v>1716</v>
      </c>
      <c r="K2534" s="1" t="s">
        <v>26</v>
      </c>
      <c r="L2534" s="1" t="s">
        <v>27</v>
      </c>
      <c r="N2534" s="1" t="s">
        <v>163</v>
      </c>
      <c r="O2534" s="1" t="s">
        <v>57</v>
      </c>
      <c r="P2534" s="1" t="s">
        <v>1749</v>
      </c>
      <c r="Q2534" s="1" t="s">
        <v>1750</v>
      </c>
      <c r="R2534" s="1">
        <v>0.0</v>
      </c>
      <c r="S2534" s="1"/>
    </row>
    <row r="2535" ht="15.75" customHeight="1">
      <c r="A2535" s="1" t="s">
        <v>5910</v>
      </c>
      <c r="B2535" s="1" t="s">
        <v>5911</v>
      </c>
      <c r="C2535" s="1" t="s">
        <v>38</v>
      </c>
      <c r="K2535" s="1" t="s">
        <v>99</v>
      </c>
      <c r="L2535" s="1" t="s">
        <v>27</v>
      </c>
      <c r="N2535" s="1" t="s">
        <v>28</v>
      </c>
      <c r="O2535" s="1" t="s">
        <v>29</v>
      </c>
      <c r="P2535" s="1" t="s">
        <v>1749</v>
      </c>
      <c r="Q2535" s="1" t="s">
        <v>1750</v>
      </c>
      <c r="R2535" s="1">
        <v>0.0</v>
      </c>
      <c r="S2535" s="1"/>
    </row>
    <row r="2536" ht="15.75" customHeight="1">
      <c r="A2536" s="1" t="s">
        <v>5912</v>
      </c>
      <c r="B2536" s="1" t="s">
        <v>5913</v>
      </c>
      <c r="C2536" s="1" t="s">
        <v>617</v>
      </c>
      <c r="K2536" s="1" t="s">
        <v>99</v>
      </c>
      <c r="L2536" s="1" t="s">
        <v>27</v>
      </c>
      <c r="N2536" s="1" t="s">
        <v>28</v>
      </c>
      <c r="O2536" s="1" t="s">
        <v>29</v>
      </c>
      <c r="P2536" s="1" t="s">
        <v>5656</v>
      </c>
      <c r="Q2536" s="1" t="s">
        <v>5657</v>
      </c>
      <c r="R2536" s="1">
        <v>0.0</v>
      </c>
      <c r="S2536" s="1"/>
    </row>
    <row r="2537" ht="15.75" customHeight="1">
      <c r="A2537" s="1" t="s">
        <v>5914</v>
      </c>
      <c r="B2537" s="1" t="s">
        <v>5915</v>
      </c>
      <c r="C2537" s="1" t="s">
        <v>1716</v>
      </c>
      <c r="K2537" s="1" t="s">
        <v>99</v>
      </c>
      <c r="L2537" s="1" t="s">
        <v>27</v>
      </c>
      <c r="N2537" s="1" t="s">
        <v>163</v>
      </c>
      <c r="O2537" s="1" t="s">
        <v>29</v>
      </c>
      <c r="P2537" s="1" t="s">
        <v>1749</v>
      </c>
      <c r="Q2537" s="1" t="s">
        <v>1750</v>
      </c>
      <c r="R2537" s="1">
        <v>0.0</v>
      </c>
      <c r="S2537" s="1"/>
    </row>
    <row r="2538" ht="15.75" customHeight="1">
      <c r="A2538" s="1" t="s">
        <v>5916</v>
      </c>
      <c r="B2538" s="1" t="s">
        <v>5917</v>
      </c>
      <c r="C2538" s="1" t="s">
        <v>617</v>
      </c>
      <c r="K2538" s="1" t="s">
        <v>99</v>
      </c>
      <c r="L2538" s="1" t="s">
        <v>27</v>
      </c>
      <c r="N2538" s="1" t="s">
        <v>28</v>
      </c>
      <c r="O2538" s="1" t="s">
        <v>29</v>
      </c>
      <c r="P2538" s="1" t="s">
        <v>1749</v>
      </c>
      <c r="Q2538" s="1" t="s">
        <v>1750</v>
      </c>
      <c r="R2538" s="1">
        <v>0.0</v>
      </c>
      <c r="S2538" s="1"/>
    </row>
    <row r="2539" ht="15.75" customHeight="1">
      <c r="A2539" s="1" t="s">
        <v>5918</v>
      </c>
      <c r="B2539" s="1" t="s">
        <v>5919</v>
      </c>
      <c r="C2539" s="1" t="s">
        <v>531</v>
      </c>
      <c r="K2539" s="1" t="s">
        <v>99</v>
      </c>
      <c r="L2539" s="1" t="s">
        <v>27</v>
      </c>
      <c r="N2539" s="1" t="s">
        <v>532</v>
      </c>
      <c r="O2539" s="1" t="s">
        <v>29</v>
      </c>
      <c r="P2539" s="1" t="s">
        <v>1749</v>
      </c>
      <c r="Q2539" s="1" t="s">
        <v>1750</v>
      </c>
      <c r="R2539" s="1">
        <v>0.0</v>
      </c>
      <c r="S2539" s="1"/>
    </row>
    <row r="2540" ht="15.75" customHeight="1">
      <c r="A2540" s="1" t="s">
        <v>5920</v>
      </c>
      <c r="B2540" s="1" t="s">
        <v>5921</v>
      </c>
      <c r="C2540" s="1" t="s">
        <v>174</v>
      </c>
      <c r="K2540" s="1" t="s">
        <v>99</v>
      </c>
      <c r="L2540" s="1" t="s">
        <v>27</v>
      </c>
      <c r="N2540" s="1" t="s">
        <v>174</v>
      </c>
      <c r="O2540" s="1" t="s">
        <v>29</v>
      </c>
      <c r="P2540" s="1" t="s">
        <v>1749</v>
      </c>
      <c r="Q2540" s="1" t="s">
        <v>1750</v>
      </c>
      <c r="R2540" s="1">
        <v>0.0</v>
      </c>
      <c r="S2540" s="1"/>
    </row>
    <row r="2541" ht="15.75" customHeight="1">
      <c r="A2541" s="1" t="s">
        <v>5922</v>
      </c>
      <c r="B2541" s="1" t="s">
        <v>5923</v>
      </c>
      <c r="C2541" s="1" t="s">
        <v>1716</v>
      </c>
      <c r="K2541" s="1" t="s">
        <v>99</v>
      </c>
      <c r="L2541" s="1" t="s">
        <v>27</v>
      </c>
      <c r="N2541" s="1" t="s">
        <v>163</v>
      </c>
      <c r="O2541" s="1" t="s">
        <v>29</v>
      </c>
      <c r="P2541" s="1" t="s">
        <v>1749</v>
      </c>
      <c r="Q2541" s="1" t="s">
        <v>1750</v>
      </c>
      <c r="R2541" s="1">
        <v>0.0</v>
      </c>
      <c r="S2541" s="1"/>
    </row>
    <row r="2542" ht="15.75" customHeight="1">
      <c r="A2542" s="1" t="s">
        <v>5924</v>
      </c>
      <c r="B2542" s="1" t="s">
        <v>5925</v>
      </c>
      <c r="C2542" s="1" t="s">
        <v>531</v>
      </c>
      <c r="K2542" s="1" t="s">
        <v>99</v>
      </c>
      <c r="L2542" s="1" t="s">
        <v>27</v>
      </c>
      <c r="N2542" s="1" t="s">
        <v>532</v>
      </c>
      <c r="O2542" s="1" t="s">
        <v>29</v>
      </c>
      <c r="P2542" s="1" t="s">
        <v>1749</v>
      </c>
      <c r="Q2542" s="1" t="s">
        <v>1750</v>
      </c>
      <c r="R2542" s="1">
        <v>0.0</v>
      </c>
      <c r="S2542" s="1"/>
    </row>
    <row r="2543" ht="15.75" customHeight="1">
      <c r="A2543" s="1" t="s">
        <v>5926</v>
      </c>
      <c r="B2543" s="1" t="s">
        <v>5927</v>
      </c>
      <c r="C2543" s="1" t="s">
        <v>549</v>
      </c>
      <c r="K2543" s="1" t="s">
        <v>99</v>
      </c>
      <c r="L2543" s="1" t="s">
        <v>27</v>
      </c>
      <c r="N2543" s="1" t="s">
        <v>549</v>
      </c>
      <c r="O2543" s="1" t="s">
        <v>29</v>
      </c>
      <c r="P2543" s="1" t="s">
        <v>3297</v>
      </c>
      <c r="Q2543" s="1" t="s">
        <v>3298</v>
      </c>
      <c r="R2543" s="1">
        <v>0.0</v>
      </c>
      <c r="S2543" s="1"/>
    </row>
    <row r="2544" ht="15.75" customHeight="1">
      <c r="A2544" s="1" t="s">
        <v>5928</v>
      </c>
      <c r="B2544" s="1" t="s">
        <v>5929</v>
      </c>
      <c r="C2544" s="1" t="s">
        <v>946</v>
      </c>
      <c r="K2544" s="1" t="s">
        <v>99</v>
      </c>
      <c r="L2544" s="1" t="s">
        <v>27</v>
      </c>
      <c r="N2544" s="1" t="s">
        <v>123</v>
      </c>
      <c r="O2544" s="1" t="s">
        <v>29</v>
      </c>
      <c r="P2544" s="1" t="s">
        <v>3297</v>
      </c>
      <c r="Q2544" s="1" t="s">
        <v>3298</v>
      </c>
      <c r="R2544" s="1">
        <v>0.0</v>
      </c>
      <c r="S2544" s="1"/>
    </row>
    <row r="2545" ht="15.75" customHeight="1">
      <c r="A2545" s="1" t="s">
        <v>5930</v>
      </c>
      <c r="B2545" s="1" t="s">
        <v>5931</v>
      </c>
      <c r="C2545" s="1" t="s">
        <v>946</v>
      </c>
      <c r="K2545" s="1" t="s">
        <v>26</v>
      </c>
      <c r="L2545" s="1" t="s">
        <v>27</v>
      </c>
      <c r="N2545" s="1" t="s">
        <v>123</v>
      </c>
      <c r="O2545" s="1" t="s">
        <v>57</v>
      </c>
      <c r="P2545" s="1" t="s">
        <v>3297</v>
      </c>
      <c r="Q2545" s="1" t="s">
        <v>3298</v>
      </c>
      <c r="R2545" s="1">
        <v>0.0</v>
      </c>
      <c r="S2545" s="1"/>
    </row>
    <row r="2546" ht="15.75" customHeight="1">
      <c r="A2546" s="1" t="s">
        <v>5932</v>
      </c>
      <c r="B2546" s="1" t="s">
        <v>5933</v>
      </c>
      <c r="C2546" s="1" t="s">
        <v>497</v>
      </c>
      <c r="K2546" s="1" t="s">
        <v>99</v>
      </c>
      <c r="L2546" s="1" t="s">
        <v>27</v>
      </c>
      <c r="N2546" s="1" t="s">
        <v>498</v>
      </c>
      <c r="O2546" s="1" t="s">
        <v>29</v>
      </c>
      <c r="P2546" s="1" t="s">
        <v>3297</v>
      </c>
      <c r="Q2546" s="1" t="s">
        <v>3298</v>
      </c>
      <c r="R2546" s="1">
        <v>0.0</v>
      </c>
      <c r="S2546" s="1"/>
    </row>
    <row r="2547" ht="15.75" customHeight="1">
      <c r="A2547" s="1" t="s">
        <v>5934</v>
      </c>
      <c r="B2547" s="1" t="s">
        <v>5935</v>
      </c>
      <c r="C2547" s="1" t="s">
        <v>549</v>
      </c>
      <c r="K2547" s="1" t="s">
        <v>99</v>
      </c>
      <c r="L2547" s="1" t="s">
        <v>27</v>
      </c>
      <c r="N2547" s="1" t="s">
        <v>549</v>
      </c>
      <c r="O2547" s="1" t="s">
        <v>29</v>
      </c>
      <c r="P2547" s="1" t="s">
        <v>3297</v>
      </c>
      <c r="Q2547" s="1" t="s">
        <v>3298</v>
      </c>
      <c r="R2547" s="1">
        <v>0.0</v>
      </c>
      <c r="S2547" s="1"/>
    </row>
    <row r="2548" ht="15.75" customHeight="1">
      <c r="A2548" s="1" t="s">
        <v>5936</v>
      </c>
      <c r="B2548" s="1" t="s">
        <v>5937</v>
      </c>
      <c r="C2548" s="1" t="s">
        <v>38</v>
      </c>
      <c r="K2548" s="1" t="s">
        <v>26</v>
      </c>
      <c r="L2548" s="1" t="s">
        <v>27</v>
      </c>
      <c r="N2548" s="1" t="s">
        <v>28</v>
      </c>
      <c r="O2548" s="1" t="s">
        <v>57</v>
      </c>
      <c r="P2548" s="1" t="s">
        <v>3297</v>
      </c>
      <c r="Q2548" s="1" t="s">
        <v>3298</v>
      </c>
      <c r="R2548" s="1">
        <v>0.0</v>
      </c>
      <c r="S2548" s="1"/>
    </row>
    <row r="2549" ht="15.75" customHeight="1">
      <c r="A2549" s="1" t="s">
        <v>5938</v>
      </c>
      <c r="B2549" s="1" t="s">
        <v>5939</v>
      </c>
      <c r="C2549" s="1" t="s">
        <v>497</v>
      </c>
      <c r="K2549" s="1" t="s">
        <v>99</v>
      </c>
      <c r="L2549" s="1" t="s">
        <v>27</v>
      </c>
      <c r="N2549" s="1" t="s">
        <v>498</v>
      </c>
      <c r="O2549" s="1" t="s">
        <v>29</v>
      </c>
      <c r="P2549" s="1" t="s">
        <v>3297</v>
      </c>
      <c r="Q2549" s="1" t="s">
        <v>3298</v>
      </c>
      <c r="R2549" s="1">
        <v>0.0</v>
      </c>
      <c r="S2549" s="1"/>
    </row>
    <row r="2550" ht="15.75" customHeight="1">
      <c r="A2550" s="1" t="s">
        <v>5940</v>
      </c>
      <c r="B2550" s="1" t="s">
        <v>5941</v>
      </c>
      <c r="C2550" s="1" t="s">
        <v>174</v>
      </c>
      <c r="K2550" s="1" t="s">
        <v>26</v>
      </c>
      <c r="L2550" s="1" t="s">
        <v>27</v>
      </c>
      <c r="N2550" s="1" t="s">
        <v>174</v>
      </c>
      <c r="O2550" s="1" t="s">
        <v>57</v>
      </c>
      <c r="P2550" s="1" t="s">
        <v>3297</v>
      </c>
      <c r="Q2550" s="1" t="s">
        <v>3298</v>
      </c>
      <c r="R2550" s="1">
        <v>0.0</v>
      </c>
      <c r="S2550" s="1"/>
    </row>
    <row r="2551" ht="15.75" customHeight="1">
      <c r="A2551" s="1" t="s">
        <v>5942</v>
      </c>
      <c r="B2551" s="1" t="s">
        <v>5943</v>
      </c>
      <c r="C2551" s="1" t="s">
        <v>549</v>
      </c>
      <c r="K2551" s="1" t="s">
        <v>99</v>
      </c>
      <c r="L2551" s="1" t="s">
        <v>27</v>
      </c>
      <c r="N2551" s="1" t="s">
        <v>549</v>
      </c>
      <c r="O2551" s="1" t="s">
        <v>29</v>
      </c>
      <c r="P2551" s="1" t="s">
        <v>3297</v>
      </c>
      <c r="Q2551" s="1" t="s">
        <v>3298</v>
      </c>
      <c r="R2551" s="1">
        <v>0.0</v>
      </c>
      <c r="S2551" s="1"/>
    </row>
    <row r="2552" ht="15.75" customHeight="1">
      <c r="A2552" s="1" t="s">
        <v>5944</v>
      </c>
      <c r="B2552" s="1" t="s">
        <v>5945</v>
      </c>
      <c r="C2552" s="1" t="s">
        <v>1786</v>
      </c>
      <c r="K2552" s="1" t="s">
        <v>99</v>
      </c>
      <c r="L2552" s="1" t="s">
        <v>27</v>
      </c>
      <c r="N2552" s="1" t="s">
        <v>1874</v>
      </c>
      <c r="O2552" s="1" t="s">
        <v>29</v>
      </c>
      <c r="P2552" s="1" t="s">
        <v>3297</v>
      </c>
      <c r="Q2552" s="1" t="s">
        <v>3298</v>
      </c>
      <c r="R2552" s="1">
        <v>0.0</v>
      </c>
      <c r="S2552" s="1"/>
    </row>
    <row r="2553" ht="15.75" customHeight="1">
      <c r="A2553" s="1" t="s">
        <v>5946</v>
      </c>
      <c r="B2553" s="1" t="s">
        <v>5947</v>
      </c>
      <c r="C2553" s="1" t="s">
        <v>531</v>
      </c>
      <c r="K2553" s="1" t="s">
        <v>99</v>
      </c>
      <c r="L2553" s="1" t="s">
        <v>27</v>
      </c>
      <c r="N2553" s="1" t="s">
        <v>532</v>
      </c>
      <c r="O2553" s="1" t="s">
        <v>29</v>
      </c>
      <c r="P2553" s="1" t="s">
        <v>3297</v>
      </c>
      <c r="Q2553" s="1" t="s">
        <v>3298</v>
      </c>
      <c r="R2553" s="1">
        <v>0.0</v>
      </c>
      <c r="S2553" s="1"/>
    </row>
    <row r="2554" ht="15.75" customHeight="1">
      <c r="A2554" s="1" t="s">
        <v>5948</v>
      </c>
      <c r="B2554" s="1" t="s">
        <v>5949</v>
      </c>
      <c r="C2554" s="1" t="s">
        <v>531</v>
      </c>
      <c r="K2554" s="1" t="s">
        <v>99</v>
      </c>
      <c r="L2554" s="1" t="s">
        <v>27</v>
      </c>
      <c r="N2554" s="1" t="s">
        <v>532</v>
      </c>
      <c r="O2554" s="1" t="s">
        <v>29</v>
      </c>
      <c r="P2554" s="1" t="s">
        <v>3297</v>
      </c>
      <c r="Q2554" s="1" t="s">
        <v>3298</v>
      </c>
      <c r="R2554" s="1">
        <v>0.0</v>
      </c>
      <c r="S2554" s="1"/>
    </row>
    <row r="2555" ht="15.75" customHeight="1">
      <c r="A2555" s="1" t="s">
        <v>5950</v>
      </c>
      <c r="B2555" s="1" t="s">
        <v>5951</v>
      </c>
      <c r="C2555" s="1" t="s">
        <v>497</v>
      </c>
      <c r="K2555" s="1" t="s">
        <v>99</v>
      </c>
      <c r="L2555" s="1" t="s">
        <v>27</v>
      </c>
      <c r="N2555" s="1" t="s">
        <v>498</v>
      </c>
      <c r="O2555" s="1" t="s">
        <v>29</v>
      </c>
      <c r="P2555" s="1" t="s">
        <v>3297</v>
      </c>
      <c r="Q2555" s="1" t="s">
        <v>3298</v>
      </c>
      <c r="R2555" s="1">
        <v>0.0</v>
      </c>
      <c r="S2555" s="1"/>
    </row>
    <row r="2556" ht="15.75" customHeight="1">
      <c r="A2556" s="1" t="s">
        <v>5952</v>
      </c>
      <c r="B2556" s="1" t="s">
        <v>5953</v>
      </c>
      <c r="C2556" s="1" t="s">
        <v>497</v>
      </c>
      <c r="K2556" s="1" t="s">
        <v>26</v>
      </c>
      <c r="L2556" s="1" t="s">
        <v>27</v>
      </c>
      <c r="N2556" s="1" t="s">
        <v>498</v>
      </c>
      <c r="O2556" s="1" t="s">
        <v>57</v>
      </c>
      <c r="P2556" s="1" t="s">
        <v>3297</v>
      </c>
      <c r="Q2556" s="1" t="s">
        <v>3298</v>
      </c>
      <c r="R2556" s="1">
        <v>0.0</v>
      </c>
      <c r="S2556" s="1"/>
    </row>
    <row r="2557" ht="15.75" customHeight="1">
      <c r="A2557" s="1" t="s">
        <v>5954</v>
      </c>
      <c r="B2557" s="1" t="s">
        <v>5955</v>
      </c>
      <c r="C2557" s="1" t="s">
        <v>497</v>
      </c>
      <c r="K2557" s="1" t="s">
        <v>99</v>
      </c>
      <c r="L2557" s="1" t="s">
        <v>27</v>
      </c>
      <c r="N2557" s="1" t="s">
        <v>498</v>
      </c>
      <c r="O2557" s="1" t="s">
        <v>29</v>
      </c>
      <c r="P2557" s="1" t="s">
        <v>3297</v>
      </c>
      <c r="Q2557" s="1" t="s">
        <v>3298</v>
      </c>
      <c r="R2557" s="1">
        <v>0.0</v>
      </c>
      <c r="S2557" s="1"/>
    </row>
    <row r="2558" ht="15.75" customHeight="1">
      <c r="A2558" s="1" t="s">
        <v>5956</v>
      </c>
      <c r="B2558" s="1" t="s">
        <v>5957</v>
      </c>
      <c r="C2558" s="1" t="s">
        <v>531</v>
      </c>
      <c r="K2558" s="1" t="s">
        <v>99</v>
      </c>
      <c r="L2558" s="1" t="s">
        <v>27</v>
      </c>
      <c r="N2558" s="1" t="s">
        <v>532</v>
      </c>
      <c r="O2558" s="1" t="s">
        <v>29</v>
      </c>
      <c r="P2558" s="1" t="s">
        <v>3297</v>
      </c>
      <c r="Q2558" s="1" t="s">
        <v>3298</v>
      </c>
      <c r="R2558" s="1">
        <v>0.0</v>
      </c>
      <c r="S2558" s="1"/>
    </row>
    <row r="2559" ht="15.75" customHeight="1">
      <c r="A2559" s="1" t="s">
        <v>5958</v>
      </c>
      <c r="B2559" s="1" t="s">
        <v>5959</v>
      </c>
      <c r="C2559" s="1" t="s">
        <v>531</v>
      </c>
      <c r="K2559" s="1" t="s">
        <v>26</v>
      </c>
      <c r="L2559" s="1" t="s">
        <v>27</v>
      </c>
      <c r="N2559" s="1" t="s">
        <v>532</v>
      </c>
      <c r="O2559" s="1" t="s">
        <v>57</v>
      </c>
      <c r="P2559" s="1" t="s">
        <v>3297</v>
      </c>
      <c r="Q2559" s="1" t="s">
        <v>3298</v>
      </c>
      <c r="R2559" s="1">
        <v>0.0</v>
      </c>
      <c r="S2559" s="1"/>
    </row>
    <row r="2560" ht="15.75" customHeight="1">
      <c r="A2560" s="1" t="s">
        <v>5960</v>
      </c>
      <c r="B2560" s="1" t="s">
        <v>5961</v>
      </c>
      <c r="C2560" s="1" t="s">
        <v>242</v>
      </c>
      <c r="K2560" s="1" t="s">
        <v>99</v>
      </c>
      <c r="L2560" s="1" t="s">
        <v>27</v>
      </c>
      <c r="N2560" s="1" t="s">
        <v>216</v>
      </c>
      <c r="O2560" s="1" t="s">
        <v>29</v>
      </c>
      <c r="P2560" s="1" t="s">
        <v>3297</v>
      </c>
      <c r="Q2560" s="1" t="s">
        <v>3298</v>
      </c>
      <c r="R2560" s="1">
        <v>0.0</v>
      </c>
      <c r="S2560" s="1"/>
    </row>
    <row r="2561" ht="15.75" customHeight="1">
      <c r="A2561" s="1" t="s">
        <v>5962</v>
      </c>
      <c r="B2561" s="1" t="s">
        <v>5963</v>
      </c>
      <c r="C2561" s="1" t="s">
        <v>737</v>
      </c>
      <c r="K2561" s="1" t="s">
        <v>99</v>
      </c>
      <c r="L2561" s="1" t="s">
        <v>27</v>
      </c>
      <c r="N2561" s="1" t="s">
        <v>732</v>
      </c>
      <c r="O2561" s="1" t="s">
        <v>29</v>
      </c>
      <c r="P2561" s="1" t="s">
        <v>3297</v>
      </c>
      <c r="Q2561" s="1" t="s">
        <v>3298</v>
      </c>
      <c r="R2561" s="1">
        <v>0.0</v>
      </c>
      <c r="S2561" s="1"/>
    </row>
    <row r="2562" ht="15.75" customHeight="1">
      <c r="A2562" s="1" t="s">
        <v>5964</v>
      </c>
      <c r="B2562" s="1" t="s">
        <v>5965</v>
      </c>
      <c r="C2562" s="1" t="s">
        <v>215</v>
      </c>
      <c r="K2562" s="1" t="s">
        <v>99</v>
      </c>
      <c r="L2562" s="1" t="s">
        <v>27</v>
      </c>
      <c r="N2562" s="1" t="s">
        <v>216</v>
      </c>
      <c r="O2562" s="1" t="s">
        <v>29</v>
      </c>
      <c r="P2562" s="1" t="s">
        <v>3297</v>
      </c>
      <c r="Q2562" s="1" t="s">
        <v>3298</v>
      </c>
      <c r="R2562" s="1">
        <v>0.0</v>
      </c>
      <c r="S2562" s="1"/>
    </row>
    <row r="2563" ht="15.75" customHeight="1">
      <c r="A2563" s="1" t="s">
        <v>5966</v>
      </c>
      <c r="B2563" s="1" t="s">
        <v>5967</v>
      </c>
      <c r="C2563" s="1" t="s">
        <v>215</v>
      </c>
      <c r="K2563" s="1" t="s">
        <v>99</v>
      </c>
      <c r="L2563" s="1" t="s">
        <v>27</v>
      </c>
      <c r="N2563" s="1" t="s">
        <v>216</v>
      </c>
      <c r="O2563" s="1" t="s">
        <v>29</v>
      </c>
      <c r="P2563" s="1" t="s">
        <v>3297</v>
      </c>
      <c r="Q2563" s="1" t="s">
        <v>3298</v>
      </c>
      <c r="R2563" s="1">
        <v>0.0</v>
      </c>
      <c r="S2563" s="1"/>
    </row>
    <row r="2564" ht="15.75" customHeight="1">
      <c r="A2564" s="1" t="s">
        <v>5968</v>
      </c>
      <c r="B2564" s="1" t="s">
        <v>5969</v>
      </c>
      <c r="C2564" s="1" t="s">
        <v>737</v>
      </c>
      <c r="K2564" s="1" t="s">
        <v>99</v>
      </c>
      <c r="L2564" s="1" t="s">
        <v>27</v>
      </c>
      <c r="N2564" s="1" t="s">
        <v>732</v>
      </c>
      <c r="O2564" s="1" t="s">
        <v>29</v>
      </c>
      <c r="P2564" s="1" t="s">
        <v>3297</v>
      </c>
      <c r="Q2564" s="1" t="s">
        <v>3298</v>
      </c>
      <c r="R2564" s="1">
        <v>0.0</v>
      </c>
      <c r="S2564" s="1"/>
    </row>
    <row r="2565" ht="15.75" customHeight="1">
      <c r="A2565" s="1" t="s">
        <v>5970</v>
      </c>
      <c r="B2565" s="1" t="s">
        <v>5971</v>
      </c>
      <c r="C2565" s="1" t="s">
        <v>242</v>
      </c>
      <c r="K2565" s="1" t="s">
        <v>99</v>
      </c>
      <c r="L2565" s="1" t="s">
        <v>27</v>
      </c>
      <c r="N2565" s="1" t="s">
        <v>216</v>
      </c>
      <c r="O2565" s="1" t="s">
        <v>29</v>
      </c>
      <c r="P2565" s="1" t="s">
        <v>3297</v>
      </c>
      <c r="Q2565" s="1" t="s">
        <v>3298</v>
      </c>
      <c r="R2565" s="1">
        <v>0.0</v>
      </c>
      <c r="S2565" s="1"/>
    </row>
    <row r="2566" ht="15.75" customHeight="1">
      <c r="A2566" s="1" t="s">
        <v>5972</v>
      </c>
      <c r="B2566" s="1" t="s">
        <v>5973</v>
      </c>
      <c r="C2566" s="1" t="s">
        <v>215</v>
      </c>
      <c r="K2566" s="1" t="s">
        <v>99</v>
      </c>
      <c r="L2566" s="1" t="s">
        <v>27</v>
      </c>
      <c r="N2566" s="1" t="s">
        <v>216</v>
      </c>
      <c r="O2566" s="1" t="s">
        <v>29</v>
      </c>
      <c r="P2566" s="1" t="s">
        <v>3297</v>
      </c>
      <c r="Q2566" s="1" t="s">
        <v>3298</v>
      </c>
      <c r="R2566" s="1">
        <v>0.0</v>
      </c>
      <c r="S2566" s="1"/>
    </row>
    <row r="2567" ht="15.75" customHeight="1">
      <c r="A2567" s="1" t="s">
        <v>5974</v>
      </c>
      <c r="B2567" s="1" t="s">
        <v>5975</v>
      </c>
      <c r="C2567" s="1" t="s">
        <v>215</v>
      </c>
      <c r="K2567" s="1" t="s">
        <v>99</v>
      </c>
      <c r="L2567" s="1" t="s">
        <v>27</v>
      </c>
      <c r="N2567" s="1" t="s">
        <v>216</v>
      </c>
      <c r="O2567" s="1" t="s">
        <v>29</v>
      </c>
      <c r="P2567" s="1" t="s">
        <v>3297</v>
      </c>
      <c r="Q2567" s="1" t="s">
        <v>3298</v>
      </c>
      <c r="R2567" s="1">
        <v>0.0</v>
      </c>
      <c r="S2567" s="1"/>
    </row>
    <row r="2568" ht="15.75" customHeight="1">
      <c r="A2568" s="1" t="s">
        <v>5976</v>
      </c>
      <c r="B2568" s="1" t="s">
        <v>5977</v>
      </c>
      <c r="C2568" s="1" t="s">
        <v>242</v>
      </c>
      <c r="K2568" s="1" t="s">
        <v>99</v>
      </c>
      <c r="L2568" s="1" t="s">
        <v>27</v>
      </c>
      <c r="N2568" s="1" t="s">
        <v>216</v>
      </c>
      <c r="O2568" s="1" t="s">
        <v>29</v>
      </c>
      <c r="P2568" s="1" t="s">
        <v>3297</v>
      </c>
      <c r="Q2568" s="1" t="s">
        <v>3298</v>
      </c>
      <c r="R2568" s="1">
        <v>0.0</v>
      </c>
      <c r="S2568" s="1"/>
    </row>
    <row r="2569" ht="15.75" customHeight="1">
      <c r="A2569" s="1" t="s">
        <v>5978</v>
      </c>
      <c r="B2569" s="1" t="s">
        <v>5979</v>
      </c>
      <c r="C2569" s="1" t="s">
        <v>1078</v>
      </c>
      <c r="K2569" s="1" t="s">
        <v>26</v>
      </c>
      <c r="L2569" s="1" t="s">
        <v>27</v>
      </c>
      <c r="N2569" s="1" t="s">
        <v>743</v>
      </c>
      <c r="O2569" s="1" t="s">
        <v>57</v>
      </c>
      <c r="P2569" s="1" t="s">
        <v>3297</v>
      </c>
      <c r="Q2569" s="1" t="s">
        <v>3298</v>
      </c>
      <c r="R2569" s="1">
        <v>0.0</v>
      </c>
      <c r="S2569" s="1"/>
    </row>
    <row r="2570" ht="15.75" customHeight="1">
      <c r="A2570" s="1" t="s">
        <v>5980</v>
      </c>
      <c r="B2570" s="1" t="s">
        <v>5981</v>
      </c>
      <c r="C2570" s="1" t="s">
        <v>737</v>
      </c>
      <c r="K2570" s="1" t="s">
        <v>99</v>
      </c>
      <c r="L2570" s="1" t="s">
        <v>27</v>
      </c>
      <c r="N2570" s="1" t="s">
        <v>732</v>
      </c>
      <c r="O2570" s="1" t="s">
        <v>29</v>
      </c>
      <c r="P2570" s="1" t="s">
        <v>3297</v>
      </c>
      <c r="Q2570" s="1" t="s">
        <v>3298</v>
      </c>
      <c r="R2570" s="1">
        <v>0.0</v>
      </c>
      <c r="S2570" s="1"/>
    </row>
    <row r="2571" ht="15.75" customHeight="1">
      <c r="A2571" s="1" t="s">
        <v>5982</v>
      </c>
      <c r="B2571" s="1" t="s">
        <v>5983</v>
      </c>
      <c r="C2571" s="1" t="s">
        <v>1112</v>
      </c>
      <c r="K2571" s="1" t="s">
        <v>99</v>
      </c>
      <c r="L2571" s="1" t="s">
        <v>27</v>
      </c>
      <c r="N2571" s="1" t="s">
        <v>1097</v>
      </c>
      <c r="O2571" s="1" t="s">
        <v>29</v>
      </c>
      <c r="P2571" s="1" t="s">
        <v>3297</v>
      </c>
      <c r="Q2571" s="1" t="s">
        <v>3298</v>
      </c>
      <c r="R2571" s="1">
        <v>0.0</v>
      </c>
      <c r="S2571" s="1"/>
    </row>
    <row r="2572" ht="15.75" customHeight="1">
      <c r="A2572" s="1" t="s">
        <v>5984</v>
      </c>
      <c r="B2572" s="1" t="s">
        <v>5985</v>
      </c>
      <c r="C2572" s="1" t="s">
        <v>242</v>
      </c>
      <c r="K2572" s="1" t="s">
        <v>99</v>
      </c>
      <c r="L2572" s="1" t="s">
        <v>27</v>
      </c>
      <c r="N2572" s="1" t="s">
        <v>216</v>
      </c>
      <c r="O2572" s="1" t="s">
        <v>29</v>
      </c>
      <c r="P2572" s="1" t="s">
        <v>3297</v>
      </c>
      <c r="Q2572" s="1" t="s">
        <v>3298</v>
      </c>
      <c r="R2572" s="1">
        <v>0.0</v>
      </c>
      <c r="S2572" s="1"/>
    </row>
    <row r="2573" ht="15.75" customHeight="1">
      <c r="A2573" s="1" t="s">
        <v>5986</v>
      </c>
      <c r="B2573" s="1" t="s">
        <v>5987</v>
      </c>
      <c r="C2573" s="1" t="s">
        <v>215</v>
      </c>
      <c r="K2573" s="1" t="s">
        <v>99</v>
      </c>
      <c r="L2573" s="1" t="s">
        <v>27</v>
      </c>
      <c r="N2573" s="1" t="s">
        <v>216</v>
      </c>
      <c r="O2573" s="1" t="s">
        <v>29</v>
      </c>
      <c r="P2573" s="1" t="s">
        <v>3297</v>
      </c>
      <c r="Q2573" s="1" t="s">
        <v>3298</v>
      </c>
      <c r="R2573" s="1">
        <v>0.0</v>
      </c>
      <c r="S2573" s="1"/>
    </row>
    <row r="2574" ht="15.75" customHeight="1">
      <c r="A2574" s="1" t="s">
        <v>5988</v>
      </c>
      <c r="B2574" s="1" t="s">
        <v>5989</v>
      </c>
      <c r="C2574" s="1" t="s">
        <v>2372</v>
      </c>
      <c r="K2574" s="1" t="s">
        <v>99</v>
      </c>
      <c r="L2574" s="1" t="s">
        <v>27</v>
      </c>
      <c r="N2574" s="1" t="s">
        <v>1210</v>
      </c>
      <c r="O2574" s="1" t="s">
        <v>29</v>
      </c>
      <c r="P2574" s="1" t="s">
        <v>3297</v>
      </c>
      <c r="Q2574" s="1" t="s">
        <v>3298</v>
      </c>
      <c r="R2574" s="1">
        <v>0.0</v>
      </c>
      <c r="S2574" s="1"/>
    </row>
    <row r="2575" ht="15.75" customHeight="1">
      <c r="A2575" s="1" t="s">
        <v>5990</v>
      </c>
      <c r="B2575" s="1" t="s">
        <v>5991</v>
      </c>
      <c r="C2575" s="1" t="s">
        <v>1078</v>
      </c>
      <c r="K2575" s="1" t="s">
        <v>26</v>
      </c>
      <c r="L2575" s="1" t="s">
        <v>27</v>
      </c>
      <c r="N2575" s="1" t="s">
        <v>743</v>
      </c>
      <c r="O2575" s="1" t="s">
        <v>57</v>
      </c>
      <c r="P2575" s="1" t="s">
        <v>3297</v>
      </c>
      <c r="Q2575" s="1" t="s">
        <v>3298</v>
      </c>
      <c r="R2575" s="1">
        <v>0.0</v>
      </c>
      <c r="S2575" s="1"/>
    </row>
    <row r="2576" ht="15.75" customHeight="1">
      <c r="A2576" s="1" t="s">
        <v>5992</v>
      </c>
      <c r="B2576" s="1" t="s">
        <v>5993</v>
      </c>
      <c r="C2576" s="1" t="s">
        <v>148</v>
      </c>
      <c r="K2576" s="1" t="s">
        <v>99</v>
      </c>
      <c r="L2576" s="1" t="s">
        <v>27</v>
      </c>
      <c r="N2576" s="1" t="s">
        <v>143</v>
      </c>
      <c r="O2576" s="1" t="s">
        <v>29</v>
      </c>
      <c r="P2576" s="1" t="s">
        <v>3297</v>
      </c>
      <c r="Q2576" s="1" t="s">
        <v>3298</v>
      </c>
      <c r="R2576" s="1">
        <v>0.0</v>
      </c>
      <c r="S2576" s="1"/>
    </row>
    <row r="2577" ht="15.75" customHeight="1">
      <c r="A2577" s="1" t="s">
        <v>5994</v>
      </c>
      <c r="B2577" s="1" t="s">
        <v>5995</v>
      </c>
      <c r="C2577" s="1" t="s">
        <v>215</v>
      </c>
      <c r="K2577" s="1" t="s">
        <v>26</v>
      </c>
      <c r="L2577" s="1" t="s">
        <v>27</v>
      </c>
      <c r="N2577" s="1" t="s">
        <v>216</v>
      </c>
      <c r="O2577" s="1" t="s">
        <v>57</v>
      </c>
      <c r="P2577" s="1" t="s">
        <v>3297</v>
      </c>
      <c r="Q2577" s="1" t="s">
        <v>3298</v>
      </c>
      <c r="R2577" s="1">
        <v>0.0</v>
      </c>
      <c r="S2577" s="1"/>
    </row>
    <row r="2578" ht="15.75" customHeight="1">
      <c r="A2578" s="1" t="s">
        <v>5996</v>
      </c>
      <c r="B2578" s="1" t="s">
        <v>5997</v>
      </c>
      <c r="C2578" s="1" t="s">
        <v>242</v>
      </c>
      <c r="K2578" s="1" t="s">
        <v>99</v>
      </c>
      <c r="L2578" s="1" t="s">
        <v>27</v>
      </c>
      <c r="N2578" s="1" t="s">
        <v>216</v>
      </c>
      <c r="O2578" s="1" t="s">
        <v>29</v>
      </c>
      <c r="P2578" s="1" t="s">
        <v>3297</v>
      </c>
      <c r="Q2578" s="1" t="s">
        <v>3298</v>
      </c>
      <c r="R2578" s="1">
        <v>0.0</v>
      </c>
      <c r="S2578" s="1"/>
    </row>
    <row r="2579" ht="15.75" customHeight="1">
      <c r="A2579" s="1" t="s">
        <v>5998</v>
      </c>
      <c r="B2579" s="1" t="s">
        <v>5999</v>
      </c>
      <c r="C2579" s="1" t="s">
        <v>467</v>
      </c>
      <c r="K2579" s="1" t="s">
        <v>5789</v>
      </c>
      <c r="L2579" s="1" t="s">
        <v>27</v>
      </c>
      <c r="N2579" s="1" t="s">
        <v>464</v>
      </c>
      <c r="O2579" s="1" t="s">
        <v>29</v>
      </c>
      <c r="P2579" s="1" t="s">
        <v>3297</v>
      </c>
      <c r="Q2579" s="1" t="s">
        <v>3298</v>
      </c>
      <c r="R2579" s="1">
        <v>0.0</v>
      </c>
      <c r="S2579" s="1"/>
    </row>
    <row r="2580" ht="15.75" customHeight="1">
      <c r="A2580" s="1" t="s">
        <v>6000</v>
      </c>
      <c r="B2580" s="1" t="s">
        <v>6001</v>
      </c>
      <c r="C2580" s="1" t="s">
        <v>185</v>
      </c>
      <c r="K2580" s="1" t="s">
        <v>26</v>
      </c>
      <c r="L2580" s="1" t="s">
        <v>27</v>
      </c>
      <c r="N2580" s="1" t="s">
        <v>186</v>
      </c>
      <c r="O2580" s="1" t="s">
        <v>57</v>
      </c>
      <c r="P2580" s="1" t="s">
        <v>3297</v>
      </c>
      <c r="Q2580" s="1" t="s">
        <v>3298</v>
      </c>
      <c r="R2580" s="1">
        <v>0.0</v>
      </c>
      <c r="S2580" s="1"/>
    </row>
    <row r="2581" ht="15.75" customHeight="1">
      <c r="A2581" s="1" t="s">
        <v>6002</v>
      </c>
      <c r="B2581" s="1" t="s">
        <v>6003</v>
      </c>
      <c r="C2581" s="1" t="s">
        <v>1138</v>
      </c>
      <c r="K2581" s="1" t="s">
        <v>99</v>
      </c>
      <c r="L2581" s="1" t="s">
        <v>27</v>
      </c>
      <c r="N2581" s="1" t="s">
        <v>1097</v>
      </c>
      <c r="O2581" s="1" t="s">
        <v>29</v>
      </c>
      <c r="P2581" s="1" t="s">
        <v>3297</v>
      </c>
      <c r="Q2581" s="1" t="s">
        <v>3298</v>
      </c>
      <c r="R2581" s="1">
        <v>0.0</v>
      </c>
      <c r="S2581" s="1"/>
    </row>
    <row r="2582" ht="15.75" customHeight="1">
      <c r="A2582" s="1" t="s">
        <v>6004</v>
      </c>
      <c r="B2582" s="1" t="s">
        <v>6005</v>
      </c>
      <c r="C2582" s="1" t="s">
        <v>1112</v>
      </c>
      <c r="K2582" s="1" t="s">
        <v>99</v>
      </c>
      <c r="L2582" s="1" t="s">
        <v>27</v>
      </c>
      <c r="N2582" s="1" t="s">
        <v>1097</v>
      </c>
      <c r="O2582" s="1" t="s">
        <v>29</v>
      </c>
      <c r="P2582" s="1" t="s">
        <v>3297</v>
      </c>
      <c r="Q2582" s="1" t="s">
        <v>3298</v>
      </c>
      <c r="R2582" s="1">
        <v>0.0</v>
      </c>
      <c r="S2582" s="1"/>
    </row>
    <row r="2583" ht="15.75" customHeight="1">
      <c r="A2583" s="1" t="s">
        <v>6006</v>
      </c>
      <c r="B2583" s="1" t="s">
        <v>6007</v>
      </c>
      <c r="C2583" s="1" t="s">
        <v>467</v>
      </c>
      <c r="K2583" s="1" t="s">
        <v>26</v>
      </c>
      <c r="L2583" s="1" t="s">
        <v>27</v>
      </c>
      <c r="N2583" s="1" t="s">
        <v>464</v>
      </c>
      <c r="O2583" s="1" t="s">
        <v>57</v>
      </c>
      <c r="P2583" s="1" t="s">
        <v>3297</v>
      </c>
      <c r="Q2583" s="1" t="s">
        <v>3298</v>
      </c>
      <c r="R2583" s="1">
        <v>0.0</v>
      </c>
      <c r="S2583" s="1"/>
    </row>
    <row r="2584" ht="15.75" customHeight="1">
      <c r="A2584" s="1" t="s">
        <v>6008</v>
      </c>
      <c r="B2584" s="1" t="s">
        <v>6009</v>
      </c>
      <c r="C2584" s="1" t="s">
        <v>2372</v>
      </c>
      <c r="K2584" s="1" t="s">
        <v>99</v>
      </c>
      <c r="L2584" s="1" t="s">
        <v>27</v>
      </c>
      <c r="N2584" s="1" t="s">
        <v>1210</v>
      </c>
      <c r="O2584" s="1" t="s">
        <v>29</v>
      </c>
      <c r="P2584" s="1" t="s">
        <v>3297</v>
      </c>
      <c r="Q2584" s="1" t="s">
        <v>3298</v>
      </c>
      <c r="R2584" s="1">
        <v>0.0</v>
      </c>
      <c r="S2584" s="1"/>
    </row>
    <row r="2585" ht="15.75" customHeight="1">
      <c r="A2585" s="1" t="s">
        <v>6010</v>
      </c>
      <c r="B2585" s="1" t="s">
        <v>6011</v>
      </c>
      <c r="C2585" s="1" t="s">
        <v>2372</v>
      </c>
      <c r="K2585" s="1" t="s">
        <v>99</v>
      </c>
      <c r="L2585" s="1" t="s">
        <v>27</v>
      </c>
      <c r="N2585" s="1" t="s">
        <v>1210</v>
      </c>
      <c r="O2585" s="1" t="s">
        <v>29</v>
      </c>
      <c r="P2585" s="1" t="s">
        <v>3297</v>
      </c>
      <c r="Q2585" s="1" t="s">
        <v>3298</v>
      </c>
      <c r="R2585" s="1">
        <v>0.0</v>
      </c>
      <c r="S2585" s="1"/>
    </row>
    <row r="2586" ht="15.75" customHeight="1">
      <c r="A2586" s="1" t="s">
        <v>6012</v>
      </c>
      <c r="B2586" s="1" t="s">
        <v>6013</v>
      </c>
      <c r="C2586" s="1" t="s">
        <v>2372</v>
      </c>
      <c r="K2586" s="1" t="s">
        <v>99</v>
      </c>
      <c r="L2586" s="1" t="s">
        <v>27</v>
      </c>
      <c r="N2586" s="1" t="s">
        <v>1210</v>
      </c>
      <c r="O2586" s="1" t="s">
        <v>29</v>
      </c>
      <c r="P2586" s="1" t="s">
        <v>3297</v>
      </c>
      <c r="Q2586" s="1" t="s">
        <v>3298</v>
      </c>
      <c r="R2586" s="1">
        <v>0.0</v>
      </c>
      <c r="S2586" s="1"/>
    </row>
    <row r="2587" ht="15.75" customHeight="1">
      <c r="A2587" s="1" t="s">
        <v>6014</v>
      </c>
      <c r="B2587" s="1" t="s">
        <v>6015</v>
      </c>
      <c r="C2587" s="1" t="s">
        <v>242</v>
      </c>
      <c r="K2587" s="1" t="s">
        <v>26</v>
      </c>
      <c r="L2587" s="1" t="s">
        <v>27</v>
      </c>
      <c r="N2587" s="1" t="s">
        <v>216</v>
      </c>
      <c r="O2587" s="1" t="s">
        <v>57</v>
      </c>
      <c r="P2587" s="1" t="s">
        <v>3297</v>
      </c>
      <c r="Q2587" s="1" t="s">
        <v>3298</v>
      </c>
      <c r="R2587" s="1">
        <v>0.0</v>
      </c>
      <c r="S2587" s="1"/>
    </row>
    <row r="2588" ht="15.75" customHeight="1">
      <c r="A2588" s="1" t="s">
        <v>6016</v>
      </c>
      <c r="B2588" s="1" t="s">
        <v>6017</v>
      </c>
      <c r="C2588" s="1" t="s">
        <v>148</v>
      </c>
      <c r="K2588" s="1" t="s">
        <v>26</v>
      </c>
      <c r="L2588" s="1" t="s">
        <v>27</v>
      </c>
      <c r="N2588" s="1" t="s">
        <v>143</v>
      </c>
      <c r="O2588" s="1" t="s">
        <v>57</v>
      </c>
      <c r="P2588" s="1" t="s">
        <v>3297</v>
      </c>
      <c r="Q2588" s="1" t="s">
        <v>3298</v>
      </c>
      <c r="R2588" s="1">
        <v>0.0</v>
      </c>
      <c r="S2588" s="1"/>
    </row>
    <row r="2589" ht="15.75" customHeight="1">
      <c r="A2589" s="1" t="s">
        <v>6018</v>
      </c>
      <c r="B2589" s="1" t="s">
        <v>6019</v>
      </c>
      <c r="C2589" s="1" t="s">
        <v>467</v>
      </c>
      <c r="K2589" s="1" t="s">
        <v>99</v>
      </c>
      <c r="L2589" s="1" t="s">
        <v>27</v>
      </c>
      <c r="N2589" s="1" t="s">
        <v>464</v>
      </c>
      <c r="O2589" s="1" t="s">
        <v>29</v>
      </c>
      <c r="P2589" s="1" t="s">
        <v>3297</v>
      </c>
      <c r="Q2589" s="1" t="s">
        <v>3298</v>
      </c>
      <c r="R2589" s="1">
        <v>0.0</v>
      </c>
      <c r="S2589" s="1"/>
    </row>
    <row r="2590" ht="15.75" customHeight="1">
      <c r="A2590" s="1" t="s">
        <v>6020</v>
      </c>
      <c r="B2590" s="1" t="s">
        <v>6021</v>
      </c>
      <c r="C2590" s="1" t="s">
        <v>215</v>
      </c>
      <c r="K2590" s="1" t="s">
        <v>99</v>
      </c>
      <c r="L2590" s="1" t="s">
        <v>27</v>
      </c>
      <c r="N2590" s="1" t="s">
        <v>216</v>
      </c>
      <c r="O2590" s="1" t="s">
        <v>29</v>
      </c>
      <c r="P2590" s="1" t="s">
        <v>3297</v>
      </c>
      <c r="Q2590" s="1" t="s">
        <v>3298</v>
      </c>
      <c r="R2590" s="1">
        <v>0.0</v>
      </c>
      <c r="S2590" s="1"/>
    </row>
    <row r="2591" ht="15.75" customHeight="1">
      <c r="A2591" s="1" t="s">
        <v>6022</v>
      </c>
      <c r="B2591" s="1" t="s">
        <v>6023</v>
      </c>
      <c r="C2591" s="1" t="s">
        <v>242</v>
      </c>
      <c r="K2591" s="1" t="s">
        <v>99</v>
      </c>
      <c r="L2591" s="1" t="s">
        <v>27</v>
      </c>
      <c r="N2591" s="1" t="s">
        <v>216</v>
      </c>
      <c r="O2591" s="1" t="s">
        <v>29</v>
      </c>
      <c r="P2591" s="1" t="s">
        <v>3297</v>
      </c>
      <c r="Q2591" s="1" t="s">
        <v>3298</v>
      </c>
      <c r="R2591" s="1">
        <v>0.0</v>
      </c>
      <c r="S2591" s="1"/>
    </row>
    <row r="2592" ht="15.75" customHeight="1">
      <c r="A2592" s="1" t="s">
        <v>6024</v>
      </c>
      <c r="B2592" s="1" t="s">
        <v>6025</v>
      </c>
      <c r="C2592" s="1" t="s">
        <v>185</v>
      </c>
      <c r="K2592" s="1" t="s">
        <v>5789</v>
      </c>
      <c r="L2592" s="1" t="s">
        <v>27</v>
      </c>
      <c r="N2592" s="1" t="s">
        <v>186</v>
      </c>
      <c r="O2592" s="1" t="s">
        <v>29</v>
      </c>
      <c r="P2592" s="1" t="s">
        <v>3297</v>
      </c>
      <c r="Q2592" s="1" t="s">
        <v>3298</v>
      </c>
      <c r="R2592" s="1">
        <v>0.0</v>
      </c>
      <c r="S2592" s="1"/>
    </row>
    <row r="2593" ht="15.75" customHeight="1">
      <c r="A2593" s="1" t="s">
        <v>6026</v>
      </c>
      <c r="B2593" s="1" t="s">
        <v>6027</v>
      </c>
      <c r="C2593" s="1" t="s">
        <v>215</v>
      </c>
      <c r="K2593" s="1" t="s">
        <v>26</v>
      </c>
      <c r="L2593" s="1" t="s">
        <v>27</v>
      </c>
      <c r="N2593" s="1" t="s">
        <v>216</v>
      </c>
      <c r="O2593" s="1" t="s">
        <v>57</v>
      </c>
      <c r="P2593" s="1" t="s">
        <v>3297</v>
      </c>
      <c r="Q2593" s="1" t="s">
        <v>3298</v>
      </c>
      <c r="R2593" s="1">
        <v>0.0</v>
      </c>
      <c r="S2593" s="1"/>
    </row>
    <row r="2594" ht="15.75" customHeight="1">
      <c r="A2594" s="1" t="s">
        <v>6028</v>
      </c>
      <c r="B2594" s="1" t="s">
        <v>6029</v>
      </c>
      <c r="C2594" s="1" t="s">
        <v>1138</v>
      </c>
      <c r="K2594" s="1" t="s">
        <v>99</v>
      </c>
      <c r="L2594" s="1" t="s">
        <v>27</v>
      </c>
      <c r="N2594" s="1" t="s">
        <v>1097</v>
      </c>
      <c r="O2594" s="1" t="s">
        <v>29</v>
      </c>
      <c r="P2594" s="1" t="s">
        <v>3297</v>
      </c>
      <c r="Q2594" s="1" t="s">
        <v>3298</v>
      </c>
      <c r="R2594" s="1">
        <v>0.0</v>
      </c>
      <c r="S2594" s="1"/>
    </row>
    <row r="2595" ht="15.75" customHeight="1">
      <c r="A2595" s="1" t="s">
        <v>6030</v>
      </c>
      <c r="B2595" s="1" t="s">
        <v>6031</v>
      </c>
      <c r="C2595" s="1" t="s">
        <v>2372</v>
      </c>
      <c r="K2595" s="1" t="s">
        <v>99</v>
      </c>
      <c r="L2595" s="1" t="s">
        <v>27</v>
      </c>
      <c r="N2595" s="1" t="s">
        <v>1210</v>
      </c>
      <c r="O2595" s="1" t="s">
        <v>29</v>
      </c>
      <c r="R2595" s="1">
        <v>0.0</v>
      </c>
      <c r="S2595" s="1"/>
    </row>
    <row r="2596" ht="15.75" customHeight="1">
      <c r="A2596" s="1" t="s">
        <v>6032</v>
      </c>
      <c r="B2596" s="1" t="s">
        <v>6033</v>
      </c>
      <c r="C2596" s="1" t="s">
        <v>467</v>
      </c>
      <c r="K2596" s="1" t="s">
        <v>99</v>
      </c>
      <c r="L2596" s="1" t="s">
        <v>27</v>
      </c>
      <c r="N2596" s="1" t="s">
        <v>464</v>
      </c>
      <c r="O2596" s="1" t="s">
        <v>29</v>
      </c>
      <c r="P2596" s="1" t="s">
        <v>3297</v>
      </c>
      <c r="Q2596" s="1" t="s">
        <v>3298</v>
      </c>
      <c r="R2596" s="1">
        <v>0.0</v>
      </c>
      <c r="S2596" s="1"/>
    </row>
    <row r="2597" ht="15.75" customHeight="1">
      <c r="A2597" s="1" t="s">
        <v>6034</v>
      </c>
      <c r="B2597" s="1" t="s">
        <v>6035</v>
      </c>
      <c r="C2597" s="1" t="s">
        <v>467</v>
      </c>
      <c r="K2597" s="1" t="s">
        <v>99</v>
      </c>
      <c r="L2597" s="1" t="s">
        <v>27</v>
      </c>
      <c r="N2597" s="1" t="s">
        <v>464</v>
      </c>
      <c r="O2597" s="1" t="s">
        <v>29</v>
      </c>
      <c r="R2597" s="1">
        <v>0.0</v>
      </c>
      <c r="S2597" s="1"/>
    </row>
    <row r="2598" ht="15.75" customHeight="1">
      <c r="A2598" s="1" t="s">
        <v>6036</v>
      </c>
      <c r="B2598" s="1" t="s">
        <v>6037</v>
      </c>
      <c r="C2598" s="1" t="s">
        <v>737</v>
      </c>
      <c r="K2598" s="1" t="s">
        <v>26</v>
      </c>
      <c r="L2598" s="1" t="s">
        <v>27</v>
      </c>
      <c r="N2598" s="1" t="s">
        <v>732</v>
      </c>
      <c r="O2598" s="1" t="s">
        <v>57</v>
      </c>
      <c r="R2598" s="1">
        <v>0.0</v>
      </c>
      <c r="S2598" s="1"/>
    </row>
    <row r="2599" ht="15.75" customHeight="1">
      <c r="A2599" s="1" t="s">
        <v>6038</v>
      </c>
      <c r="B2599" s="1" t="s">
        <v>6039</v>
      </c>
      <c r="C2599" s="1" t="s">
        <v>1078</v>
      </c>
      <c r="K2599" s="1" t="s">
        <v>26</v>
      </c>
      <c r="L2599" s="1" t="s">
        <v>27</v>
      </c>
      <c r="N2599" s="1" t="s">
        <v>743</v>
      </c>
      <c r="O2599" s="1" t="s">
        <v>57</v>
      </c>
      <c r="R2599" s="1">
        <v>0.0</v>
      </c>
      <c r="S2599" s="1"/>
    </row>
    <row r="2600" ht="15.75" customHeight="1">
      <c r="A2600" s="1" t="s">
        <v>6040</v>
      </c>
      <c r="B2600" s="1" t="s">
        <v>6041</v>
      </c>
      <c r="C2600" s="1" t="s">
        <v>215</v>
      </c>
      <c r="K2600" s="1" t="s">
        <v>26</v>
      </c>
      <c r="L2600" s="1" t="s">
        <v>27</v>
      </c>
      <c r="N2600" s="1" t="s">
        <v>216</v>
      </c>
      <c r="O2600" s="1" t="s">
        <v>57</v>
      </c>
      <c r="R2600" s="1">
        <v>0.0</v>
      </c>
      <c r="S2600" s="1"/>
    </row>
    <row r="2601" ht="15.75" customHeight="1">
      <c r="A2601" s="1" t="s">
        <v>6042</v>
      </c>
      <c r="B2601" s="1" t="s">
        <v>6043</v>
      </c>
      <c r="C2601" s="1" t="s">
        <v>467</v>
      </c>
      <c r="K2601" s="1" t="s">
        <v>99</v>
      </c>
      <c r="L2601" s="1" t="s">
        <v>27</v>
      </c>
      <c r="N2601" s="1" t="s">
        <v>464</v>
      </c>
      <c r="O2601" s="1" t="s">
        <v>29</v>
      </c>
      <c r="R2601" s="1">
        <v>0.0</v>
      </c>
      <c r="S2601" s="1"/>
    </row>
    <row r="2602" ht="15.75" customHeight="1">
      <c r="A2602" s="1" t="s">
        <v>6044</v>
      </c>
      <c r="B2602" s="1" t="s">
        <v>6045</v>
      </c>
      <c r="C2602" s="1" t="s">
        <v>467</v>
      </c>
      <c r="K2602" s="1" t="s">
        <v>99</v>
      </c>
      <c r="L2602" s="1" t="s">
        <v>27</v>
      </c>
      <c r="N2602" s="1" t="s">
        <v>464</v>
      </c>
      <c r="O2602" s="1" t="s">
        <v>29</v>
      </c>
      <c r="R2602" s="1">
        <v>0.0</v>
      </c>
      <c r="S2602" s="1"/>
    </row>
    <row r="2603" ht="15.75" customHeight="1">
      <c r="A2603" s="1" t="s">
        <v>6046</v>
      </c>
      <c r="B2603" s="1" t="s">
        <v>6047</v>
      </c>
      <c r="C2603" s="1" t="s">
        <v>467</v>
      </c>
      <c r="K2603" s="1" t="s">
        <v>99</v>
      </c>
      <c r="L2603" s="1" t="s">
        <v>27</v>
      </c>
      <c r="N2603" s="1" t="s">
        <v>464</v>
      </c>
      <c r="O2603" s="1" t="s">
        <v>29</v>
      </c>
      <c r="R2603" s="1">
        <v>0.0</v>
      </c>
      <c r="S2603" s="1"/>
    </row>
    <row r="2604" ht="15.75" customHeight="1">
      <c r="A2604" s="1" t="s">
        <v>6048</v>
      </c>
      <c r="B2604" s="1" t="s">
        <v>6049</v>
      </c>
      <c r="C2604" s="1" t="s">
        <v>737</v>
      </c>
      <c r="K2604" s="1" t="s">
        <v>99</v>
      </c>
      <c r="L2604" s="1" t="s">
        <v>27</v>
      </c>
      <c r="N2604" s="1" t="s">
        <v>732</v>
      </c>
      <c r="O2604" s="1" t="s">
        <v>29</v>
      </c>
      <c r="R2604" s="1">
        <v>0.0</v>
      </c>
      <c r="S2604" s="1"/>
    </row>
    <row r="2605" ht="15.75" customHeight="1">
      <c r="A2605" s="1" t="s">
        <v>6050</v>
      </c>
      <c r="B2605" s="1" t="s">
        <v>6051</v>
      </c>
      <c r="C2605" s="1" t="s">
        <v>151</v>
      </c>
      <c r="K2605" s="1" t="s">
        <v>99</v>
      </c>
      <c r="L2605" s="1" t="s">
        <v>27</v>
      </c>
      <c r="N2605" s="1" t="s">
        <v>143</v>
      </c>
      <c r="O2605" s="1" t="s">
        <v>29</v>
      </c>
      <c r="R2605" s="1">
        <v>0.0</v>
      </c>
      <c r="S2605" s="1"/>
    </row>
    <row r="2606" ht="15.75" customHeight="1">
      <c r="A2606" s="1" t="s">
        <v>6052</v>
      </c>
      <c r="B2606" s="1" t="s">
        <v>6053</v>
      </c>
      <c r="C2606" s="1" t="s">
        <v>38</v>
      </c>
      <c r="E2606" s="1">
        <v>28.668038</v>
      </c>
      <c r="F2606" s="1">
        <v>77.427908</v>
      </c>
      <c r="G2606" s="1" t="s">
        <v>2511</v>
      </c>
      <c r="H2606" s="1" t="s">
        <v>2512</v>
      </c>
      <c r="J2606" s="1" t="s">
        <v>118</v>
      </c>
      <c r="P2606" s="1" t="s">
        <v>3297</v>
      </c>
      <c r="Q2606" s="1" t="s">
        <v>3298</v>
      </c>
      <c r="R2606" s="1">
        <v>2.0</v>
      </c>
      <c r="S2606" s="1"/>
    </row>
    <row r="2607" ht="15.75" customHeight="1">
      <c r="A2607" s="1" t="s">
        <v>6054</v>
      </c>
      <c r="B2607" s="1" t="s">
        <v>6055</v>
      </c>
      <c r="C2607" s="1" t="s">
        <v>38</v>
      </c>
      <c r="E2607" s="1">
        <v>28.568257</v>
      </c>
      <c r="F2607" s="1">
        <v>77.32439699999999</v>
      </c>
      <c r="G2607" s="1" t="s">
        <v>2511</v>
      </c>
      <c r="H2607" s="1" t="s">
        <v>2512</v>
      </c>
      <c r="J2607" s="1" t="s">
        <v>118</v>
      </c>
      <c r="K2607" s="1" t="s">
        <v>99</v>
      </c>
      <c r="L2607" s="1" t="s">
        <v>27</v>
      </c>
      <c r="N2607" s="1" t="s">
        <v>28</v>
      </c>
      <c r="O2607" s="1" t="s">
        <v>29</v>
      </c>
      <c r="P2607" s="1" t="s">
        <v>3297</v>
      </c>
      <c r="Q2607" s="1" t="s">
        <v>3298</v>
      </c>
      <c r="R2607" s="1">
        <v>4.0</v>
      </c>
      <c r="S2607" s="1"/>
    </row>
    <row r="2608" ht="15.75" customHeight="1">
      <c r="A2608" s="1" t="s">
        <v>6056</v>
      </c>
      <c r="B2608" s="1" t="s">
        <v>6057</v>
      </c>
      <c r="C2608" s="1" t="s">
        <v>1138</v>
      </c>
      <c r="K2608" s="1" t="s">
        <v>99</v>
      </c>
      <c r="L2608" s="1" t="s">
        <v>27</v>
      </c>
      <c r="N2608" s="1" t="s">
        <v>1097</v>
      </c>
      <c r="O2608" s="1" t="s">
        <v>29</v>
      </c>
      <c r="P2608" s="1" t="s">
        <v>3297</v>
      </c>
      <c r="Q2608" s="1" t="s">
        <v>3298</v>
      </c>
      <c r="R2608" s="1">
        <v>0.0</v>
      </c>
      <c r="S2608" s="1"/>
    </row>
    <row r="2609" ht="15.75" customHeight="1">
      <c r="A2609" s="1" t="s">
        <v>6058</v>
      </c>
      <c r="B2609" s="1" t="s">
        <v>6059</v>
      </c>
      <c r="C2609" s="1" t="s">
        <v>1138</v>
      </c>
      <c r="K2609" s="1" t="s">
        <v>26</v>
      </c>
      <c r="L2609" s="1" t="s">
        <v>27</v>
      </c>
      <c r="N2609" s="1" t="s">
        <v>1097</v>
      </c>
      <c r="O2609" s="1" t="s">
        <v>57</v>
      </c>
      <c r="P2609" s="1" t="s">
        <v>3297</v>
      </c>
      <c r="Q2609" s="1" t="s">
        <v>3298</v>
      </c>
      <c r="R2609" s="1">
        <v>0.0</v>
      </c>
      <c r="S2609" s="1"/>
    </row>
    <row r="2610" ht="15.75" customHeight="1">
      <c r="A2610" s="1" t="s">
        <v>6060</v>
      </c>
      <c r="B2610" s="1" t="s">
        <v>6061</v>
      </c>
      <c r="C2610" s="1" t="s">
        <v>467</v>
      </c>
      <c r="K2610" s="1" t="s">
        <v>26</v>
      </c>
      <c r="L2610" s="1" t="s">
        <v>27</v>
      </c>
      <c r="N2610" s="1" t="s">
        <v>464</v>
      </c>
      <c r="O2610" s="1" t="s">
        <v>57</v>
      </c>
      <c r="P2610" s="1" t="s">
        <v>3297</v>
      </c>
      <c r="Q2610" s="1" t="s">
        <v>3298</v>
      </c>
      <c r="R2610" s="1">
        <v>0.0</v>
      </c>
      <c r="S2610" s="1"/>
    </row>
    <row r="2611" ht="15.75" customHeight="1">
      <c r="A2611" s="1" t="s">
        <v>6062</v>
      </c>
      <c r="B2611" s="1" t="s">
        <v>6063</v>
      </c>
      <c r="C2611" s="1" t="s">
        <v>1138</v>
      </c>
      <c r="K2611" s="1" t="s">
        <v>26</v>
      </c>
      <c r="L2611" s="1" t="s">
        <v>27</v>
      </c>
      <c r="N2611" s="1" t="s">
        <v>1097</v>
      </c>
      <c r="O2611" s="1" t="s">
        <v>57</v>
      </c>
      <c r="P2611" s="1" t="s">
        <v>3297</v>
      </c>
      <c r="Q2611" s="1" t="s">
        <v>3298</v>
      </c>
      <c r="R2611" s="1">
        <v>0.0</v>
      </c>
      <c r="S2611" s="1"/>
    </row>
    <row r="2612" ht="15.75" customHeight="1">
      <c r="A2612" s="1" t="s">
        <v>6064</v>
      </c>
      <c r="B2612" s="1" t="s">
        <v>6065</v>
      </c>
      <c r="C2612" s="1" t="s">
        <v>737</v>
      </c>
      <c r="K2612" s="1" t="s">
        <v>99</v>
      </c>
      <c r="L2612" s="1" t="s">
        <v>27</v>
      </c>
      <c r="N2612" s="1" t="s">
        <v>732</v>
      </c>
      <c r="O2612" s="1" t="s">
        <v>29</v>
      </c>
      <c r="P2612" s="1" t="s">
        <v>3297</v>
      </c>
      <c r="Q2612" s="1" t="s">
        <v>3298</v>
      </c>
      <c r="R2612" s="1">
        <v>0.0</v>
      </c>
      <c r="S2612" s="1"/>
    </row>
    <row r="2613" ht="15.75" customHeight="1">
      <c r="A2613" s="1" t="s">
        <v>6066</v>
      </c>
      <c r="B2613" s="1" t="s">
        <v>6067</v>
      </c>
      <c r="C2613" s="1" t="s">
        <v>215</v>
      </c>
      <c r="K2613" s="1" t="s">
        <v>5789</v>
      </c>
      <c r="L2613" s="1" t="s">
        <v>27</v>
      </c>
      <c r="N2613" s="1" t="s">
        <v>216</v>
      </c>
      <c r="O2613" s="1" t="s">
        <v>29</v>
      </c>
      <c r="P2613" s="1" t="s">
        <v>3297</v>
      </c>
      <c r="Q2613" s="1" t="s">
        <v>3298</v>
      </c>
      <c r="R2613" s="1">
        <v>0.0</v>
      </c>
      <c r="S2613" s="1"/>
    </row>
    <row r="2614" ht="15.75" customHeight="1">
      <c r="A2614" s="1" t="s">
        <v>6068</v>
      </c>
      <c r="B2614" s="1" t="s">
        <v>6069</v>
      </c>
      <c r="C2614" s="1" t="s">
        <v>38</v>
      </c>
      <c r="E2614" s="1">
        <v>28.5870653</v>
      </c>
      <c r="F2614" s="1">
        <v>77.43773709999999</v>
      </c>
      <c r="G2614" s="1" t="s">
        <v>2511</v>
      </c>
      <c r="H2614" s="1" t="s">
        <v>2512</v>
      </c>
      <c r="J2614" s="1" t="s">
        <v>118</v>
      </c>
      <c r="K2614" s="1" t="s">
        <v>99</v>
      </c>
      <c r="L2614" s="1" t="s">
        <v>27</v>
      </c>
      <c r="N2614" s="1" t="s">
        <v>28</v>
      </c>
      <c r="O2614" s="1" t="s">
        <v>29</v>
      </c>
      <c r="P2614" s="1" t="s">
        <v>3297</v>
      </c>
      <c r="Q2614" s="1" t="s">
        <v>3298</v>
      </c>
      <c r="R2614" s="1">
        <v>11.0</v>
      </c>
      <c r="S2614" s="1"/>
    </row>
    <row r="2615" ht="15.75" customHeight="1">
      <c r="A2615" s="1" t="s">
        <v>6070</v>
      </c>
      <c r="B2615" s="1" t="s">
        <v>6071</v>
      </c>
      <c r="C2615" s="1" t="s">
        <v>38</v>
      </c>
      <c r="E2615" s="1">
        <v>28.6300836</v>
      </c>
      <c r="F2615" s="1">
        <v>77.3792034</v>
      </c>
      <c r="G2615" s="1" t="s">
        <v>2511</v>
      </c>
      <c r="H2615" s="1" t="s">
        <v>2512</v>
      </c>
      <c r="J2615" s="1" t="s">
        <v>118</v>
      </c>
      <c r="P2615" s="1" t="s">
        <v>3297</v>
      </c>
      <c r="Q2615" s="1" t="s">
        <v>3298</v>
      </c>
      <c r="R2615" s="1">
        <v>2.0</v>
      </c>
      <c r="S2615" s="1"/>
    </row>
    <row r="2616" ht="15.75" customHeight="1">
      <c r="A2616" s="1" t="s">
        <v>6072</v>
      </c>
      <c r="B2616" s="1" t="s">
        <v>6073</v>
      </c>
      <c r="C2616" s="1" t="s">
        <v>148</v>
      </c>
      <c r="K2616" s="1" t="s">
        <v>26</v>
      </c>
      <c r="L2616" s="1" t="s">
        <v>27</v>
      </c>
      <c r="N2616" s="1" t="s">
        <v>143</v>
      </c>
      <c r="O2616" s="1" t="s">
        <v>57</v>
      </c>
      <c r="P2616" s="1" t="s">
        <v>3297</v>
      </c>
      <c r="Q2616" s="1" t="s">
        <v>3298</v>
      </c>
      <c r="R2616" s="1">
        <v>0.0</v>
      </c>
      <c r="S2616" s="1"/>
    </row>
    <row r="2617" ht="15.75" customHeight="1">
      <c r="A2617" s="1" t="s">
        <v>6074</v>
      </c>
      <c r="B2617" s="1" t="s">
        <v>6075</v>
      </c>
      <c r="C2617" s="1" t="s">
        <v>2372</v>
      </c>
      <c r="K2617" s="1" t="s">
        <v>99</v>
      </c>
      <c r="L2617" s="1" t="s">
        <v>27</v>
      </c>
      <c r="N2617" s="1" t="s">
        <v>1210</v>
      </c>
      <c r="O2617" s="1" t="s">
        <v>29</v>
      </c>
      <c r="P2617" s="1" t="s">
        <v>3297</v>
      </c>
      <c r="Q2617" s="1" t="s">
        <v>3298</v>
      </c>
      <c r="R2617" s="1">
        <v>0.0</v>
      </c>
      <c r="S2617" s="1"/>
    </row>
    <row r="2618" ht="15.75" customHeight="1">
      <c r="A2618" s="1" t="s">
        <v>6076</v>
      </c>
      <c r="B2618" s="1" t="s">
        <v>6077</v>
      </c>
      <c r="C2618" s="1" t="s">
        <v>2372</v>
      </c>
      <c r="K2618" s="1" t="s">
        <v>99</v>
      </c>
      <c r="L2618" s="1" t="s">
        <v>27</v>
      </c>
      <c r="N2618" s="1" t="s">
        <v>1210</v>
      </c>
      <c r="O2618" s="1" t="s">
        <v>29</v>
      </c>
      <c r="P2618" s="1" t="s">
        <v>3297</v>
      </c>
      <c r="Q2618" s="1" t="s">
        <v>3298</v>
      </c>
      <c r="R2618" s="1">
        <v>0.0</v>
      </c>
      <c r="S2618" s="1"/>
    </row>
    <row r="2619" ht="15.75" customHeight="1">
      <c r="A2619" s="1" t="s">
        <v>6078</v>
      </c>
      <c r="B2619" s="1" t="s">
        <v>6079</v>
      </c>
      <c r="C2619" s="1" t="s">
        <v>38</v>
      </c>
      <c r="E2619" s="1">
        <v>28.5701426</v>
      </c>
      <c r="F2619" s="1">
        <v>77.3249538</v>
      </c>
      <c r="G2619" s="1" t="s">
        <v>2511</v>
      </c>
      <c r="H2619" s="1" t="s">
        <v>2512</v>
      </c>
      <c r="J2619" s="1" t="s">
        <v>44</v>
      </c>
      <c r="K2619" s="1" t="s">
        <v>99</v>
      </c>
      <c r="L2619" s="1" t="s">
        <v>27</v>
      </c>
      <c r="N2619" s="1" t="s">
        <v>28</v>
      </c>
      <c r="O2619" s="1" t="s">
        <v>29</v>
      </c>
      <c r="P2619" s="1" t="s">
        <v>6080</v>
      </c>
      <c r="Q2619" s="1" t="s">
        <v>6081</v>
      </c>
      <c r="R2619" s="1">
        <v>8.0</v>
      </c>
      <c r="S2619" s="1"/>
    </row>
    <row r="2620" ht="15.75" customHeight="1">
      <c r="A2620" s="1" t="s">
        <v>6082</v>
      </c>
      <c r="B2620" s="1" t="s">
        <v>6083</v>
      </c>
      <c r="C2620" s="1" t="s">
        <v>38</v>
      </c>
      <c r="E2620" s="1">
        <v>28.5675109</v>
      </c>
      <c r="F2620" s="1">
        <v>77.3428492</v>
      </c>
      <c r="G2620" s="1" t="s">
        <v>2511</v>
      </c>
      <c r="H2620" s="1" t="s">
        <v>2512</v>
      </c>
      <c r="J2620" s="1" t="s">
        <v>118</v>
      </c>
      <c r="P2620" s="1" t="s">
        <v>3297</v>
      </c>
      <c r="Q2620" s="1" t="s">
        <v>3298</v>
      </c>
      <c r="R2620" s="1">
        <v>2.0</v>
      </c>
      <c r="S2620" s="1"/>
    </row>
    <row r="2621" ht="15.75" customHeight="1">
      <c r="A2621" s="1" t="s">
        <v>6084</v>
      </c>
      <c r="B2621" s="1" t="s">
        <v>6085</v>
      </c>
      <c r="C2621" s="1" t="s">
        <v>148</v>
      </c>
      <c r="K2621" s="1" t="s">
        <v>26</v>
      </c>
      <c r="L2621" s="1" t="s">
        <v>27</v>
      </c>
      <c r="N2621" s="1" t="s">
        <v>143</v>
      </c>
      <c r="O2621" s="1" t="s">
        <v>57</v>
      </c>
      <c r="P2621" s="1" t="s">
        <v>3297</v>
      </c>
      <c r="Q2621" s="1" t="s">
        <v>3298</v>
      </c>
      <c r="R2621" s="1">
        <v>0.0</v>
      </c>
      <c r="S2621" s="1"/>
    </row>
    <row r="2622" ht="15.75" customHeight="1">
      <c r="A2622" s="1" t="s">
        <v>6086</v>
      </c>
      <c r="B2622" s="1" t="s">
        <v>6087</v>
      </c>
      <c r="C2622" s="1" t="s">
        <v>151</v>
      </c>
      <c r="K2622" s="1" t="s">
        <v>99</v>
      </c>
      <c r="L2622" s="1" t="s">
        <v>27</v>
      </c>
      <c r="N2622" s="1" t="s">
        <v>143</v>
      </c>
      <c r="O2622" s="1" t="s">
        <v>29</v>
      </c>
      <c r="P2622" s="1" t="s">
        <v>3297</v>
      </c>
      <c r="Q2622" s="1" t="s">
        <v>3298</v>
      </c>
      <c r="R2622" s="1">
        <v>0.0</v>
      </c>
      <c r="S2622" s="1"/>
    </row>
    <row r="2623" ht="15.75" customHeight="1">
      <c r="A2623" s="1" t="s">
        <v>6088</v>
      </c>
      <c r="B2623" s="1" t="s">
        <v>6089</v>
      </c>
      <c r="C2623" s="1" t="s">
        <v>185</v>
      </c>
      <c r="K2623" s="1" t="s">
        <v>26</v>
      </c>
      <c r="L2623" s="1" t="s">
        <v>27</v>
      </c>
      <c r="N2623" s="1" t="s">
        <v>186</v>
      </c>
      <c r="O2623" s="1" t="s">
        <v>57</v>
      </c>
      <c r="P2623" s="1" t="s">
        <v>3297</v>
      </c>
      <c r="Q2623" s="1" t="s">
        <v>3298</v>
      </c>
      <c r="R2623" s="1">
        <v>0.0</v>
      </c>
      <c r="S2623" s="1"/>
    </row>
    <row r="2624" ht="15.75" customHeight="1">
      <c r="A2624" s="1" t="s">
        <v>6090</v>
      </c>
      <c r="B2624" s="1" t="s">
        <v>6091</v>
      </c>
      <c r="C2624" s="1" t="s">
        <v>737</v>
      </c>
      <c r="K2624" s="1" t="s">
        <v>99</v>
      </c>
      <c r="L2624" s="1" t="s">
        <v>27</v>
      </c>
      <c r="N2624" s="1" t="s">
        <v>732</v>
      </c>
      <c r="O2624" s="1" t="s">
        <v>29</v>
      </c>
      <c r="P2624" s="1" t="s">
        <v>6092</v>
      </c>
      <c r="Q2624" s="1" t="s">
        <v>6093</v>
      </c>
      <c r="R2624" s="1">
        <v>0.0</v>
      </c>
      <c r="S2624" s="1"/>
    </row>
    <row r="2625" ht="15.75" customHeight="1">
      <c r="A2625" s="1" t="s">
        <v>6094</v>
      </c>
      <c r="B2625" s="1" t="s">
        <v>6095</v>
      </c>
      <c r="C2625" s="1" t="s">
        <v>53</v>
      </c>
      <c r="E2625" s="1">
        <v>27.2053787</v>
      </c>
      <c r="F2625" s="1">
        <v>77.95350429999999</v>
      </c>
      <c r="G2625" s="1" t="s">
        <v>6096</v>
      </c>
      <c r="H2625" s="1" t="s">
        <v>6097</v>
      </c>
      <c r="I2625" s="1" t="s">
        <v>1799</v>
      </c>
      <c r="J2625" s="1" t="s">
        <v>56</v>
      </c>
      <c r="K2625" s="1" t="s">
        <v>2892</v>
      </c>
      <c r="L2625" s="1" t="s">
        <v>27</v>
      </c>
      <c r="N2625" s="1" t="s">
        <v>28</v>
      </c>
      <c r="O2625" s="1" t="s">
        <v>57</v>
      </c>
      <c r="P2625" s="1" t="s">
        <v>6098</v>
      </c>
      <c r="Q2625" s="1" t="s">
        <v>6099</v>
      </c>
      <c r="R2625" s="1">
        <v>1.0</v>
      </c>
      <c r="S2625" s="1"/>
    </row>
    <row r="2626" ht="15.75" customHeight="1">
      <c r="A2626" s="1" t="s">
        <v>6100</v>
      </c>
      <c r="B2626" s="1" t="s">
        <v>6101</v>
      </c>
      <c r="C2626" s="1" t="s">
        <v>53</v>
      </c>
      <c r="E2626" s="1">
        <v>27.2002935</v>
      </c>
      <c r="F2626" s="1">
        <v>78.0083092</v>
      </c>
      <c r="G2626" s="1" t="s">
        <v>6096</v>
      </c>
      <c r="H2626" s="1" t="s">
        <v>6097</v>
      </c>
      <c r="I2626" s="1" t="s">
        <v>1799</v>
      </c>
      <c r="J2626" s="1" t="s">
        <v>56</v>
      </c>
      <c r="K2626" s="1" t="s">
        <v>2892</v>
      </c>
      <c r="L2626" s="1" t="s">
        <v>27</v>
      </c>
      <c r="N2626" s="1" t="s">
        <v>28</v>
      </c>
      <c r="O2626" s="1" t="s">
        <v>57</v>
      </c>
      <c r="P2626" s="1" t="s">
        <v>6098</v>
      </c>
      <c r="Q2626" s="1" t="s">
        <v>6099</v>
      </c>
      <c r="R2626" s="1">
        <v>1.0</v>
      </c>
      <c r="S2626" s="1"/>
    </row>
    <row r="2627" ht="15.75" customHeight="1">
      <c r="A2627" s="1" t="s">
        <v>6102</v>
      </c>
      <c r="B2627" s="1" t="s">
        <v>6103</v>
      </c>
      <c r="C2627" s="1" t="s">
        <v>848</v>
      </c>
      <c r="K2627" s="1" t="s">
        <v>26</v>
      </c>
      <c r="L2627" s="1" t="s">
        <v>27</v>
      </c>
      <c r="N2627" s="1" t="s">
        <v>849</v>
      </c>
      <c r="O2627" s="1" t="s">
        <v>57</v>
      </c>
      <c r="P2627" s="1" t="s">
        <v>6092</v>
      </c>
      <c r="Q2627" s="1" t="s">
        <v>6093</v>
      </c>
      <c r="R2627" s="1">
        <v>0.0</v>
      </c>
      <c r="S2627" s="1"/>
    </row>
    <row r="2628" ht="15.75" customHeight="1">
      <c r="A2628" s="1" t="s">
        <v>6104</v>
      </c>
      <c r="B2628" s="1" t="s">
        <v>6105</v>
      </c>
      <c r="C2628" s="1" t="s">
        <v>737</v>
      </c>
      <c r="K2628" s="1" t="s">
        <v>26</v>
      </c>
      <c r="L2628" s="1" t="s">
        <v>27</v>
      </c>
      <c r="N2628" s="1" t="s">
        <v>732</v>
      </c>
      <c r="O2628" s="1" t="s">
        <v>57</v>
      </c>
      <c r="P2628" s="1" t="s">
        <v>6092</v>
      </c>
      <c r="Q2628" s="1" t="s">
        <v>6093</v>
      </c>
      <c r="R2628" s="1">
        <v>0.0</v>
      </c>
      <c r="S2628" s="1"/>
    </row>
    <row r="2629" ht="15.75" customHeight="1">
      <c r="A2629" s="1" t="s">
        <v>6106</v>
      </c>
      <c r="B2629" s="1" t="s">
        <v>6107</v>
      </c>
      <c r="C2629" s="1" t="s">
        <v>215</v>
      </c>
      <c r="K2629" s="1" t="s">
        <v>26</v>
      </c>
      <c r="L2629" s="1" t="s">
        <v>27</v>
      </c>
      <c r="N2629" s="1" t="s">
        <v>216</v>
      </c>
      <c r="O2629" s="1" t="s">
        <v>57</v>
      </c>
      <c r="P2629" s="1" t="s">
        <v>6092</v>
      </c>
      <c r="Q2629" s="1" t="s">
        <v>6093</v>
      </c>
      <c r="R2629" s="1">
        <v>0.0</v>
      </c>
      <c r="S2629" s="1"/>
    </row>
    <row r="2630" ht="15.75" customHeight="1">
      <c r="A2630" s="1" t="s">
        <v>6108</v>
      </c>
      <c r="B2630" s="1" t="s">
        <v>6109</v>
      </c>
      <c r="C2630" s="1" t="s">
        <v>148</v>
      </c>
      <c r="K2630" s="1" t="s">
        <v>99</v>
      </c>
      <c r="L2630" s="1" t="s">
        <v>27</v>
      </c>
      <c r="N2630" s="1" t="s">
        <v>143</v>
      </c>
      <c r="O2630" s="1" t="s">
        <v>29</v>
      </c>
      <c r="P2630" s="1" t="s">
        <v>6092</v>
      </c>
      <c r="Q2630" s="1" t="s">
        <v>6093</v>
      </c>
      <c r="R2630" s="1">
        <v>0.0</v>
      </c>
      <c r="S2630" s="1"/>
    </row>
    <row r="2631" ht="15.75" customHeight="1">
      <c r="A2631" s="1" t="s">
        <v>6110</v>
      </c>
      <c r="B2631" s="1" t="s">
        <v>6111</v>
      </c>
      <c r="C2631" s="1" t="s">
        <v>1078</v>
      </c>
      <c r="K2631" s="1" t="s">
        <v>26</v>
      </c>
      <c r="L2631" s="1" t="s">
        <v>27</v>
      </c>
      <c r="N2631" s="1" t="s">
        <v>743</v>
      </c>
      <c r="O2631" s="1" t="s">
        <v>57</v>
      </c>
      <c r="P2631" s="1" t="s">
        <v>6092</v>
      </c>
      <c r="Q2631" s="1" t="s">
        <v>6093</v>
      </c>
      <c r="R2631" s="1">
        <v>0.0</v>
      </c>
      <c r="S2631" s="1"/>
    </row>
    <row r="2632" ht="15.75" customHeight="1">
      <c r="A2632" s="1" t="s">
        <v>6112</v>
      </c>
      <c r="B2632" s="1" t="s">
        <v>6113</v>
      </c>
      <c r="C2632" s="1" t="s">
        <v>1112</v>
      </c>
      <c r="K2632" s="1" t="s">
        <v>99</v>
      </c>
      <c r="L2632" s="1" t="s">
        <v>27</v>
      </c>
      <c r="N2632" s="1" t="s">
        <v>1097</v>
      </c>
      <c r="O2632" s="1" t="s">
        <v>57</v>
      </c>
      <c r="P2632" s="1" t="s">
        <v>6092</v>
      </c>
      <c r="Q2632" s="1" t="s">
        <v>6093</v>
      </c>
      <c r="R2632" s="1">
        <v>0.0</v>
      </c>
      <c r="S2632" s="1"/>
    </row>
    <row r="2633" ht="15.75" customHeight="1">
      <c r="A2633" s="1" t="s">
        <v>6114</v>
      </c>
      <c r="B2633" s="1" t="s">
        <v>6115</v>
      </c>
      <c r="C2633" s="1" t="s">
        <v>185</v>
      </c>
      <c r="K2633" s="1" t="s">
        <v>26</v>
      </c>
      <c r="L2633" s="1" t="s">
        <v>27</v>
      </c>
      <c r="N2633" s="1" t="s">
        <v>186</v>
      </c>
      <c r="O2633" s="1" t="s">
        <v>57</v>
      </c>
      <c r="P2633" s="1" t="s">
        <v>6092</v>
      </c>
      <c r="Q2633" s="1" t="s">
        <v>6093</v>
      </c>
      <c r="R2633" s="1">
        <v>0.0</v>
      </c>
      <c r="S2633" s="1"/>
    </row>
    <row r="2634" ht="15.75" customHeight="1">
      <c r="A2634" s="1" t="s">
        <v>6116</v>
      </c>
      <c r="B2634" s="1" t="s">
        <v>6117</v>
      </c>
      <c r="C2634" s="1" t="s">
        <v>2372</v>
      </c>
      <c r="K2634" s="1" t="s">
        <v>99</v>
      </c>
      <c r="L2634" s="1" t="s">
        <v>27</v>
      </c>
      <c r="N2634" s="1" t="s">
        <v>1210</v>
      </c>
      <c r="O2634" s="1" t="s">
        <v>29</v>
      </c>
      <c r="P2634" s="1" t="s">
        <v>6092</v>
      </c>
      <c r="Q2634" s="1" t="s">
        <v>6093</v>
      </c>
      <c r="R2634" s="1">
        <v>0.0</v>
      </c>
      <c r="S2634" s="1"/>
    </row>
    <row r="2635" ht="15.75" customHeight="1">
      <c r="A2635" s="1" t="s">
        <v>6118</v>
      </c>
      <c r="B2635" s="1" t="s">
        <v>6119</v>
      </c>
      <c r="C2635" s="1" t="s">
        <v>467</v>
      </c>
      <c r="K2635" s="1" t="s">
        <v>26</v>
      </c>
      <c r="L2635" s="1" t="s">
        <v>27</v>
      </c>
      <c r="N2635" s="1" t="s">
        <v>464</v>
      </c>
      <c r="O2635" s="1" t="s">
        <v>57</v>
      </c>
      <c r="P2635" s="1" t="s">
        <v>6092</v>
      </c>
      <c r="Q2635" s="1" t="s">
        <v>6093</v>
      </c>
      <c r="R2635" s="1">
        <v>0.0</v>
      </c>
      <c r="S2635" s="1"/>
    </row>
    <row r="2636" ht="15.75" customHeight="1">
      <c r="A2636" s="1" t="s">
        <v>6120</v>
      </c>
      <c r="B2636" s="1" t="s">
        <v>6121</v>
      </c>
      <c r="C2636" s="1" t="s">
        <v>1112</v>
      </c>
      <c r="K2636" s="1" t="s">
        <v>26</v>
      </c>
      <c r="L2636" s="1" t="s">
        <v>27</v>
      </c>
      <c r="N2636" s="1" t="s">
        <v>1097</v>
      </c>
      <c r="O2636" s="1" t="s">
        <v>57</v>
      </c>
      <c r="P2636" s="1" t="s">
        <v>6092</v>
      </c>
      <c r="Q2636" s="1" t="s">
        <v>6093</v>
      </c>
      <c r="R2636" s="1">
        <v>0.0</v>
      </c>
      <c r="S2636" s="1"/>
    </row>
    <row r="2637" ht="15.75" customHeight="1">
      <c r="A2637" s="1" t="s">
        <v>6122</v>
      </c>
      <c r="B2637" s="1" t="s">
        <v>6123</v>
      </c>
      <c r="C2637" s="1" t="s">
        <v>737</v>
      </c>
      <c r="K2637" s="1" t="s">
        <v>99</v>
      </c>
      <c r="L2637" s="1" t="s">
        <v>27</v>
      </c>
      <c r="N2637" s="1" t="s">
        <v>732</v>
      </c>
      <c r="O2637" s="1" t="s">
        <v>29</v>
      </c>
      <c r="P2637" s="1" t="s">
        <v>6092</v>
      </c>
      <c r="Q2637" s="1" t="s">
        <v>6093</v>
      </c>
      <c r="R2637" s="1">
        <v>0.0</v>
      </c>
      <c r="S2637" s="1"/>
    </row>
    <row r="2638" ht="15.75" customHeight="1">
      <c r="A2638" s="1" t="s">
        <v>6124</v>
      </c>
      <c r="B2638" s="1" t="s">
        <v>6125</v>
      </c>
      <c r="C2638" s="1" t="s">
        <v>185</v>
      </c>
      <c r="K2638" s="1" t="s">
        <v>26</v>
      </c>
      <c r="L2638" s="1" t="s">
        <v>27</v>
      </c>
      <c r="N2638" s="1" t="s">
        <v>186</v>
      </c>
      <c r="O2638" s="1" t="s">
        <v>57</v>
      </c>
      <c r="P2638" s="1" t="s">
        <v>6092</v>
      </c>
      <c r="Q2638" s="1" t="s">
        <v>6093</v>
      </c>
      <c r="R2638" s="1">
        <v>0.0</v>
      </c>
      <c r="S2638" s="1"/>
    </row>
    <row r="2639" ht="15.75" customHeight="1">
      <c r="A2639" s="1" t="s">
        <v>6126</v>
      </c>
      <c r="B2639" s="1" t="s">
        <v>6127</v>
      </c>
      <c r="C2639" s="1" t="s">
        <v>848</v>
      </c>
      <c r="K2639" s="1" t="s">
        <v>26</v>
      </c>
      <c r="L2639" s="1" t="s">
        <v>27</v>
      </c>
      <c r="N2639" s="1" t="s">
        <v>849</v>
      </c>
      <c r="O2639" s="1" t="s">
        <v>57</v>
      </c>
      <c r="P2639" s="1" t="s">
        <v>6092</v>
      </c>
      <c r="Q2639" s="1" t="s">
        <v>6093</v>
      </c>
      <c r="R2639" s="1">
        <v>0.0</v>
      </c>
      <c r="S2639" s="1"/>
    </row>
    <row r="2640" ht="15.75" customHeight="1">
      <c r="A2640" s="1" t="s">
        <v>6128</v>
      </c>
      <c r="B2640" s="1" t="s">
        <v>6129</v>
      </c>
      <c r="C2640" s="1" t="s">
        <v>242</v>
      </c>
      <c r="K2640" s="1" t="s">
        <v>99</v>
      </c>
      <c r="L2640" s="1" t="s">
        <v>27</v>
      </c>
      <c r="N2640" s="1" t="s">
        <v>216</v>
      </c>
      <c r="O2640" s="1" t="s">
        <v>29</v>
      </c>
      <c r="P2640" s="1" t="s">
        <v>6092</v>
      </c>
      <c r="Q2640" s="1" t="s">
        <v>6093</v>
      </c>
      <c r="R2640" s="1">
        <v>0.0</v>
      </c>
      <c r="S2640" s="1"/>
    </row>
    <row r="2641" ht="15.75" customHeight="1">
      <c r="A2641" s="1" t="s">
        <v>6130</v>
      </c>
      <c r="B2641" s="1" t="s">
        <v>6131</v>
      </c>
      <c r="C2641" s="1" t="s">
        <v>1949</v>
      </c>
      <c r="E2641" s="1">
        <v>30.3338437</v>
      </c>
      <c r="F2641" s="1">
        <v>78.0202314</v>
      </c>
      <c r="G2641" s="1" t="s">
        <v>6096</v>
      </c>
      <c r="H2641" s="1" t="s">
        <v>6097</v>
      </c>
      <c r="I2641" s="1" t="s">
        <v>1799</v>
      </c>
      <c r="J2641" s="1" t="s">
        <v>56</v>
      </c>
      <c r="K2641" s="1" t="s">
        <v>2892</v>
      </c>
      <c r="L2641" s="1" t="s">
        <v>27</v>
      </c>
      <c r="N2641" s="1" t="s">
        <v>1950</v>
      </c>
      <c r="O2641" s="1" t="s">
        <v>57</v>
      </c>
      <c r="P2641" s="1" t="s">
        <v>6132</v>
      </c>
      <c r="Q2641" s="1" t="s">
        <v>6133</v>
      </c>
      <c r="R2641" s="1">
        <v>1.0</v>
      </c>
      <c r="S2641" s="1"/>
    </row>
    <row r="2642" ht="15.75" customHeight="1">
      <c r="A2642" s="1" t="s">
        <v>6134</v>
      </c>
      <c r="B2642" s="1" t="s">
        <v>6135</v>
      </c>
      <c r="C2642" s="1" t="s">
        <v>1949</v>
      </c>
      <c r="E2642" s="1">
        <v>30.3334896</v>
      </c>
      <c r="F2642" s="1">
        <v>78.05318009999999</v>
      </c>
      <c r="G2642" s="1" t="s">
        <v>6096</v>
      </c>
      <c r="H2642" s="1" t="s">
        <v>6097</v>
      </c>
      <c r="I2642" s="1" t="s">
        <v>1799</v>
      </c>
      <c r="J2642" s="1" t="s">
        <v>56</v>
      </c>
      <c r="K2642" s="1" t="s">
        <v>2892</v>
      </c>
      <c r="L2642" s="1" t="s">
        <v>27</v>
      </c>
      <c r="N2642" s="1" t="s">
        <v>1950</v>
      </c>
      <c r="O2642" s="1" t="s">
        <v>57</v>
      </c>
      <c r="P2642" s="1" t="s">
        <v>6132</v>
      </c>
      <c r="Q2642" s="1" t="s">
        <v>6133</v>
      </c>
      <c r="R2642" s="1">
        <v>1.0</v>
      </c>
      <c r="S2642" s="1"/>
    </row>
    <row r="2643" ht="15.75" customHeight="1">
      <c r="A2643" s="1" t="s">
        <v>6136</v>
      </c>
      <c r="B2643" s="1" t="s">
        <v>6137</v>
      </c>
      <c r="C2643" s="1" t="s">
        <v>148</v>
      </c>
      <c r="K2643" s="1" t="s">
        <v>99</v>
      </c>
      <c r="L2643" s="1" t="s">
        <v>27</v>
      </c>
      <c r="N2643" s="1" t="s">
        <v>143</v>
      </c>
      <c r="O2643" s="1" t="s">
        <v>29</v>
      </c>
      <c r="P2643" s="1" t="s">
        <v>6138</v>
      </c>
      <c r="Q2643" s="1" t="s">
        <v>6139</v>
      </c>
      <c r="R2643" s="1">
        <v>0.0</v>
      </c>
      <c r="S2643" s="1"/>
    </row>
    <row r="2644" ht="15.75" customHeight="1">
      <c r="A2644" s="1" t="s">
        <v>6140</v>
      </c>
      <c r="B2644" s="1" t="s">
        <v>6141</v>
      </c>
      <c r="C2644" s="1" t="s">
        <v>1078</v>
      </c>
      <c r="K2644" s="1" t="s">
        <v>26</v>
      </c>
      <c r="L2644" s="1" t="s">
        <v>27</v>
      </c>
      <c r="N2644" s="1" t="s">
        <v>743</v>
      </c>
      <c r="O2644" s="1" t="s">
        <v>57</v>
      </c>
      <c r="P2644" s="1" t="s">
        <v>6092</v>
      </c>
      <c r="Q2644" s="1" t="s">
        <v>6093</v>
      </c>
      <c r="R2644" s="1">
        <v>0.0</v>
      </c>
      <c r="S2644" s="1"/>
    </row>
    <row r="2645" ht="15.75" customHeight="1">
      <c r="A2645" s="1" t="s">
        <v>6142</v>
      </c>
      <c r="B2645" s="1" t="s">
        <v>6143</v>
      </c>
      <c r="C2645" s="1" t="s">
        <v>4629</v>
      </c>
      <c r="E2645" s="1">
        <v>29.8608546</v>
      </c>
      <c r="F2645" s="1">
        <v>77.8789798</v>
      </c>
      <c r="G2645" s="1" t="s">
        <v>6096</v>
      </c>
      <c r="H2645" s="1" t="s">
        <v>6097</v>
      </c>
      <c r="I2645" s="1" t="s">
        <v>1799</v>
      </c>
      <c r="J2645" s="1" t="s">
        <v>56</v>
      </c>
      <c r="K2645" s="1" t="s">
        <v>2892</v>
      </c>
      <c r="L2645" s="1" t="s">
        <v>27</v>
      </c>
      <c r="N2645" s="1" t="s">
        <v>1950</v>
      </c>
      <c r="O2645" s="1" t="s">
        <v>57</v>
      </c>
      <c r="P2645" s="1" t="s">
        <v>6132</v>
      </c>
      <c r="Q2645" s="1" t="s">
        <v>6133</v>
      </c>
      <c r="R2645" s="1">
        <v>1.0</v>
      </c>
      <c r="S2645" s="1"/>
    </row>
    <row r="2646" ht="15.75" customHeight="1">
      <c r="A2646" s="1" t="s">
        <v>6144</v>
      </c>
      <c r="B2646" s="1" t="s">
        <v>6145</v>
      </c>
      <c r="C2646" s="1" t="s">
        <v>1112</v>
      </c>
      <c r="K2646" s="1" t="s">
        <v>26</v>
      </c>
      <c r="L2646" s="1" t="s">
        <v>27</v>
      </c>
      <c r="N2646" s="1" t="s">
        <v>1097</v>
      </c>
      <c r="O2646" s="1" t="s">
        <v>57</v>
      </c>
      <c r="P2646" s="1" t="s">
        <v>6138</v>
      </c>
      <c r="Q2646" s="1" t="s">
        <v>6139</v>
      </c>
      <c r="R2646" s="1">
        <v>0.0</v>
      </c>
      <c r="S2646" s="1"/>
    </row>
    <row r="2647" ht="15.75" customHeight="1">
      <c r="A2647" s="1" t="s">
        <v>6146</v>
      </c>
      <c r="B2647" s="1" t="s">
        <v>6147</v>
      </c>
      <c r="C2647" s="1" t="s">
        <v>1949</v>
      </c>
      <c r="E2647" s="1">
        <v>30.1062008</v>
      </c>
      <c r="F2647" s="1">
        <v>78.2921175</v>
      </c>
      <c r="G2647" s="1" t="s">
        <v>6096</v>
      </c>
      <c r="H2647" s="1" t="s">
        <v>6097</v>
      </c>
      <c r="I2647" s="1" t="s">
        <v>1799</v>
      </c>
      <c r="J2647" s="1" t="s">
        <v>56</v>
      </c>
      <c r="K2647" s="1" t="s">
        <v>2892</v>
      </c>
      <c r="L2647" s="1" t="s">
        <v>27</v>
      </c>
      <c r="N2647" s="1" t="s">
        <v>1950</v>
      </c>
      <c r="O2647" s="1" t="s">
        <v>57</v>
      </c>
      <c r="P2647" s="1" t="s">
        <v>6132</v>
      </c>
      <c r="Q2647" s="1" t="s">
        <v>6133</v>
      </c>
      <c r="R2647" s="1">
        <v>1.0</v>
      </c>
      <c r="S2647" s="1"/>
    </row>
    <row r="2648" ht="15.75" customHeight="1">
      <c r="A2648" s="1" t="s">
        <v>6148</v>
      </c>
      <c r="B2648" s="1" t="s">
        <v>6149</v>
      </c>
      <c r="C2648" s="1" t="s">
        <v>185</v>
      </c>
      <c r="K2648" s="1" t="s">
        <v>26</v>
      </c>
      <c r="L2648" s="1" t="s">
        <v>27</v>
      </c>
      <c r="N2648" s="1" t="s">
        <v>186</v>
      </c>
      <c r="O2648" s="1" t="s">
        <v>57</v>
      </c>
      <c r="P2648" s="1" t="s">
        <v>6092</v>
      </c>
      <c r="Q2648" s="1" t="s">
        <v>6093</v>
      </c>
      <c r="R2648" s="1">
        <v>0.0</v>
      </c>
      <c r="S2648" s="1"/>
    </row>
    <row r="2649" ht="15.75" customHeight="1">
      <c r="A2649" s="1" t="s">
        <v>6150</v>
      </c>
      <c r="B2649" s="1" t="s">
        <v>6151</v>
      </c>
      <c r="C2649" s="1" t="s">
        <v>848</v>
      </c>
      <c r="K2649" s="1" t="s">
        <v>99</v>
      </c>
      <c r="L2649" s="1" t="s">
        <v>27</v>
      </c>
      <c r="N2649" s="1" t="s">
        <v>849</v>
      </c>
      <c r="O2649" s="1" t="s">
        <v>29</v>
      </c>
      <c r="P2649" s="1" t="s">
        <v>6138</v>
      </c>
      <c r="Q2649" s="1" t="s">
        <v>6139</v>
      </c>
      <c r="R2649" s="1">
        <v>0.0</v>
      </c>
      <c r="S2649" s="1"/>
    </row>
    <row r="2650" ht="15.75" customHeight="1">
      <c r="A2650" s="1" t="s">
        <v>6152</v>
      </c>
      <c r="B2650" s="1" t="s">
        <v>6153</v>
      </c>
      <c r="C2650" s="1" t="s">
        <v>467</v>
      </c>
      <c r="K2650" s="1" t="s">
        <v>99</v>
      </c>
      <c r="L2650" s="1" t="s">
        <v>27</v>
      </c>
      <c r="N2650" s="1" t="s">
        <v>464</v>
      </c>
      <c r="O2650" s="1" t="s">
        <v>29</v>
      </c>
      <c r="P2650" s="1" t="s">
        <v>6092</v>
      </c>
      <c r="Q2650" s="1" t="s">
        <v>6093</v>
      </c>
      <c r="R2650" s="1">
        <v>0.0</v>
      </c>
      <c r="S2650" s="1"/>
    </row>
    <row r="2651" ht="15.75" customHeight="1">
      <c r="A2651" s="1" t="s">
        <v>6154</v>
      </c>
      <c r="B2651" s="1" t="s">
        <v>6155</v>
      </c>
      <c r="C2651" s="1" t="s">
        <v>148</v>
      </c>
      <c r="K2651" s="1" t="s">
        <v>26</v>
      </c>
      <c r="L2651" s="1" t="s">
        <v>27</v>
      </c>
      <c r="N2651" s="1" t="s">
        <v>143</v>
      </c>
      <c r="O2651" s="1" t="s">
        <v>57</v>
      </c>
      <c r="P2651" s="1" t="s">
        <v>6092</v>
      </c>
      <c r="Q2651" s="1" t="s">
        <v>6093</v>
      </c>
      <c r="R2651" s="1">
        <v>0.0</v>
      </c>
      <c r="S2651" s="1"/>
    </row>
    <row r="2652" ht="15.75" customHeight="1">
      <c r="A2652" s="1" t="s">
        <v>6156</v>
      </c>
      <c r="B2652" s="1" t="s">
        <v>6157</v>
      </c>
      <c r="C2652" s="1" t="s">
        <v>765</v>
      </c>
      <c r="E2652" s="1">
        <v>26.5034391</v>
      </c>
      <c r="F2652" s="1">
        <v>83.7808665</v>
      </c>
      <c r="G2652" s="1" t="s">
        <v>6096</v>
      </c>
      <c r="H2652" s="1" t="s">
        <v>6097</v>
      </c>
      <c r="I2652" s="1" t="s">
        <v>1799</v>
      </c>
      <c r="J2652" s="1" t="s">
        <v>56</v>
      </c>
      <c r="K2652" s="1" t="s">
        <v>2892</v>
      </c>
      <c r="L2652" s="1" t="s">
        <v>27</v>
      </c>
      <c r="N2652" s="1" t="s">
        <v>28</v>
      </c>
      <c r="O2652" s="1" t="s">
        <v>57</v>
      </c>
      <c r="P2652" s="1" t="s">
        <v>6132</v>
      </c>
      <c r="Q2652" s="1" t="s">
        <v>6133</v>
      </c>
      <c r="R2652" s="1">
        <v>2.0</v>
      </c>
      <c r="S2652" s="1"/>
    </row>
    <row r="2653" ht="15.75" customHeight="1">
      <c r="A2653" s="1" t="s">
        <v>6158</v>
      </c>
      <c r="B2653" s="1" t="s">
        <v>6159</v>
      </c>
      <c r="C2653" s="1" t="s">
        <v>765</v>
      </c>
      <c r="E2653" s="1">
        <v>26.7507335</v>
      </c>
      <c r="F2653" s="1">
        <v>83.3705002</v>
      </c>
      <c r="G2653" s="1" t="s">
        <v>6096</v>
      </c>
      <c r="H2653" s="1" t="s">
        <v>6097</v>
      </c>
      <c r="I2653" s="1" t="s">
        <v>1799</v>
      </c>
      <c r="J2653" s="1" t="s">
        <v>56</v>
      </c>
      <c r="K2653" s="1" t="s">
        <v>2892</v>
      </c>
      <c r="L2653" s="1" t="s">
        <v>27</v>
      </c>
      <c r="N2653" s="1" t="s">
        <v>28</v>
      </c>
      <c r="O2653" s="1" t="s">
        <v>57</v>
      </c>
      <c r="P2653" s="1" t="s">
        <v>6132</v>
      </c>
      <c r="Q2653" s="1" t="s">
        <v>6133</v>
      </c>
      <c r="R2653" s="1">
        <v>2.0</v>
      </c>
      <c r="S2653" s="1"/>
    </row>
    <row r="2654" ht="15.75" customHeight="1">
      <c r="A2654" s="1" t="s">
        <v>6160</v>
      </c>
      <c r="B2654" s="1" t="s">
        <v>6161</v>
      </c>
      <c r="C2654" s="1" t="s">
        <v>1078</v>
      </c>
      <c r="K2654" s="1" t="s">
        <v>26</v>
      </c>
      <c r="L2654" s="1" t="s">
        <v>27</v>
      </c>
      <c r="N2654" s="1" t="s">
        <v>743</v>
      </c>
      <c r="O2654" s="1" t="s">
        <v>57</v>
      </c>
      <c r="P2654" s="1" t="s">
        <v>6138</v>
      </c>
      <c r="Q2654" s="1" t="s">
        <v>6139</v>
      </c>
      <c r="R2654" s="1">
        <v>0.0</v>
      </c>
      <c r="S2654" s="1"/>
    </row>
    <row r="2655" ht="15.75" customHeight="1">
      <c r="A2655" s="1" t="s">
        <v>6162</v>
      </c>
      <c r="B2655" s="1" t="s">
        <v>6163</v>
      </c>
      <c r="C2655" s="1" t="s">
        <v>215</v>
      </c>
      <c r="K2655" s="1" t="s">
        <v>26</v>
      </c>
      <c r="L2655" s="1" t="s">
        <v>27</v>
      </c>
      <c r="N2655" s="1" t="s">
        <v>216</v>
      </c>
      <c r="O2655" s="1" t="s">
        <v>57</v>
      </c>
      <c r="P2655" s="1" t="s">
        <v>6138</v>
      </c>
      <c r="Q2655" s="1" t="s">
        <v>6139</v>
      </c>
      <c r="R2655" s="1">
        <v>0.0</v>
      </c>
      <c r="S2655" s="1"/>
    </row>
    <row r="2656" ht="15.75" customHeight="1">
      <c r="A2656" s="1" t="s">
        <v>6164</v>
      </c>
      <c r="B2656" s="1" t="s">
        <v>6165</v>
      </c>
      <c r="C2656" s="1" t="s">
        <v>765</v>
      </c>
      <c r="E2656" s="1">
        <v>26.7473498</v>
      </c>
      <c r="F2656" s="1">
        <v>83.3603933</v>
      </c>
      <c r="G2656" s="1" t="s">
        <v>6096</v>
      </c>
      <c r="H2656" s="1" t="s">
        <v>6097</v>
      </c>
      <c r="I2656" s="1" t="s">
        <v>1799</v>
      </c>
      <c r="J2656" s="1" t="s">
        <v>56</v>
      </c>
      <c r="K2656" s="1" t="s">
        <v>2892</v>
      </c>
      <c r="L2656" s="1" t="s">
        <v>27</v>
      </c>
      <c r="N2656" s="1" t="s">
        <v>28</v>
      </c>
      <c r="O2656" s="1" t="s">
        <v>57</v>
      </c>
      <c r="P2656" s="1" t="s">
        <v>6132</v>
      </c>
      <c r="Q2656" s="1" t="s">
        <v>6133</v>
      </c>
      <c r="R2656" s="1">
        <v>2.0</v>
      </c>
      <c r="S2656" s="1"/>
    </row>
    <row r="2657" ht="15.75" customHeight="1">
      <c r="A2657" s="1" t="s">
        <v>6166</v>
      </c>
      <c r="B2657" s="1" t="s">
        <v>6167</v>
      </c>
      <c r="C2657" s="1" t="s">
        <v>765</v>
      </c>
      <c r="E2657" s="1">
        <v>26.7905245</v>
      </c>
      <c r="F2657" s="1">
        <v>83.3554941</v>
      </c>
      <c r="G2657" s="1" t="s">
        <v>6096</v>
      </c>
      <c r="H2657" s="1" t="s">
        <v>6097</v>
      </c>
      <c r="I2657" s="1" t="s">
        <v>1799</v>
      </c>
      <c r="J2657" s="1" t="s">
        <v>56</v>
      </c>
      <c r="K2657" s="1" t="s">
        <v>2892</v>
      </c>
      <c r="L2657" s="1" t="s">
        <v>27</v>
      </c>
      <c r="N2657" s="1" t="s">
        <v>28</v>
      </c>
      <c r="O2657" s="1" t="s">
        <v>57</v>
      </c>
      <c r="P2657" s="1" t="s">
        <v>6132</v>
      </c>
      <c r="Q2657" s="1" t="s">
        <v>6133</v>
      </c>
      <c r="R2657" s="1">
        <v>2.0</v>
      </c>
      <c r="S2657" s="1"/>
    </row>
    <row r="2658" ht="15.75" customHeight="1">
      <c r="A2658" s="1" t="s">
        <v>6168</v>
      </c>
      <c r="B2658" s="1" t="s">
        <v>6169</v>
      </c>
      <c r="C2658" s="1" t="s">
        <v>151</v>
      </c>
      <c r="K2658" s="1" t="s">
        <v>99</v>
      </c>
      <c r="L2658" s="1" t="s">
        <v>27</v>
      </c>
      <c r="N2658" s="1" t="s">
        <v>143</v>
      </c>
      <c r="O2658" s="1" t="s">
        <v>29</v>
      </c>
      <c r="P2658" s="1" t="s">
        <v>6092</v>
      </c>
      <c r="Q2658" s="1" t="s">
        <v>6093</v>
      </c>
      <c r="R2658" s="1">
        <v>0.0</v>
      </c>
      <c r="S2658" s="1"/>
    </row>
    <row r="2659" ht="15.75" customHeight="1">
      <c r="A2659" s="1" t="s">
        <v>6170</v>
      </c>
      <c r="B2659" s="1" t="s">
        <v>6171</v>
      </c>
      <c r="C2659" s="1" t="s">
        <v>148</v>
      </c>
      <c r="K2659" s="1" t="s">
        <v>99</v>
      </c>
      <c r="L2659" s="1" t="s">
        <v>27</v>
      </c>
      <c r="N2659" s="1" t="s">
        <v>143</v>
      </c>
      <c r="O2659" s="1" t="s">
        <v>29</v>
      </c>
      <c r="P2659" s="1" t="s">
        <v>6092</v>
      </c>
      <c r="Q2659" s="1" t="s">
        <v>6093</v>
      </c>
      <c r="R2659" s="1">
        <v>0.0</v>
      </c>
      <c r="S2659" s="1"/>
    </row>
    <row r="2660" ht="15.75" customHeight="1">
      <c r="A2660" s="1" t="s">
        <v>6172</v>
      </c>
      <c r="B2660" s="1" t="s">
        <v>6173</v>
      </c>
      <c r="C2660" s="1" t="s">
        <v>185</v>
      </c>
      <c r="K2660" s="1" t="s">
        <v>26</v>
      </c>
      <c r="L2660" s="1" t="s">
        <v>27</v>
      </c>
      <c r="N2660" s="1" t="s">
        <v>186</v>
      </c>
      <c r="O2660" s="1" t="s">
        <v>57</v>
      </c>
      <c r="P2660" s="1" t="s">
        <v>6092</v>
      </c>
      <c r="Q2660" s="1" t="s">
        <v>6093</v>
      </c>
      <c r="R2660" s="1">
        <v>0.0</v>
      </c>
      <c r="S2660" s="1"/>
    </row>
    <row r="2661" ht="15.75" customHeight="1">
      <c r="A2661" s="1" t="s">
        <v>6174</v>
      </c>
      <c r="B2661" s="1" t="s">
        <v>6175</v>
      </c>
      <c r="C2661" s="1" t="s">
        <v>467</v>
      </c>
      <c r="K2661" s="1" t="s">
        <v>26</v>
      </c>
      <c r="L2661" s="1" t="s">
        <v>27</v>
      </c>
      <c r="N2661" s="1" t="s">
        <v>464</v>
      </c>
      <c r="O2661" s="1" t="s">
        <v>57</v>
      </c>
      <c r="P2661" s="1" t="s">
        <v>6092</v>
      </c>
      <c r="Q2661" s="1" t="s">
        <v>6093</v>
      </c>
      <c r="R2661" s="1">
        <v>0.0</v>
      </c>
      <c r="S2661" s="1"/>
    </row>
    <row r="2662" ht="15.75" customHeight="1">
      <c r="A2662" s="1" t="s">
        <v>6176</v>
      </c>
      <c r="B2662" s="1" t="s">
        <v>6177</v>
      </c>
      <c r="C2662" s="1" t="s">
        <v>6178</v>
      </c>
      <c r="K2662" s="1" t="s">
        <v>26</v>
      </c>
      <c r="L2662" s="1" t="s">
        <v>27</v>
      </c>
      <c r="N2662" s="1" t="s">
        <v>1097</v>
      </c>
      <c r="O2662" s="1" t="s">
        <v>57</v>
      </c>
      <c r="P2662" s="1" t="s">
        <v>6092</v>
      </c>
      <c r="Q2662" s="1" t="s">
        <v>6093</v>
      </c>
      <c r="R2662" s="1">
        <v>0.0</v>
      </c>
      <c r="S2662" s="1"/>
    </row>
    <row r="2663" ht="15.75" customHeight="1">
      <c r="A2663" s="1" t="s">
        <v>6179</v>
      </c>
      <c r="B2663" s="1" t="s">
        <v>6180</v>
      </c>
      <c r="C2663" s="1" t="s">
        <v>6181</v>
      </c>
      <c r="K2663" s="1" t="s">
        <v>26</v>
      </c>
      <c r="L2663" s="1" t="s">
        <v>27</v>
      </c>
      <c r="N2663" s="1" t="s">
        <v>1210</v>
      </c>
      <c r="O2663" s="1" t="s">
        <v>57</v>
      </c>
      <c r="P2663" s="1" t="s">
        <v>6092</v>
      </c>
      <c r="Q2663" s="1" t="s">
        <v>6093</v>
      </c>
      <c r="R2663" s="1">
        <v>0.0</v>
      </c>
      <c r="S2663" s="1"/>
    </row>
    <row r="2664" ht="15.75" customHeight="1">
      <c r="A2664" s="1" t="s">
        <v>6182</v>
      </c>
      <c r="B2664" s="1" t="s">
        <v>6183</v>
      </c>
      <c r="C2664" s="1" t="s">
        <v>1331</v>
      </c>
      <c r="K2664" s="1" t="s">
        <v>26</v>
      </c>
      <c r="L2664" s="1" t="s">
        <v>27</v>
      </c>
      <c r="N2664" s="1" t="s">
        <v>1210</v>
      </c>
      <c r="O2664" s="1" t="s">
        <v>57</v>
      </c>
      <c r="P2664" s="1" t="s">
        <v>6092</v>
      </c>
      <c r="Q2664" s="1" t="s">
        <v>6093</v>
      </c>
      <c r="R2664" s="1">
        <v>0.0</v>
      </c>
      <c r="S2664" s="1"/>
    </row>
    <row r="2665" ht="15.75" customHeight="1">
      <c r="A2665" s="1" t="s">
        <v>6184</v>
      </c>
      <c r="B2665" s="1" t="s">
        <v>6185</v>
      </c>
      <c r="C2665" s="1" t="s">
        <v>6186</v>
      </c>
      <c r="K2665" s="1" t="s">
        <v>26</v>
      </c>
      <c r="L2665" s="1" t="s">
        <v>27</v>
      </c>
      <c r="N2665" s="1" t="s">
        <v>1210</v>
      </c>
      <c r="O2665" s="1" t="s">
        <v>57</v>
      </c>
      <c r="P2665" s="1" t="s">
        <v>6092</v>
      </c>
      <c r="Q2665" s="1" t="s">
        <v>6093</v>
      </c>
      <c r="R2665" s="1">
        <v>0.0</v>
      </c>
      <c r="S2665" s="1"/>
    </row>
    <row r="2666" ht="15.75" customHeight="1">
      <c r="A2666" s="1" t="s">
        <v>6187</v>
      </c>
      <c r="B2666" s="1" t="s">
        <v>6188</v>
      </c>
      <c r="C2666" s="1" t="s">
        <v>1310</v>
      </c>
      <c r="K2666" s="1" t="s">
        <v>26</v>
      </c>
      <c r="L2666" s="1" t="s">
        <v>27</v>
      </c>
      <c r="N2666" s="1" t="s">
        <v>1210</v>
      </c>
      <c r="O2666" s="1" t="s">
        <v>57</v>
      </c>
      <c r="P2666" s="1" t="s">
        <v>6092</v>
      </c>
      <c r="Q2666" s="1" t="s">
        <v>6093</v>
      </c>
      <c r="R2666" s="1">
        <v>0.0</v>
      </c>
      <c r="S2666" s="1"/>
    </row>
    <row r="2667" ht="15.75" customHeight="1">
      <c r="A2667" s="1" t="s">
        <v>6189</v>
      </c>
      <c r="B2667" s="1" t="s">
        <v>6190</v>
      </c>
      <c r="C2667" s="1" t="s">
        <v>1354</v>
      </c>
      <c r="K2667" s="1" t="s">
        <v>26</v>
      </c>
      <c r="L2667" s="1" t="s">
        <v>27</v>
      </c>
      <c r="N2667" s="1" t="s">
        <v>1210</v>
      </c>
      <c r="O2667" s="1" t="s">
        <v>57</v>
      </c>
      <c r="P2667" s="1" t="s">
        <v>6092</v>
      </c>
      <c r="Q2667" s="1" t="s">
        <v>6093</v>
      </c>
      <c r="R2667" s="1">
        <v>0.0</v>
      </c>
      <c r="S2667" s="1"/>
    </row>
    <row r="2668" ht="15.75" customHeight="1">
      <c r="A2668" s="1" t="s">
        <v>6191</v>
      </c>
      <c r="B2668" s="1" t="s">
        <v>6192</v>
      </c>
      <c r="C2668" s="1" t="s">
        <v>6193</v>
      </c>
      <c r="K2668" s="1" t="s">
        <v>26</v>
      </c>
      <c r="L2668" s="1" t="s">
        <v>27</v>
      </c>
      <c r="N2668" s="1" t="s">
        <v>1210</v>
      </c>
      <c r="O2668" s="1" t="s">
        <v>57</v>
      </c>
      <c r="P2668" s="1" t="s">
        <v>6092</v>
      </c>
      <c r="Q2668" s="1" t="s">
        <v>6093</v>
      </c>
      <c r="R2668" s="1">
        <v>0.0</v>
      </c>
      <c r="S2668" s="1"/>
    </row>
    <row r="2669" ht="15.75" customHeight="1">
      <c r="A2669" s="1" t="s">
        <v>6194</v>
      </c>
      <c r="B2669" s="1" t="s">
        <v>6195</v>
      </c>
      <c r="C2669" s="1" t="s">
        <v>6196</v>
      </c>
      <c r="K2669" s="1" t="s">
        <v>26</v>
      </c>
      <c r="L2669" s="1" t="s">
        <v>27</v>
      </c>
      <c r="N2669" s="1" t="s">
        <v>464</v>
      </c>
      <c r="O2669" s="1" t="s">
        <v>57</v>
      </c>
      <c r="P2669" s="1" t="s">
        <v>6092</v>
      </c>
      <c r="Q2669" s="1" t="s">
        <v>6093</v>
      </c>
      <c r="R2669" s="1">
        <v>0.0</v>
      </c>
      <c r="S2669" s="1"/>
    </row>
    <row r="2670" ht="15.75" customHeight="1">
      <c r="A2670" s="1" t="s">
        <v>6197</v>
      </c>
      <c r="B2670" s="1" t="s">
        <v>6198</v>
      </c>
      <c r="C2670" s="1" t="s">
        <v>174</v>
      </c>
      <c r="K2670" s="1" t="s">
        <v>99</v>
      </c>
      <c r="L2670" s="1" t="s">
        <v>27</v>
      </c>
      <c r="N2670" s="1" t="s">
        <v>174</v>
      </c>
      <c r="O2670" s="1" t="s">
        <v>29</v>
      </c>
      <c r="P2670" s="1" t="s">
        <v>6092</v>
      </c>
      <c r="Q2670" s="1" t="s">
        <v>6093</v>
      </c>
      <c r="R2670" s="1">
        <v>0.0</v>
      </c>
      <c r="S2670" s="1"/>
    </row>
    <row r="2671" ht="15.75" customHeight="1">
      <c r="A2671" s="1" t="s">
        <v>6199</v>
      </c>
      <c r="B2671" s="1" t="s">
        <v>6200</v>
      </c>
      <c r="C2671" s="1" t="s">
        <v>737</v>
      </c>
      <c r="K2671" s="1" t="s">
        <v>99</v>
      </c>
      <c r="L2671" s="1" t="s">
        <v>27</v>
      </c>
      <c r="N2671" s="1" t="s">
        <v>732</v>
      </c>
      <c r="O2671" s="1" t="s">
        <v>29</v>
      </c>
      <c r="P2671" s="1" t="s">
        <v>6138</v>
      </c>
      <c r="Q2671" s="1" t="s">
        <v>6139</v>
      </c>
      <c r="R2671" s="1">
        <v>0.0</v>
      </c>
      <c r="S2671" s="1"/>
    </row>
    <row r="2672" ht="15.75" customHeight="1">
      <c r="A2672" s="1" t="s">
        <v>6201</v>
      </c>
      <c r="B2672" s="1" t="s">
        <v>6202</v>
      </c>
      <c r="C2672" s="1" t="s">
        <v>630</v>
      </c>
      <c r="E2672" s="1">
        <v>26.4432194</v>
      </c>
      <c r="F2672" s="1">
        <v>80.32086799999999</v>
      </c>
      <c r="G2672" s="1" t="s">
        <v>6096</v>
      </c>
      <c r="H2672" s="1" t="s">
        <v>6097</v>
      </c>
      <c r="I2672" s="1" t="s">
        <v>1799</v>
      </c>
      <c r="J2672" s="1" t="s">
        <v>56</v>
      </c>
      <c r="K2672" s="1" t="s">
        <v>2892</v>
      </c>
      <c r="L2672" s="1" t="s">
        <v>27</v>
      </c>
      <c r="N2672" s="1" t="s">
        <v>28</v>
      </c>
      <c r="O2672" s="1" t="s">
        <v>57</v>
      </c>
      <c r="P2672" s="1" t="s">
        <v>6132</v>
      </c>
      <c r="Q2672" s="1" t="s">
        <v>6133</v>
      </c>
      <c r="R2672" s="1">
        <v>10.0</v>
      </c>
      <c r="S2672" s="1"/>
    </row>
    <row r="2673" ht="15.75" customHeight="1">
      <c r="A2673" s="1" t="s">
        <v>6203</v>
      </c>
      <c r="B2673" s="1" t="s">
        <v>6204</v>
      </c>
      <c r="C2673" s="1" t="s">
        <v>630</v>
      </c>
      <c r="E2673" s="1">
        <v>26.5484997</v>
      </c>
      <c r="F2673" s="1">
        <v>80.4904859</v>
      </c>
      <c r="G2673" s="1" t="s">
        <v>6096</v>
      </c>
      <c r="H2673" s="1" t="s">
        <v>6097</v>
      </c>
      <c r="I2673" s="1" t="s">
        <v>1799</v>
      </c>
      <c r="J2673" s="1" t="s">
        <v>56</v>
      </c>
      <c r="K2673" s="1" t="s">
        <v>2892</v>
      </c>
      <c r="L2673" s="1" t="s">
        <v>27</v>
      </c>
      <c r="N2673" s="1" t="s">
        <v>28</v>
      </c>
      <c r="O2673" s="1" t="s">
        <v>57</v>
      </c>
      <c r="P2673" s="1" t="s">
        <v>6132</v>
      </c>
      <c r="Q2673" s="1" t="s">
        <v>6133</v>
      </c>
      <c r="R2673" s="1">
        <v>6.0</v>
      </c>
      <c r="S2673" s="1"/>
    </row>
    <row r="2674" ht="15.75" customHeight="1">
      <c r="A2674" s="1" t="s">
        <v>6205</v>
      </c>
      <c r="B2674" s="1" t="s">
        <v>6206</v>
      </c>
      <c r="C2674" s="1" t="s">
        <v>617</v>
      </c>
      <c r="E2674" s="1">
        <v>26.850227</v>
      </c>
      <c r="F2674" s="1">
        <v>80.94834999999999</v>
      </c>
      <c r="G2674" s="1" t="s">
        <v>6096</v>
      </c>
      <c r="H2674" s="1" t="s">
        <v>6097</v>
      </c>
      <c r="I2674" s="1" t="s">
        <v>1799</v>
      </c>
      <c r="J2674" s="1" t="s">
        <v>56</v>
      </c>
      <c r="K2674" s="1" t="s">
        <v>2892</v>
      </c>
      <c r="L2674" s="1" t="s">
        <v>27</v>
      </c>
      <c r="N2674" s="1" t="s">
        <v>28</v>
      </c>
      <c r="O2674" s="1" t="s">
        <v>57</v>
      </c>
      <c r="P2674" s="1" t="s">
        <v>6132</v>
      </c>
      <c r="Q2674" s="1" t="s">
        <v>6133</v>
      </c>
      <c r="R2674" s="1">
        <v>18.0</v>
      </c>
      <c r="S2674" s="1"/>
    </row>
    <row r="2675" ht="15.75" customHeight="1">
      <c r="A2675" s="1" t="s">
        <v>6207</v>
      </c>
      <c r="B2675" s="1" t="s">
        <v>6208</v>
      </c>
      <c r="C2675" s="1" t="s">
        <v>617</v>
      </c>
      <c r="E2675" s="1">
        <v>26.878866</v>
      </c>
      <c r="F2675" s="1">
        <v>80.928011</v>
      </c>
      <c r="G2675" s="1" t="s">
        <v>6096</v>
      </c>
      <c r="H2675" s="1" t="s">
        <v>6097</v>
      </c>
      <c r="I2675" s="1" t="s">
        <v>1799</v>
      </c>
      <c r="J2675" s="1" t="s">
        <v>56</v>
      </c>
      <c r="K2675" s="1" t="s">
        <v>2892</v>
      </c>
      <c r="L2675" s="1" t="s">
        <v>27</v>
      </c>
      <c r="N2675" s="1" t="s">
        <v>28</v>
      </c>
      <c r="O2675" s="1" t="s">
        <v>57</v>
      </c>
      <c r="P2675" s="1" t="s">
        <v>6132</v>
      </c>
      <c r="Q2675" s="1" t="s">
        <v>6133</v>
      </c>
      <c r="R2675" s="1">
        <v>14.0</v>
      </c>
      <c r="S2675" s="1"/>
    </row>
    <row r="2676" ht="15.75" customHeight="1">
      <c r="A2676" s="1" t="s">
        <v>6209</v>
      </c>
      <c r="B2676" s="1" t="s">
        <v>6210</v>
      </c>
      <c r="C2676" s="1" t="s">
        <v>737</v>
      </c>
      <c r="K2676" s="1" t="s">
        <v>99</v>
      </c>
      <c r="L2676" s="1" t="s">
        <v>27</v>
      </c>
      <c r="N2676" s="1" t="s">
        <v>732</v>
      </c>
      <c r="O2676" s="1" t="s">
        <v>29</v>
      </c>
      <c r="P2676" s="1" t="s">
        <v>6138</v>
      </c>
      <c r="Q2676" s="1" t="s">
        <v>6139</v>
      </c>
      <c r="R2676" s="1">
        <v>0.0</v>
      </c>
      <c r="S2676" s="1"/>
    </row>
    <row r="2677" ht="15.75" customHeight="1">
      <c r="A2677" s="1" t="s">
        <v>6211</v>
      </c>
      <c r="B2677" s="1" t="s">
        <v>6212</v>
      </c>
      <c r="C2677" s="1" t="s">
        <v>2089</v>
      </c>
      <c r="K2677" s="1" t="s">
        <v>99</v>
      </c>
      <c r="L2677" s="1" t="s">
        <v>27</v>
      </c>
      <c r="N2677" s="1" t="s">
        <v>506</v>
      </c>
      <c r="O2677" s="1" t="s">
        <v>29</v>
      </c>
      <c r="P2677" s="1" t="s">
        <v>6138</v>
      </c>
      <c r="Q2677" s="1" t="s">
        <v>6139</v>
      </c>
      <c r="R2677" s="1">
        <v>0.0</v>
      </c>
      <c r="S2677" s="1"/>
    </row>
    <row r="2678" ht="15.75" customHeight="1">
      <c r="A2678" s="1" t="s">
        <v>6213</v>
      </c>
      <c r="B2678" s="1" t="s">
        <v>6214</v>
      </c>
      <c r="C2678" s="1" t="s">
        <v>617</v>
      </c>
      <c r="E2678" s="1">
        <v>26.8795556</v>
      </c>
      <c r="F2678" s="1">
        <v>80.9511607</v>
      </c>
      <c r="G2678" s="1" t="s">
        <v>6096</v>
      </c>
      <c r="H2678" s="1" t="s">
        <v>6097</v>
      </c>
      <c r="I2678" s="1" t="s">
        <v>1799</v>
      </c>
      <c r="J2678" s="1" t="s">
        <v>56</v>
      </c>
      <c r="K2678" s="1" t="s">
        <v>2892</v>
      </c>
      <c r="L2678" s="1" t="s">
        <v>27</v>
      </c>
      <c r="N2678" s="1" t="s">
        <v>28</v>
      </c>
      <c r="O2678" s="1" t="s">
        <v>57</v>
      </c>
      <c r="P2678" s="1" t="s">
        <v>6132</v>
      </c>
      <c r="Q2678" s="1" t="s">
        <v>6133</v>
      </c>
      <c r="R2678" s="1">
        <v>22.0</v>
      </c>
      <c r="S2678" s="1"/>
    </row>
    <row r="2679" ht="15.75" customHeight="1">
      <c r="A2679" s="1" t="s">
        <v>6215</v>
      </c>
      <c r="B2679" s="1" t="s">
        <v>6216</v>
      </c>
      <c r="C2679" s="1" t="s">
        <v>617</v>
      </c>
      <c r="E2679" s="1">
        <v>26.7746447</v>
      </c>
      <c r="F2679" s="1">
        <v>80.94366869999999</v>
      </c>
      <c r="G2679" s="1" t="s">
        <v>6096</v>
      </c>
      <c r="H2679" s="1" t="s">
        <v>6097</v>
      </c>
      <c r="I2679" s="1" t="s">
        <v>1799</v>
      </c>
      <c r="J2679" s="1" t="s">
        <v>56</v>
      </c>
      <c r="K2679" s="1" t="s">
        <v>2892</v>
      </c>
      <c r="L2679" s="1" t="s">
        <v>27</v>
      </c>
      <c r="N2679" s="1" t="s">
        <v>28</v>
      </c>
      <c r="O2679" s="1" t="s">
        <v>57</v>
      </c>
      <c r="P2679" s="1" t="s">
        <v>6132</v>
      </c>
      <c r="Q2679" s="1" t="s">
        <v>6133</v>
      </c>
      <c r="R2679" s="1">
        <v>19.0</v>
      </c>
      <c r="S2679" s="1"/>
    </row>
    <row r="2680" ht="15.75" customHeight="1">
      <c r="A2680" s="1" t="s">
        <v>6217</v>
      </c>
      <c r="B2680" s="1" t="s">
        <v>6218</v>
      </c>
      <c r="C2680" s="1" t="s">
        <v>1716</v>
      </c>
      <c r="K2680" s="1" t="s">
        <v>99</v>
      </c>
      <c r="L2680" s="1" t="s">
        <v>27</v>
      </c>
      <c r="N2680" s="1" t="s">
        <v>163</v>
      </c>
      <c r="O2680" s="1" t="s">
        <v>29</v>
      </c>
      <c r="P2680" s="1" t="s">
        <v>6138</v>
      </c>
      <c r="Q2680" s="1" t="s">
        <v>6139</v>
      </c>
      <c r="R2680" s="1">
        <v>0.0</v>
      </c>
      <c r="S2680" s="1"/>
    </row>
    <row r="2681" ht="15.75" customHeight="1">
      <c r="A2681" s="1" t="s">
        <v>6219</v>
      </c>
      <c r="B2681" s="1" t="s">
        <v>6220</v>
      </c>
      <c r="C2681" s="1" t="s">
        <v>1716</v>
      </c>
      <c r="K2681" s="1" t="s">
        <v>99</v>
      </c>
      <c r="L2681" s="1" t="s">
        <v>27</v>
      </c>
      <c r="N2681" s="1" t="s">
        <v>163</v>
      </c>
      <c r="O2681" s="1" t="s">
        <v>29</v>
      </c>
      <c r="P2681" s="1" t="s">
        <v>6138</v>
      </c>
      <c r="Q2681" s="1" t="s">
        <v>6139</v>
      </c>
      <c r="R2681" s="1">
        <v>0.0</v>
      </c>
      <c r="S2681" s="1"/>
    </row>
    <row r="2682" ht="15.75" customHeight="1">
      <c r="A2682" s="1" t="s">
        <v>6221</v>
      </c>
      <c r="B2682" s="1" t="s">
        <v>6222</v>
      </c>
      <c r="C2682" s="1" t="s">
        <v>505</v>
      </c>
      <c r="K2682" s="1" t="s">
        <v>99</v>
      </c>
      <c r="L2682" s="1" t="s">
        <v>27</v>
      </c>
      <c r="N2682" s="1" t="s">
        <v>506</v>
      </c>
      <c r="O2682" s="1" t="s">
        <v>29</v>
      </c>
      <c r="P2682" s="1" t="s">
        <v>6138</v>
      </c>
      <c r="Q2682" s="1" t="s">
        <v>6139</v>
      </c>
      <c r="R2682" s="1">
        <v>0.0</v>
      </c>
      <c r="S2682" s="1"/>
    </row>
    <row r="2683" ht="15.75" customHeight="1">
      <c r="A2683" s="1" t="s">
        <v>6223</v>
      </c>
      <c r="B2683" s="1" t="s">
        <v>6224</v>
      </c>
      <c r="C2683" s="1" t="s">
        <v>617</v>
      </c>
      <c r="K2683" s="1" t="s">
        <v>99</v>
      </c>
      <c r="L2683" s="1" t="s">
        <v>27</v>
      </c>
      <c r="N2683" s="1" t="s">
        <v>28</v>
      </c>
      <c r="O2683" s="1" t="s">
        <v>29</v>
      </c>
      <c r="P2683" s="1" t="s">
        <v>6138</v>
      </c>
      <c r="Q2683" s="1" t="s">
        <v>6139</v>
      </c>
      <c r="R2683" s="1">
        <v>0.0</v>
      </c>
      <c r="S2683" s="1"/>
    </row>
    <row r="2684" ht="15.75" customHeight="1">
      <c r="A2684" s="1" t="s">
        <v>6225</v>
      </c>
      <c r="B2684" s="1" t="s">
        <v>6226</v>
      </c>
      <c r="C2684" s="1" t="s">
        <v>174</v>
      </c>
      <c r="K2684" s="1" t="s">
        <v>5789</v>
      </c>
      <c r="L2684" s="1" t="s">
        <v>27</v>
      </c>
      <c r="N2684" s="1" t="s">
        <v>174</v>
      </c>
      <c r="O2684" s="1" t="s">
        <v>29</v>
      </c>
      <c r="P2684" s="1" t="s">
        <v>6092</v>
      </c>
      <c r="Q2684" s="1" t="s">
        <v>6093</v>
      </c>
      <c r="R2684" s="1">
        <v>0.0</v>
      </c>
      <c r="S2684" s="1"/>
    </row>
    <row r="2685" ht="15.75" customHeight="1">
      <c r="A2685" s="1" t="s">
        <v>6227</v>
      </c>
      <c r="B2685" s="1" t="s">
        <v>6228</v>
      </c>
      <c r="C2685" s="1" t="s">
        <v>148</v>
      </c>
      <c r="K2685" s="1" t="s">
        <v>99</v>
      </c>
      <c r="L2685" s="1" t="s">
        <v>27</v>
      </c>
      <c r="N2685" s="1" t="s">
        <v>143</v>
      </c>
      <c r="O2685" s="1" t="s">
        <v>29</v>
      </c>
      <c r="P2685" s="1" t="s">
        <v>6092</v>
      </c>
      <c r="Q2685" s="1" t="s">
        <v>6093</v>
      </c>
      <c r="R2685" s="1">
        <v>0.0</v>
      </c>
      <c r="S2685" s="1"/>
    </row>
    <row r="2686" ht="15.75" customHeight="1">
      <c r="A2686" s="1" t="s">
        <v>6229</v>
      </c>
      <c r="B2686" s="1" t="s">
        <v>6230</v>
      </c>
      <c r="C2686" s="1" t="s">
        <v>148</v>
      </c>
      <c r="K2686" s="1" t="s">
        <v>99</v>
      </c>
      <c r="L2686" s="1" t="s">
        <v>27</v>
      </c>
      <c r="N2686" s="1" t="s">
        <v>143</v>
      </c>
      <c r="O2686" s="1" t="s">
        <v>29</v>
      </c>
      <c r="P2686" s="1" t="s">
        <v>6092</v>
      </c>
      <c r="Q2686" s="1" t="s">
        <v>6093</v>
      </c>
      <c r="R2686" s="1">
        <v>0.0</v>
      </c>
      <c r="S2686" s="1"/>
    </row>
    <row r="2687" ht="15.75" customHeight="1">
      <c r="A2687" s="1" t="s">
        <v>1840</v>
      </c>
      <c r="B2687" s="1" t="s">
        <v>1839</v>
      </c>
      <c r="C2687" s="1" t="s">
        <v>148</v>
      </c>
      <c r="K2687" s="1" t="s">
        <v>99</v>
      </c>
      <c r="L2687" s="1" t="s">
        <v>27</v>
      </c>
      <c r="N2687" s="1" t="s">
        <v>143</v>
      </c>
      <c r="O2687" s="1" t="s">
        <v>29</v>
      </c>
      <c r="P2687" s="1" t="s">
        <v>6092</v>
      </c>
      <c r="Q2687" s="1" t="s">
        <v>6093</v>
      </c>
      <c r="R2687" s="1">
        <v>0.0</v>
      </c>
      <c r="S2687" s="1" t="str">
        <f>IFERROR(__xludf.DUMMYFUNCTION("""COMPUTED_VALUE"""),"")</f>
        <v/>
      </c>
    </row>
    <row r="2688" ht="15.75" customHeight="1">
      <c r="A2688" s="1" t="s">
        <v>1867</v>
      </c>
      <c r="B2688" s="1" t="s">
        <v>1866</v>
      </c>
      <c r="C2688" s="1" t="s">
        <v>148</v>
      </c>
      <c r="K2688" s="1" t="s">
        <v>99</v>
      </c>
      <c r="L2688" s="1" t="s">
        <v>27</v>
      </c>
      <c r="N2688" s="1" t="s">
        <v>143</v>
      </c>
      <c r="O2688" s="1" t="s">
        <v>29</v>
      </c>
      <c r="P2688" s="1" t="s">
        <v>6092</v>
      </c>
      <c r="Q2688" s="1" t="s">
        <v>6093</v>
      </c>
      <c r="R2688" s="1">
        <v>0.0</v>
      </c>
      <c r="S2688" s="1" t="str">
        <f>IFERROR(__xludf.DUMMYFUNCTION("""COMPUTED_VALUE"""),"")</f>
        <v/>
      </c>
    </row>
    <row r="2689" ht="15.75" customHeight="1">
      <c r="A2689" s="1" t="s">
        <v>6231</v>
      </c>
      <c r="B2689" s="1" t="s">
        <v>6232</v>
      </c>
      <c r="C2689" s="1" t="s">
        <v>148</v>
      </c>
      <c r="K2689" s="1" t="s">
        <v>99</v>
      </c>
      <c r="L2689" s="1" t="s">
        <v>27</v>
      </c>
      <c r="N2689" s="1" t="s">
        <v>143</v>
      </c>
      <c r="O2689" s="1" t="s">
        <v>29</v>
      </c>
      <c r="P2689" s="1" t="s">
        <v>6092</v>
      </c>
      <c r="Q2689" s="1" t="s">
        <v>6093</v>
      </c>
      <c r="R2689" s="1">
        <v>0.0</v>
      </c>
      <c r="S2689" s="1"/>
    </row>
    <row r="2690" ht="15.75" customHeight="1">
      <c r="A2690" s="1" t="s">
        <v>6233</v>
      </c>
      <c r="B2690" s="1" t="s">
        <v>6234</v>
      </c>
      <c r="C2690" s="1" t="s">
        <v>148</v>
      </c>
      <c r="K2690" s="1" t="s">
        <v>99</v>
      </c>
      <c r="L2690" s="1" t="s">
        <v>27</v>
      </c>
      <c r="N2690" s="1" t="s">
        <v>143</v>
      </c>
      <c r="O2690" s="1" t="s">
        <v>29</v>
      </c>
      <c r="P2690" s="1" t="s">
        <v>6092</v>
      </c>
      <c r="Q2690" s="1" t="s">
        <v>6093</v>
      </c>
      <c r="R2690" s="1">
        <v>0.0</v>
      </c>
      <c r="S2690" s="1"/>
    </row>
    <row r="2691" ht="15.75" customHeight="1">
      <c r="A2691" s="1" t="s">
        <v>6235</v>
      </c>
      <c r="B2691" s="1" t="s">
        <v>6236</v>
      </c>
      <c r="C2691" s="1" t="s">
        <v>148</v>
      </c>
      <c r="K2691" s="1" t="s">
        <v>99</v>
      </c>
      <c r="L2691" s="1" t="s">
        <v>27</v>
      </c>
      <c r="N2691" s="1" t="s">
        <v>143</v>
      </c>
      <c r="O2691" s="1" t="s">
        <v>29</v>
      </c>
      <c r="P2691" s="1" t="s">
        <v>6092</v>
      </c>
      <c r="Q2691" s="1" t="s">
        <v>6093</v>
      </c>
      <c r="R2691" s="1">
        <v>0.0</v>
      </c>
      <c r="S2691" s="1"/>
    </row>
    <row r="2692" ht="15.75" customHeight="1">
      <c r="A2692" s="1" t="s">
        <v>6237</v>
      </c>
      <c r="B2692" s="1" t="s">
        <v>6238</v>
      </c>
      <c r="C2692" s="1" t="s">
        <v>148</v>
      </c>
      <c r="K2692" s="1" t="s">
        <v>99</v>
      </c>
      <c r="L2692" s="1" t="s">
        <v>27</v>
      </c>
      <c r="N2692" s="1" t="s">
        <v>143</v>
      </c>
      <c r="O2692" s="1" t="s">
        <v>29</v>
      </c>
      <c r="P2692" s="1" t="s">
        <v>6092</v>
      </c>
      <c r="Q2692" s="1" t="s">
        <v>6093</v>
      </c>
      <c r="R2692" s="1">
        <v>0.0</v>
      </c>
      <c r="S2692" s="1"/>
    </row>
    <row r="2693" ht="15.75" customHeight="1">
      <c r="A2693" s="1" t="s">
        <v>6239</v>
      </c>
      <c r="B2693" s="1" t="s">
        <v>6240</v>
      </c>
      <c r="C2693" s="1" t="s">
        <v>148</v>
      </c>
      <c r="K2693" s="1" t="s">
        <v>99</v>
      </c>
      <c r="L2693" s="1" t="s">
        <v>27</v>
      </c>
      <c r="N2693" s="1" t="s">
        <v>143</v>
      </c>
      <c r="O2693" s="1" t="s">
        <v>29</v>
      </c>
      <c r="P2693" s="1" t="s">
        <v>6092</v>
      </c>
      <c r="Q2693" s="1" t="s">
        <v>6093</v>
      </c>
      <c r="R2693" s="1">
        <v>0.0</v>
      </c>
      <c r="S2693" s="1"/>
    </row>
    <row r="2694" ht="15.75" customHeight="1">
      <c r="A2694" s="1" t="s">
        <v>6241</v>
      </c>
      <c r="B2694" s="1" t="s">
        <v>6242</v>
      </c>
      <c r="C2694" s="1" t="s">
        <v>148</v>
      </c>
      <c r="K2694" s="1" t="s">
        <v>99</v>
      </c>
      <c r="L2694" s="1" t="s">
        <v>27</v>
      </c>
      <c r="N2694" s="1" t="s">
        <v>143</v>
      </c>
      <c r="O2694" s="1" t="s">
        <v>29</v>
      </c>
      <c r="P2694" s="1" t="s">
        <v>6092</v>
      </c>
      <c r="Q2694" s="1" t="s">
        <v>6093</v>
      </c>
      <c r="R2694" s="1">
        <v>0.0</v>
      </c>
      <c r="S2694" s="1"/>
    </row>
    <row r="2695" ht="15.75" customHeight="1">
      <c r="A2695" s="1" t="s">
        <v>6243</v>
      </c>
      <c r="B2695" s="1" t="s">
        <v>6244</v>
      </c>
      <c r="C2695" s="1" t="s">
        <v>148</v>
      </c>
      <c r="K2695" s="1" t="s">
        <v>99</v>
      </c>
      <c r="L2695" s="1" t="s">
        <v>27</v>
      </c>
      <c r="N2695" s="1" t="s">
        <v>143</v>
      </c>
      <c r="O2695" s="1" t="s">
        <v>29</v>
      </c>
      <c r="P2695" s="1" t="s">
        <v>6092</v>
      </c>
      <c r="Q2695" s="1" t="s">
        <v>6093</v>
      </c>
      <c r="R2695" s="1">
        <v>0.0</v>
      </c>
      <c r="S2695" s="1"/>
    </row>
    <row r="2696" ht="15.75" customHeight="1">
      <c r="A2696" s="1" t="s">
        <v>6245</v>
      </c>
      <c r="B2696" s="1" t="s">
        <v>6246</v>
      </c>
      <c r="C2696" s="1" t="s">
        <v>148</v>
      </c>
      <c r="K2696" s="1" t="s">
        <v>99</v>
      </c>
      <c r="L2696" s="1" t="s">
        <v>27</v>
      </c>
      <c r="N2696" s="1" t="s">
        <v>143</v>
      </c>
      <c r="O2696" s="1" t="s">
        <v>29</v>
      </c>
      <c r="P2696" s="1" t="s">
        <v>6092</v>
      </c>
      <c r="Q2696" s="1" t="s">
        <v>6093</v>
      </c>
      <c r="R2696" s="1">
        <v>0.0</v>
      </c>
      <c r="S2696" s="1"/>
    </row>
    <row r="2697" ht="15.75" customHeight="1">
      <c r="A2697" s="1" t="s">
        <v>6247</v>
      </c>
      <c r="B2697" s="1" t="s">
        <v>6248</v>
      </c>
      <c r="C2697" s="1" t="s">
        <v>148</v>
      </c>
      <c r="K2697" s="1" t="s">
        <v>99</v>
      </c>
      <c r="L2697" s="1" t="s">
        <v>27</v>
      </c>
      <c r="N2697" s="1" t="s">
        <v>143</v>
      </c>
      <c r="O2697" s="1" t="s">
        <v>29</v>
      </c>
      <c r="P2697" s="1" t="s">
        <v>6092</v>
      </c>
      <c r="Q2697" s="1" t="s">
        <v>6093</v>
      </c>
      <c r="R2697" s="1">
        <v>0.0</v>
      </c>
      <c r="S2697" s="1"/>
    </row>
    <row r="2698" ht="15.75" customHeight="1">
      <c r="A2698" s="1" t="s">
        <v>6249</v>
      </c>
      <c r="B2698" s="1" t="s">
        <v>6250</v>
      </c>
      <c r="C2698" s="1" t="s">
        <v>148</v>
      </c>
      <c r="K2698" s="1" t="s">
        <v>99</v>
      </c>
      <c r="L2698" s="1" t="s">
        <v>27</v>
      </c>
      <c r="N2698" s="1" t="s">
        <v>143</v>
      </c>
      <c r="O2698" s="1" t="s">
        <v>29</v>
      </c>
      <c r="P2698" s="1" t="s">
        <v>6092</v>
      </c>
      <c r="Q2698" s="1" t="s">
        <v>6093</v>
      </c>
      <c r="R2698" s="1">
        <v>0.0</v>
      </c>
      <c r="S2698" s="1"/>
    </row>
    <row r="2699" ht="15.75" customHeight="1">
      <c r="A2699" s="1" t="s">
        <v>6251</v>
      </c>
      <c r="B2699" s="1" t="s">
        <v>6252</v>
      </c>
      <c r="C2699" s="1" t="s">
        <v>148</v>
      </c>
      <c r="K2699" s="1" t="s">
        <v>99</v>
      </c>
      <c r="L2699" s="1" t="s">
        <v>27</v>
      </c>
      <c r="N2699" s="1" t="s">
        <v>143</v>
      </c>
      <c r="O2699" s="1" t="s">
        <v>29</v>
      </c>
      <c r="P2699" s="1" t="s">
        <v>6092</v>
      </c>
      <c r="Q2699" s="1" t="s">
        <v>6093</v>
      </c>
      <c r="R2699" s="1">
        <v>0.0</v>
      </c>
      <c r="S2699" s="1"/>
    </row>
    <row r="2700" ht="15.75" customHeight="1">
      <c r="A2700" s="1" t="s">
        <v>6253</v>
      </c>
      <c r="B2700" s="1" t="s">
        <v>6254</v>
      </c>
      <c r="C2700" s="1" t="s">
        <v>38</v>
      </c>
      <c r="E2700" s="1">
        <v>28.6304576</v>
      </c>
      <c r="F2700" s="1">
        <v>77.43566040000002</v>
      </c>
      <c r="G2700" s="1" t="s">
        <v>6096</v>
      </c>
      <c r="H2700" s="1" t="s">
        <v>6097</v>
      </c>
      <c r="I2700" s="1" t="s">
        <v>1799</v>
      </c>
      <c r="J2700" s="1" t="s">
        <v>56</v>
      </c>
      <c r="K2700" s="1" t="s">
        <v>2892</v>
      </c>
      <c r="L2700" s="1" t="s">
        <v>27</v>
      </c>
      <c r="N2700" s="1" t="s">
        <v>28</v>
      </c>
      <c r="O2700" s="1" t="s">
        <v>57</v>
      </c>
      <c r="P2700" s="1" t="s">
        <v>6098</v>
      </c>
      <c r="Q2700" s="1" t="s">
        <v>6099</v>
      </c>
      <c r="R2700" s="1">
        <v>19.0</v>
      </c>
      <c r="S2700" s="1"/>
    </row>
    <row r="2701" ht="15.75" customHeight="1">
      <c r="A2701" s="1" t="s">
        <v>6255</v>
      </c>
      <c r="B2701" s="1" t="s">
        <v>6256</v>
      </c>
      <c r="C2701" s="1" t="s">
        <v>38</v>
      </c>
      <c r="E2701" s="1">
        <v>28.6586725</v>
      </c>
      <c r="F2701" s="1">
        <v>77.3652876</v>
      </c>
      <c r="G2701" s="1" t="s">
        <v>6096</v>
      </c>
      <c r="H2701" s="1" t="s">
        <v>6097</v>
      </c>
      <c r="I2701" s="1" t="s">
        <v>1799</v>
      </c>
      <c r="J2701" s="1" t="s">
        <v>56</v>
      </c>
      <c r="K2701" s="1" t="s">
        <v>2892</v>
      </c>
      <c r="L2701" s="1" t="s">
        <v>27</v>
      </c>
      <c r="N2701" s="1" t="s">
        <v>28</v>
      </c>
      <c r="O2701" s="1" t="s">
        <v>57</v>
      </c>
      <c r="P2701" s="1" t="s">
        <v>6098</v>
      </c>
      <c r="Q2701" s="1" t="s">
        <v>6099</v>
      </c>
      <c r="R2701" s="1">
        <v>9.0</v>
      </c>
      <c r="S2701" s="1"/>
    </row>
    <row r="2702" ht="15.75" customHeight="1">
      <c r="A2702" s="1" t="s">
        <v>6257</v>
      </c>
      <c r="B2702" s="1" t="s">
        <v>6258</v>
      </c>
      <c r="C2702" s="1" t="s">
        <v>38</v>
      </c>
      <c r="E2702" s="1">
        <v>28.9872779</v>
      </c>
      <c r="F2702" s="1">
        <v>77.7063695</v>
      </c>
      <c r="G2702" s="1" t="s">
        <v>6096</v>
      </c>
      <c r="H2702" s="1" t="s">
        <v>6097</v>
      </c>
      <c r="I2702" s="1" t="s">
        <v>1799</v>
      </c>
      <c r="J2702" s="1" t="s">
        <v>56</v>
      </c>
      <c r="K2702" s="1" t="s">
        <v>2892</v>
      </c>
      <c r="L2702" s="1" t="s">
        <v>27</v>
      </c>
      <c r="N2702" s="1" t="s">
        <v>28</v>
      </c>
      <c r="O2702" s="1" t="s">
        <v>57</v>
      </c>
      <c r="P2702" s="1" t="s">
        <v>6098</v>
      </c>
      <c r="Q2702" s="1" t="s">
        <v>6099</v>
      </c>
      <c r="R2702" s="1">
        <v>1.0</v>
      </c>
      <c r="S2702" s="1"/>
    </row>
    <row r="2703" ht="15.75" customHeight="1">
      <c r="A2703" s="1" t="s">
        <v>6259</v>
      </c>
      <c r="B2703" s="1" t="s">
        <v>6260</v>
      </c>
      <c r="C2703" s="1" t="s">
        <v>148</v>
      </c>
      <c r="K2703" s="1" t="s">
        <v>99</v>
      </c>
      <c r="L2703" s="1" t="s">
        <v>27</v>
      </c>
      <c r="N2703" s="1" t="s">
        <v>143</v>
      </c>
      <c r="O2703" s="1" t="s">
        <v>29</v>
      </c>
      <c r="P2703" s="1" t="s">
        <v>6092</v>
      </c>
      <c r="Q2703" s="1" t="s">
        <v>6093</v>
      </c>
      <c r="R2703" s="1">
        <v>0.0</v>
      </c>
      <c r="S2703" s="1" t="str">
        <f>IFERROR(__xludf.DUMMYFUNCTION("""COMPUTED_VALUE"""),"")</f>
        <v/>
      </c>
    </row>
    <row r="2704" ht="15.75" customHeight="1">
      <c r="A2704" s="1" t="s">
        <v>6261</v>
      </c>
      <c r="B2704" s="1" t="s">
        <v>6262</v>
      </c>
      <c r="C2704" s="1" t="s">
        <v>38</v>
      </c>
      <c r="E2704" s="1">
        <v>28.7319909</v>
      </c>
      <c r="F2704" s="1">
        <v>77.770132</v>
      </c>
      <c r="G2704" s="1" t="s">
        <v>6096</v>
      </c>
      <c r="H2704" s="1" t="s">
        <v>6097</v>
      </c>
      <c r="I2704" s="1" t="s">
        <v>1799</v>
      </c>
      <c r="J2704" s="1" t="s">
        <v>56</v>
      </c>
      <c r="K2704" s="1" t="s">
        <v>2892</v>
      </c>
      <c r="L2704" s="1" t="s">
        <v>27</v>
      </c>
      <c r="N2704" s="1" t="s">
        <v>28</v>
      </c>
      <c r="O2704" s="1" t="s">
        <v>57</v>
      </c>
      <c r="P2704" s="1" t="s">
        <v>6098</v>
      </c>
      <c r="Q2704" s="1" t="s">
        <v>6099</v>
      </c>
      <c r="R2704" s="1">
        <v>1.0</v>
      </c>
      <c r="S2704" s="1"/>
    </row>
    <row r="2705" ht="15.75" customHeight="1">
      <c r="A2705" s="1" t="s">
        <v>6263</v>
      </c>
      <c r="B2705" s="1" t="s">
        <v>6264</v>
      </c>
      <c r="C2705" s="1" t="s">
        <v>148</v>
      </c>
      <c r="K2705" s="1" t="s">
        <v>99</v>
      </c>
      <c r="L2705" s="1" t="s">
        <v>27</v>
      </c>
      <c r="N2705" s="1" t="s">
        <v>143</v>
      </c>
      <c r="O2705" s="1" t="s">
        <v>29</v>
      </c>
      <c r="P2705" s="1" t="s">
        <v>6092</v>
      </c>
      <c r="Q2705" s="1" t="s">
        <v>6093</v>
      </c>
      <c r="R2705" s="1">
        <v>0.0</v>
      </c>
      <c r="S2705" s="1"/>
    </row>
    <row r="2706" ht="15.75" customHeight="1">
      <c r="A2706" s="1" t="s">
        <v>6265</v>
      </c>
      <c r="B2706" s="1" t="s">
        <v>6266</v>
      </c>
      <c r="C2706" s="1" t="s">
        <v>148</v>
      </c>
      <c r="K2706" s="1" t="s">
        <v>99</v>
      </c>
      <c r="L2706" s="1" t="s">
        <v>27</v>
      </c>
      <c r="N2706" s="1" t="s">
        <v>143</v>
      </c>
      <c r="O2706" s="1" t="s">
        <v>29</v>
      </c>
      <c r="P2706" s="1" t="s">
        <v>6092</v>
      </c>
      <c r="Q2706" s="1" t="s">
        <v>6093</v>
      </c>
      <c r="R2706" s="1">
        <v>0.0</v>
      </c>
      <c r="S2706" s="1"/>
    </row>
    <row r="2707" ht="15.75" customHeight="1">
      <c r="A2707" s="1" t="s">
        <v>6267</v>
      </c>
      <c r="B2707" s="1" t="s">
        <v>6268</v>
      </c>
      <c r="C2707" s="1" t="s">
        <v>148</v>
      </c>
      <c r="K2707" s="1" t="s">
        <v>99</v>
      </c>
      <c r="L2707" s="1" t="s">
        <v>27</v>
      </c>
      <c r="N2707" s="1" t="s">
        <v>143</v>
      </c>
      <c r="O2707" s="1" t="s">
        <v>29</v>
      </c>
      <c r="P2707" s="1" t="s">
        <v>6092</v>
      </c>
      <c r="Q2707" s="1" t="s">
        <v>6093</v>
      </c>
      <c r="R2707" s="1">
        <v>0.0</v>
      </c>
      <c r="S2707" s="1"/>
    </row>
    <row r="2708" ht="15.75" customHeight="1">
      <c r="A2708" s="1" t="s">
        <v>1846</v>
      </c>
      <c r="B2708" s="1" t="s">
        <v>1845</v>
      </c>
      <c r="C2708" s="1" t="s">
        <v>38</v>
      </c>
      <c r="K2708" s="1" t="s">
        <v>99</v>
      </c>
      <c r="L2708" s="1" t="s">
        <v>27</v>
      </c>
      <c r="N2708" s="1" t="s">
        <v>28</v>
      </c>
      <c r="O2708" s="1" t="s">
        <v>29</v>
      </c>
      <c r="P2708" s="1" t="s">
        <v>6092</v>
      </c>
      <c r="Q2708" s="1" t="s">
        <v>6093</v>
      </c>
      <c r="R2708" s="1">
        <v>0.0</v>
      </c>
      <c r="S2708" s="1" t="str">
        <f>IFERROR(__xludf.DUMMYFUNCTION("""COMPUTED_VALUE"""),"")</f>
        <v/>
      </c>
    </row>
    <row r="2709" ht="15.75" customHeight="1">
      <c r="A2709" s="1" t="s">
        <v>6269</v>
      </c>
      <c r="B2709" s="1" t="s">
        <v>6270</v>
      </c>
      <c r="C2709" s="1" t="s">
        <v>38</v>
      </c>
      <c r="K2709" s="1" t="s">
        <v>99</v>
      </c>
      <c r="L2709" s="1" t="s">
        <v>27</v>
      </c>
      <c r="N2709" s="1" t="s">
        <v>28</v>
      </c>
      <c r="O2709" s="1" t="s">
        <v>29</v>
      </c>
      <c r="P2709" s="1" t="s">
        <v>6092</v>
      </c>
      <c r="Q2709" s="1" t="s">
        <v>6093</v>
      </c>
      <c r="R2709" s="1">
        <v>0.0</v>
      </c>
      <c r="S2709" s="1"/>
    </row>
    <row r="2710" ht="15.75" customHeight="1">
      <c r="A2710" s="1" t="s">
        <v>6271</v>
      </c>
      <c r="B2710" s="1" t="s">
        <v>6272</v>
      </c>
      <c r="C2710" s="1" t="s">
        <v>38</v>
      </c>
      <c r="E2710" s="1">
        <v>28.5703232</v>
      </c>
      <c r="F2710" s="1">
        <v>77.3257101</v>
      </c>
      <c r="G2710" s="1" t="s">
        <v>6096</v>
      </c>
      <c r="H2710" s="1" t="s">
        <v>6097</v>
      </c>
      <c r="I2710" s="1" t="s">
        <v>1799</v>
      </c>
      <c r="J2710" s="1" t="s">
        <v>56</v>
      </c>
      <c r="K2710" s="1" t="s">
        <v>2892</v>
      </c>
      <c r="L2710" s="1" t="s">
        <v>27</v>
      </c>
      <c r="N2710" s="1" t="s">
        <v>28</v>
      </c>
      <c r="O2710" s="1" t="s">
        <v>57</v>
      </c>
      <c r="P2710" s="1" t="s">
        <v>6098</v>
      </c>
      <c r="Q2710" s="1" t="s">
        <v>6099</v>
      </c>
      <c r="R2710" s="1">
        <v>8.0</v>
      </c>
      <c r="S2710" s="1"/>
    </row>
    <row r="2711" ht="15.75" customHeight="1">
      <c r="A2711" s="1" t="s">
        <v>6273</v>
      </c>
      <c r="B2711" s="1" t="s">
        <v>6274</v>
      </c>
      <c r="C2711" s="1" t="s">
        <v>787</v>
      </c>
      <c r="K2711" s="1" t="s">
        <v>99</v>
      </c>
      <c r="L2711" s="1" t="s">
        <v>27</v>
      </c>
      <c r="N2711" s="1" t="s">
        <v>28</v>
      </c>
      <c r="O2711" s="1" t="s">
        <v>29</v>
      </c>
      <c r="P2711" s="1" t="s">
        <v>6092</v>
      </c>
      <c r="Q2711" s="1" t="s">
        <v>6093</v>
      </c>
      <c r="R2711" s="1">
        <v>0.0</v>
      </c>
      <c r="S2711" s="1"/>
    </row>
    <row r="2712" ht="15.75" customHeight="1">
      <c r="A2712" s="1" t="s">
        <v>6275</v>
      </c>
      <c r="B2712" s="1" t="s">
        <v>6276</v>
      </c>
      <c r="C2712" s="1" t="s">
        <v>3683</v>
      </c>
      <c r="K2712" s="1" t="s">
        <v>99</v>
      </c>
      <c r="L2712" s="1" t="s">
        <v>27</v>
      </c>
      <c r="N2712" s="1" t="s">
        <v>28</v>
      </c>
      <c r="O2712" s="1" t="s">
        <v>29</v>
      </c>
      <c r="P2712" s="1" t="s">
        <v>6092</v>
      </c>
      <c r="Q2712" s="1" t="s">
        <v>6093</v>
      </c>
      <c r="R2712" s="1">
        <v>0.0</v>
      </c>
      <c r="S2712" s="1"/>
    </row>
    <row r="2713" ht="15.75" customHeight="1">
      <c r="A2713" s="1" t="s">
        <v>1831</v>
      </c>
      <c r="B2713" s="1" t="s">
        <v>1830</v>
      </c>
      <c r="C2713" s="1" t="s">
        <v>1832</v>
      </c>
      <c r="K2713" s="1" t="s">
        <v>99</v>
      </c>
      <c r="L2713" s="1" t="s">
        <v>27</v>
      </c>
      <c r="N2713" s="1" t="s">
        <v>28</v>
      </c>
      <c r="O2713" s="1" t="s">
        <v>29</v>
      </c>
      <c r="P2713" s="1" t="s">
        <v>6092</v>
      </c>
      <c r="Q2713" s="1" t="s">
        <v>6093</v>
      </c>
      <c r="R2713" s="1">
        <v>0.0</v>
      </c>
      <c r="S2713" s="1" t="str">
        <f>IFERROR(__xludf.DUMMYFUNCTION("""COMPUTED_VALUE"""),"")</f>
        <v/>
      </c>
    </row>
    <row r="2714" ht="15.75" customHeight="1">
      <c r="A2714" s="1" t="s">
        <v>6277</v>
      </c>
      <c r="B2714" s="1" t="s">
        <v>6278</v>
      </c>
      <c r="C2714" s="1" t="s">
        <v>4827</v>
      </c>
      <c r="K2714" s="1" t="s">
        <v>99</v>
      </c>
      <c r="L2714" s="1" t="s">
        <v>27</v>
      </c>
      <c r="N2714" s="1" t="s">
        <v>28</v>
      </c>
      <c r="O2714" s="1" t="s">
        <v>29</v>
      </c>
      <c r="P2714" s="1" t="s">
        <v>6092</v>
      </c>
      <c r="Q2714" s="1" t="s">
        <v>6093</v>
      </c>
      <c r="R2714" s="1">
        <v>0.0</v>
      </c>
      <c r="S2714" s="1"/>
    </row>
    <row r="2715" ht="15.75" customHeight="1">
      <c r="A2715" s="1" t="s">
        <v>6279</v>
      </c>
      <c r="B2715" s="1" t="s">
        <v>6280</v>
      </c>
      <c r="C2715" s="1" t="s">
        <v>1005</v>
      </c>
      <c r="K2715" s="1" t="s">
        <v>99</v>
      </c>
      <c r="L2715" s="1" t="s">
        <v>27</v>
      </c>
      <c r="N2715" s="1" t="s">
        <v>123</v>
      </c>
      <c r="O2715" s="1" t="s">
        <v>29</v>
      </c>
      <c r="P2715" s="1" t="s">
        <v>6092</v>
      </c>
      <c r="Q2715" s="1" t="s">
        <v>6093</v>
      </c>
      <c r="R2715" s="1">
        <v>0.0</v>
      </c>
      <c r="S2715" s="1"/>
    </row>
    <row r="2716" ht="15.75" customHeight="1">
      <c r="A2716" s="1" t="s">
        <v>6281</v>
      </c>
      <c r="B2716" s="1" t="s">
        <v>6282</v>
      </c>
      <c r="C2716" s="1" t="s">
        <v>3624</v>
      </c>
      <c r="K2716" s="1" t="s">
        <v>99</v>
      </c>
      <c r="L2716" s="1" t="s">
        <v>27</v>
      </c>
      <c r="N2716" s="1" t="s">
        <v>28</v>
      </c>
      <c r="O2716" s="1" t="s">
        <v>29</v>
      </c>
      <c r="P2716" s="1" t="s">
        <v>6092</v>
      </c>
      <c r="Q2716" s="1" t="s">
        <v>6093</v>
      </c>
      <c r="R2716" s="1">
        <v>0.0</v>
      </c>
      <c r="S2716" s="1"/>
    </row>
    <row r="2717" ht="15.75" customHeight="1">
      <c r="A2717" s="1" t="s">
        <v>6283</v>
      </c>
      <c r="B2717" s="1" t="s">
        <v>6284</v>
      </c>
      <c r="C2717" s="1" t="s">
        <v>4805</v>
      </c>
      <c r="K2717" s="1" t="s">
        <v>99</v>
      </c>
      <c r="L2717" s="1" t="s">
        <v>27</v>
      </c>
      <c r="N2717" s="1" t="s">
        <v>28</v>
      </c>
      <c r="O2717" s="1" t="s">
        <v>29</v>
      </c>
      <c r="P2717" s="1" t="s">
        <v>6092</v>
      </c>
      <c r="Q2717" s="1" t="s">
        <v>6093</v>
      </c>
      <c r="R2717" s="1">
        <v>0.0</v>
      </c>
      <c r="S2717" s="1"/>
    </row>
    <row r="2718" ht="15.75" customHeight="1">
      <c r="A2718" s="1" t="s">
        <v>6285</v>
      </c>
      <c r="B2718" s="1" t="s">
        <v>6286</v>
      </c>
      <c r="C2718" s="1" t="s">
        <v>4850</v>
      </c>
      <c r="K2718" s="1" t="s">
        <v>99</v>
      </c>
      <c r="L2718" s="1" t="s">
        <v>27</v>
      </c>
      <c r="N2718" s="1" t="s">
        <v>532</v>
      </c>
      <c r="O2718" s="1" t="s">
        <v>29</v>
      </c>
      <c r="P2718" s="1" t="s">
        <v>6092</v>
      </c>
      <c r="Q2718" s="1" t="s">
        <v>6093</v>
      </c>
      <c r="R2718" s="1">
        <v>0.0</v>
      </c>
      <c r="S2718" s="1"/>
    </row>
    <row r="2719" ht="15.75" customHeight="1">
      <c r="A2719" s="1" t="s">
        <v>6287</v>
      </c>
      <c r="B2719" s="1" t="s">
        <v>6288</v>
      </c>
      <c r="C2719" s="1" t="s">
        <v>6289</v>
      </c>
      <c r="K2719" s="1" t="s">
        <v>99</v>
      </c>
      <c r="L2719" s="1" t="s">
        <v>27</v>
      </c>
      <c r="N2719" s="1" t="s">
        <v>1874</v>
      </c>
      <c r="O2719" s="1" t="s">
        <v>29</v>
      </c>
      <c r="P2719" s="1" t="s">
        <v>6092</v>
      </c>
      <c r="Q2719" s="1" t="s">
        <v>6093</v>
      </c>
      <c r="R2719" s="1">
        <v>0.0</v>
      </c>
      <c r="S2719" s="1"/>
    </row>
    <row r="2720" ht="15.75" customHeight="1">
      <c r="A2720" s="1" t="s">
        <v>1836</v>
      </c>
      <c r="B2720" s="1" t="s">
        <v>1835</v>
      </c>
      <c r="C2720" s="1" t="s">
        <v>162</v>
      </c>
      <c r="K2720" s="1" t="s">
        <v>99</v>
      </c>
      <c r="L2720" s="1" t="s">
        <v>27</v>
      </c>
      <c r="N2720" s="1" t="s">
        <v>163</v>
      </c>
      <c r="O2720" s="1" t="s">
        <v>29</v>
      </c>
      <c r="P2720" s="1" t="s">
        <v>6092</v>
      </c>
      <c r="Q2720" s="1" t="s">
        <v>6093</v>
      </c>
      <c r="R2720" s="1">
        <v>0.0</v>
      </c>
      <c r="S2720" s="1" t="str">
        <f>IFERROR(__xludf.DUMMYFUNCTION("""COMPUTED_VALUE"""),"")</f>
        <v/>
      </c>
    </row>
    <row r="2721" ht="15.75" customHeight="1">
      <c r="A2721" s="1" t="s">
        <v>6290</v>
      </c>
      <c r="B2721" s="1" t="s">
        <v>6291</v>
      </c>
      <c r="C2721" s="1" t="s">
        <v>3185</v>
      </c>
      <c r="K2721" s="1" t="s">
        <v>99</v>
      </c>
      <c r="L2721" s="1" t="s">
        <v>27</v>
      </c>
      <c r="N2721" s="1" t="s">
        <v>163</v>
      </c>
      <c r="O2721" s="1" t="s">
        <v>29</v>
      </c>
      <c r="P2721" s="1" t="s">
        <v>6092</v>
      </c>
      <c r="Q2721" s="1" t="s">
        <v>6093</v>
      </c>
      <c r="R2721" s="1">
        <v>0.0</v>
      </c>
      <c r="S2721" s="1"/>
    </row>
    <row r="2722" ht="15.75" customHeight="1">
      <c r="A2722" s="1" t="s">
        <v>6292</v>
      </c>
      <c r="B2722" s="1" t="s">
        <v>6293</v>
      </c>
      <c r="C2722" s="1" t="s">
        <v>3185</v>
      </c>
      <c r="K2722" s="1" t="s">
        <v>99</v>
      </c>
      <c r="L2722" s="1" t="s">
        <v>27</v>
      </c>
      <c r="N2722" s="1" t="s">
        <v>163</v>
      </c>
      <c r="O2722" s="1" t="s">
        <v>29</v>
      </c>
      <c r="P2722" s="1" t="s">
        <v>6092</v>
      </c>
      <c r="Q2722" s="1" t="s">
        <v>6093</v>
      </c>
      <c r="R2722" s="1">
        <v>0.0</v>
      </c>
      <c r="S2722" s="1"/>
    </row>
    <row r="2723" ht="15.75" customHeight="1">
      <c r="A2723" s="1" t="s">
        <v>6294</v>
      </c>
      <c r="B2723" s="1" t="s">
        <v>6295</v>
      </c>
      <c r="C2723" s="1" t="s">
        <v>259</v>
      </c>
      <c r="K2723" s="1" t="s">
        <v>99</v>
      </c>
      <c r="L2723" s="1" t="s">
        <v>27</v>
      </c>
      <c r="N2723" s="1" t="s">
        <v>163</v>
      </c>
      <c r="O2723" s="1" t="s">
        <v>29</v>
      </c>
      <c r="P2723" s="1" t="s">
        <v>6092</v>
      </c>
      <c r="Q2723" s="1" t="s">
        <v>6093</v>
      </c>
      <c r="R2723" s="1">
        <v>0.0</v>
      </c>
      <c r="S2723" s="1"/>
    </row>
    <row r="2724" ht="15.75" customHeight="1">
      <c r="A2724" s="1" t="s">
        <v>1879</v>
      </c>
      <c r="B2724" s="1" t="s">
        <v>1877</v>
      </c>
      <c r="C2724" s="1" t="s">
        <v>174</v>
      </c>
      <c r="K2724" s="1" t="s">
        <v>99</v>
      </c>
      <c r="L2724" s="1" t="s">
        <v>27</v>
      </c>
      <c r="N2724" s="1" t="s">
        <v>174</v>
      </c>
      <c r="O2724" s="1" t="s">
        <v>29</v>
      </c>
      <c r="P2724" s="1" t="s">
        <v>6092</v>
      </c>
      <c r="Q2724" s="1" t="s">
        <v>6093</v>
      </c>
      <c r="R2724" s="1">
        <v>0.0</v>
      </c>
      <c r="S2724" s="1" t="str">
        <f>IFERROR(__xludf.DUMMYFUNCTION("""COMPUTED_VALUE"""),"")</f>
        <v/>
      </c>
    </row>
    <row r="2725" ht="15.75" customHeight="1">
      <c r="A2725" s="1" t="s">
        <v>6296</v>
      </c>
      <c r="B2725" s="1" t="s">
        <v>6297</v>
      </c>
      <c r="C2725" s="1" t="s">
        <v>174</v>
      </c>
      <c r="K2725" s="1" t="s">
        <v>99</v>
      </c>
      <c r="L2725" s="1" t="s">
        <v>27</v>
      </c>
      <c r="N2725" s="1" t="s">
        <v>174</v>
      </c>
      <c r="O2725" s="1" t="s">
        <v>29</v>
      </c>
      <c r="P2725" s="1" t="s">
        <v>6092</v>
      </c>
      <c r="Q2725" s="1" t="s">
        <v>6093</v>
      </c>
      <c r="R2725" s="1">
        <v>0.0</v>
      </c>
      <c r="S2725" s="1"/>
    </row>
    <row r="2726" ht="15.75" customHeight="1">
      <c r="A2726" s="1" t="s">
        <v>1872</v>
      </c>
      <c r="B2726" s="1" t="s">
        <v>1871</v>
      </c>
      <c r="C2726" s="1" t="s">
        <v>174</v>
      </c>
      <c r="K2726" s="1" t="s">
        <v>99</v>
      </c>
      <c r="L2726" s="1" t="s">
        <v>27</v>
      </c>
      <c r="N2726" s="1" t="s">
        <v>174</v>
      </c>
      <c r="O2726" s="1" t="s">
        <v>29</v>
      </c>
      <c r="P2726" s="1" t="s">
        <v>6092</v>
      </c>
      <c r="Q2726" s="1" t="s">
        <v>6093</v>
      </c>
      <c r="R2726" s="1">
        <v>0.0</v>
      </c>
      <c r="S2726" s="1" t="str">
        <f>IFERROR(__xludf.DUMMYFUNCTION("""COMPUTED_VALUE"""),"")</f>
        <v/>
      </c>
    </row>
    <row r="2727" ht="15.75" customHeight="1">
      <c r="A2727" s="1" t="s">
        <v>1884</v>
      </c>
      <c r="B2727" s="1" t="s">
        <v>1882</v>
      </c>
      <c r="C2727" s="1" t="s">
        <v>1883</v>
      </c>
      <c r="K2727" s="1" t="s">
        <v>99</v>
      </c>
      <c r="L2727" s="1" t="s">
        <v>27</v>
      </c>
      <c r="N2727" s="1" t="s">
        <v>123</v>
      </c>
      <c r="O2727" s="1" t="s">
        <v>29</v>
      </c>
      <c r="P2727" s="1" t="s">
        <v>6092</v>
      </c>
      <c r="Q2727" s="1" t="s">
        <v>6093</v>
      </c>
      <c r="R2727" s="1">
        <v>0.0</v>
      </c>
      <c r="S2727" s="1" t="str">
        <f>IFERROR(__xludf.DUMMYFUNCTION("""COMPUTED_VALUE"""),"")</f>
        <v/>
      </c>
    </row>
    <row r="2728" ht="15.75" customHeight="1">
      <c r="A2728" s="1" t="s">
        <v>6298</v>
      </c>
      <c r="B2728" s="1" t="s">
        <v>6299</v>
      </c>
      <c r="C2728" s="1" t="s">
        <v>1786</v>
      </c>
      <c r="K2728" s="1" t="s">
        <v>99</v>
      </c>
      <c r="L2728" s="1" t="s">
        <v>27</v>
      </c>
      <c r="N2728" s="1" t="s">
        <v>1874</v>
      </c>
      <c r="O2728" s="1" t="s">
        <v>29</v>
      </c>
      <c r="P2728" s="1" t="s">
        <v>6092</v>
      </c>
      <c r="Q2728" s="1" t="s">
        <v>6093</v>
      </c>
      <c r="R2728" s="1">
        <v>0.0</v>
      </c>
      <c r="S2728" s="1"/>
    </row>
    <row r="2729" ht="15.75" customHeight="1">
      <c r="A2729" s="1" t="s">
        <v>6300</v>
      </c>
      <c r="B2729" s="1" t="s">
        <v>6301</v>
      </c>
      <c r="C2729" s="1" t="s">
        <v>3961</v>
      </c>
      <c r="K2729" s="1" t="s">
        <v>99</v>
      </c>
      <c r="L2729" s="1" t="s">
        <v>27</v>
      </c>
      <c r="N2729" s="1" t="s">
        <v>1874</v>
      </c>
      <c r="O2729" s="1" t="s">
        <v>29</v>
      </c>
      <c r="P2729" s="1" t="s">
        <v>6092</v>
      </c>
      <c r="Q2729" s="1" t="s">
        <v>6093</v>
      </c>
      <c r="R2729" s="1">
        <v>0.0</v>
      </c>
      <c r="S2729" s="1"/>
    </row>
    <row r="2730" ht="15.75" customHeight="1">
      <c r="A2730" s="1" t="s">
        <v>6302</v>
      </c>
      <c r="B2730" s="1" t="s">
        <v>6303</v>
      </c>
      <c r="C2730" s="1" t="s">
        <v>1786</v>
      </c>
      <c r="K2730" s="1" t="s">
        <v>99</v>
      </c>
      <c r="L2730" s="1" t="s">
        <v>27</v>
      </c>
      <c r="N2730" s="1" t="s">
        <v>1874</v>
      </c>
      <c r="O2730" s="1" t="s">
        <v>29</v>
      </c>
      <c r="P2730" s="1" t="s">
        <v>6092</v>
      </c>
      <c r="Q2730" s="1" t="s">
        <v>6093</v>
      </c>
      <c r="R2730" s="1">
        <v>0.0</v>
      </c>
      <c r="S2730" s="1"/>
    </row>
    <row r="2731" ht="15.75" customHeight="1">
      <c r="A2731" s="1" t="s">
        <v>6304</v>
      </c>
      <c r="B2731" s="1" t="s">
        <v>6305</v>
      </c>
      <c r="C2731" s="1" t="s">
        <v>549</v>
      </c>
      <c r="K2731" s="1" t="s">
        <v>99</v>
      </c>
      <c r="L2731" s="1" t="s">
        <v>27</v>
      </c>
      <c r="N2731" s="1" t="s">
        <v>549</v>
      </c>
      <c r="O2731" s="1" t="s">
        <v>29</v>
      </c>
      <c r="P2731" s="1" t="s">
        <v>6092</v>
      </c>
      <c r="Q2731" s="1" t="s">
        <v>6093</v>
      </c>
      <c r="R2731" s="1">
        <v>0.0</v>
      </c>
      <c r="S2731" s="1"/>
    </row>
    <row r="2732" ht="15.75" customHeight="1">
      <c r="A2732" s="1" t="s">
        <v>6306</v>
      </c>
      <c r="B2732" s="1" t="s">
        <v>6307</v>
      </c>
      <c r="C2732" s="1" t="s">
        <v>549</v>
      </c>
      <c r="K2732" s="1" t="s">
        <v>99</v>
      </c>
      <c r="L2732" s="1" t="s">
        <v>27</v>
      </c>
      <c r="N2732" s="1" t="s">
        <v>549</v>
      </c>
      <c r="O2732" s="1" t="s">
        <v>29</v>
      </c>
      <c r="P2732" s="1" t="s">
        <v>6092</v>
      </c>
      <c r="Q2732" s="1" t="s">
        <v>6093</v>
      </c>
      <c r="R2732" s="1">
        <v>0.0</v>
      </c>
      <c r="S2732" s="1"/>
    </row>
    <row r="2733" ht="15.75" customHeight="1">
      <c r="A2733" s="1" t="s">
        <v>6308</v>
      </c>
      <c r="B2733" s="1" t="s">
        <v>6309</v>
      </c>
      <c r="C2733" s="1" t="s">
        <v>1949</v>
      </c>
      <c r="K2733" s="1" t="s">
        <v>99</v>
      </c>
      <c r="L2733" s="1" t="s">
        <v>27</v>
      </c>
      <c r="N2733" s="1" t="s">
        <v>1950</v>
      </c>
      <c r="O2733" s="1" t="s">
        <v>29</v>
      </c>
      <c r="P2733" s="1" t="s">
        <v>6092</v>
      </c>
      <c r="Q2733" s="1" t="s">
        <v>6093</v>
      </c>
      <c r="R2733" s="1">
        <v>0.0</v>
      </c>
      <c r="S2733" s="1"/>
    </row>
    <row r="2734" ht="15.75" customHeight="1">
      <c r="A2734" s="1" t="s">
        <v>6310</v>
      </c>
      <c r="B2734" s="1" t="s">
        <v>6311</v>
      </c>
      <c r="C2734" s="1" t="s">
        <v>1949</v>
      </c>
      <c r="K2734" s="1" t="s">
        <v>99</v>
      </c>
      <c r="L2734" s="1" t="s">
        <v>27</v>
      </c>
      <c r="N2734" s="1" t="s">
        <v>1950</v>
      </c>
      <c r="O2734" s="1" t="s">
        <v>29</v>
      </c>
      <c r="P2734" s="1" t="s">
        <v>6092</v>
      </c>
      <c r="Q2734" s="1" t="s">
        <v>6093</v>
      </c>
      <c r="R2734" s="1">
        <v>0.0</v>
      </c>
      <c r="S2734" s="1"/>
    </row>
    <row r="2735" ht="15.75" customHeight="1">
      <c r="A2735" s="1" t="s">
        <v>6312</v>
      </c>
      <c r="B2735" s="1" t="s">
        <v>6313</v>
      </c>
      <c r="C2735" s="1" t="s">
        <v>5344</v>
      </c>
      <c r="K2735" s="1" t="s">
        <v>99</v>
      </c>
      <c r="L2735" s="1" t="s">
        <v>27</v>
      </c>
      <c r="N2735" s="1" t="s">
        <v>5345</v>
      </c>
      <c r="O2735" s="1" t="s">
        <v>29</v>
      </c>
      <c r="P2735" s="1" t="s">
        <v>6092</v>
      </c>
      <c r="Q2735" s="1" t="s">
        <v>6093</v>
      </c>
      <c r="R2735" s="1">
        <v>0.0</v>
      </c>
      <c r="S2735" s="1"/>
    </row>
    <row r="2736" ht="15.75" customHeight="1">
      <c r="A2736" s="1" t="s">
        <v>1852</v>
      </c>
      <c r="B2736" s="1" t="s">
        <v>1851</v>
      </c>
      <c r="C2736" s="1" t="s">
        <v>617</v>
      </c>
      <c r="K2736" s="1" t="s">
        <v>99</v>
      </c>
      <c r="L2736" s="1" t="s">
        <v>27</v>
      </c>
      <c r="N2736" s="1" t="s">
        <v>28</v>
      </c>
      <c r="O2736" s="1" t="s">
        <v>29</v>
      </c>
      <c r="P2736" s="1" t="s">
        <v>6092</v>
      </c>
      <c r="Q2736" s="1" t="s">
        <v>6093</v>
      </c>
      <c r="R2736" s="1">
        <v>0.0</v>
      </c>
      <c r="S2736" s="1" t="str">
        <f>IFERROR(__xludf.DUMMYFUNCTION("""COMPUTED_VALUE"""),"")</f>
        <v/>
      </c>
    </row>
    <row r="2737" ht="15.75" customHeight="1">
      <c r="A2737" s="1" t="s">
        <v>6314</v>
      </c>
      <c r="B2737" s="1" t="s">
        <v>6315</v>
      </c>
      <c r="C2737" s="1" t="s">
        <v>617</v>
      </c>
      <c r="K2737" s="1" t="s">
        <v>99</v>
      </c>
      <c r="L2737" s="1" t="s">
        <v>27</v>
      </c>
      <c r="N2737" s="1" t="s">
        <v>28</v>
      </c>
      <c r="O2737" s="1" t="s">
        <v>29</v>
      </c>
      <c r="P2737" s="1" t="s">
        <v>6092</v>
      </c>
      <c r="Q2737" s="1" t="s">
        <v>6093</v>
      </c>
      <c r="R2737" s="1">
        <v>0.0</v>
      </c>
      <c r="S2737" s="1"/>
    </row>
    <row r="2738" ht="15.75" customHeight="1">
      <c r="A2738" s="1" t="s">
        <v>6316</v>
      </c>
      <c r="B2738" s="1" t="s">
        <v>6317</v>
      </c>
      <c r="C2738" s="1" t="s">
        <v>174</v>
      </c>
      <c r="K2738" s="1" t="s">
        <v>99</v>
      </c>
      <c r="L2738" s="1" t="s">
        <v>27</v>
      </c>
      <c r="N2738" s="1" t="s">
        <v>174</v>
      </c>
      <c r="O2738" s="1" t="s">
        <v>29</v>
      </c>
      <c r="P2738" s="1" t="s">
        <v>6092</v>
      </c>
      <c r="Q2738" s="1" t="s">
        <v>6093</v>
      </c>
      <c r="R2738" s="1">
        <v>0.0</v>
      </c>
      <c r="S2738" s="1"/>
    </row>
    <row r="2739" ht="15.75" customHeight="1">
      <c r="A2739" s="1" t="s">
        <v>6318</v>
      </c>
      <c r="B2739" s="1" t="s">
        <v>6319</v>
      </c>
      <c r="C2739" s="1" t="s">
        <v>1716</v>
      </c>
      <c r="K2739" s="1" t="s">
        <v>99</v>
      </c>
      <c r="L2739" s="1" t="s">
        <v>27</v>
      </c>
      <c r="N2739" s="1" t="s">
        <v>163</v>
      </c>
      <c r="O2739" s="1" t="s">
        <v>29</v>
      </c>
      <c r="P2739" s="1" t="s">
        <v>6092</v>
      </c>
      <c r="Q2739" s="1" t="s">
        <v>6093</v>
      </c>
      <c r="R2739" s="1">
        <v>0.0</v>
      </c>
      <c r="S2739" s="1"/>
    </row>
    <row r="2740" ht="15.75" customHeight="1">
      <c r="A2740" s="1" t="s">
        <v>6320</v>
      </c>
      <c r="B2740" s="1" t="s">
        <v>6321</v>
      </c>
      <c r="C2740" s="1" t="s">
        <v>1716</v>
      </c>
      <c r="K2740" s="1" t="s">
        <v>99</v>
      </c>
      <c r="L2740" s="1" t="s">
        <v>27</v>
      </c>
      <c r="N2740" s="1" t="s">
        <v>163</v>
      </c>
      <c r="O2740" s="1" t="s">
        <v>29</v>
      </c>
      <c r="P2740" s="1" t="s">
        <v>6138</v>
      </c>
      <c r="Q2740" s="1" t="s">
        <v>6139</v>
      </c>
      <c r="R2740" s="1">
        <v>0.0</v>
      </c>
      <c r="S2740" s="1"/>
    </row>
    <row r="2741" ht="15.75" customHeight="1">
      <c r="A2741" s="1" t="s">
        <v>6322</v>
      </c>
      <c r="B2741" s="1" t="s">
        <v>6323</v>
      </c>
      <c r="C2741" s="1" t="s">
        <v>1716</v>
      </c>
      <c r="K2741" s="1" t="s">
        <v>99</v>
      </c>
      <c r="L2741" s="1" t="s">
        <v>27</v>
      </c>
      <c r="N2741" s="1" t="s">
        <v>163</v>
      </c>
      <c r="O2741" s="1" t="s">
        <v>29</v>
      </c>
      <c r="P2741" s="1" t="s">
        <v>6138</v>
      </c>
      <c r="Q2741" s="1" t="s">
        <v>6139</v>
      </c>
      <c r="R2741" s="1">
        <v>0.0</v>
      </c>
      <c r="S2741" s="1"/>
    </row>
    <row r="2742" ht="15.75" customHeight="1">
      <c r="A2742" s="1" t="s">
        <v>6324</v>
      </c>
      <c r="B2742" s="1" t="s">
        <v>6325</v>
      </c>
      <c r="C2742" s="1" t="s">
        <v>617</v>
      </c>
      <c r="K2742" s="1" t="s">
        <v>99</v>
      </c>
      <c r="L2742" s="1" t="s">
        <v>27</v>
      </c>
      <c r="N2742" s="1" t="s">
        <v>28</v>
      </c>
      <c r="O2742" s="1" t="s">
        <v>29</v>
      </c>
      <c r="P2742" s="1" t="s">
        <v>6138</v>
      </c>
      <c r="Q2742" s="1" t="s">
        <v>6139</v>
      </c>
      <c r="R2742" s="1">
        <v>0.0</v>
      </c>
      <c r="S2742" s="1"/>
    </row>
    <row r="2743" ht="15.75" customHeight="1">
      <c r="A2743" s="1" t="s">
        <v>6326</v>
      </c>
      <c r="B2743" s="1" t="s">
        <v>6327</v>
      </c>
      <c r="C2743" s="1" t="s">
        <v>746</v>
      </c>
      <c r="E2743" s="1">
        <v>25.3507382</v>
      </c>
      <c r="F2743" s="1">
        <v>82.99595630000002</v>
      </c>
      <c r="G2743" s="1" t="s">
        <v>6096</v>
      </c>
      <c r="H2743" s="1" t="s">
        <v>6097</v>
      </c>
      <c r="I2743" s="1" t="s">
        <v>1799</v>
      </c>
      <c r="K2743" s="1" t="s">
        <v>2892</v>
      </c>
      <c r="L2743" s="1" t="s">
        <v>27</v>
      </c>
      <c r="N2743" s="1" t="s">
        <v>28</v>
      </c>
      <c r="O2743" s="1" t="s">
        <v>57</v>
      </c>
      <c r="P2743" s="1" t="s">
        <v>6132</v>
      </c>
      <c r="Q2743" s="1" t="s">
        <v>6133</v>
      </c>
      <c r="R2743" s="1">
        <v>1.0</v>
      </c>
      <c r="S2743" s="1"/>
    </row>
    <row r="2744" ht="15.75" customHeight="1">
      <c r="A2744" s="1" t="s">
        <v>6328</v>
      </c>
      <c r="B2744" s="1" t="s">
        <v>6329</v>
      </c>
      <c r="C2744" s="1" t="s">
        <v>185</v>
      </c>
      <c r="K2744" s="1" t="s">
        <v>99</v>
      </c>
      <c r="L2744" s="1" t="s">
        <v>27</v>
      </c>
      <c r="N2744" s="1" t="s">
        <v>186</v>
      </c>
      <c r="O2744" s="1" t="s">
        <v>29</v>
      </c>
      <c r="P2744" s="1" t="s">
        <v>6138</v>
      </c>
      <c r="Q2744" s="1" t="s">
        <v>6139</v>
      </c>
      <c r="R2744" s="1">
        <v>0.0</v>
      </c>
      <c r="S2744" s="1"/>
    </row>
    <row r="2745" ht="15.75" customHeight="1">
      <c r="A2745" s="1" t="s">
        <v>6330</v>
      </c>
      <c r="B2745" s="1" t="s">
        <v>6331</v>
      </c>
      <c r="C2745" s="1" t="s">
        <v>746</v>
      </c>
      <c r="E2745" s="1">
        <v>25.3577068</v>
      </c>
      <c r="F2745" s="1">
        <v>82.9650939</v>
      </c>
      <c r="G2745" s="1" t="s">
        <v>6096</v>
      </c>
      <c r="H2745" s="1" t="s">
        <v>6097</v>
      </c>
      <c r="I2745" s="1" t="s">
        <v>1799</v>
      </c>
      <c r="K2745" s="1" t="s">
        <v>2892</v>
      </c>
      <c r="L2745" s="1" t="s">
        <v>27</v>
      </c>
      <c r="N2745" s="1" t="s">
        <v>28</v>
      </c>
      <c r="O2745" s="1" t="s">
        <v>57</v>
      </c>
      <c r="P2745" s="1" t="s">
        <v>6132</v>
      </c>
      <c r="Q2745" s="1" t="s">
        <v>6133</v>
      </c>
      <c r="R2745" s="1">
        <v>1.0</v>
      </c>
      <c r="S2745" s="1"/>
    </row>
    <row r="2746" ht="15.75" customHeight="1">
      <c r="A2746" s="1" t="s">
        <v>6332</v>
      </c>
      <c r="B2746" s="1" t="s">
        <v>6333</v>
      </c>
      <c r="C2746" s="1" t="s">
        <v>2291</v>
      </c>
      <c r="K2746" s="1" t="s">
        <v>99</v>
      </c>
      <c r="L2746" s="1" t="s">
        <v>27</v>
      </c>
      <c r="N2746" s="1" t="s">
        <v>1210</v>
      </c>
      <c r="O2746" s="1" t="s">
        <v>29</v>
      </c>
      <c r="P2746" s="1" t="s">
        <v>6138</v>
      </c>
      <c r="Q2746" s="1" t="s">
        <v>6139</v>
      </c>
      <c r="R2746" s="1">
        <v>0.0</v>
      </c>
      <c r="S2746" s="1"/>
    </row>
    <row r="2747" ht="15.75" customHeight="1">
      <c r="A2747" s="1" t="s">
        <v>6334</v>
      </c>
      <c r="B2747" s="1" t="s">
        <v>6335</v>
      </c>
      <c r="C2747" s="1" t="s">
        <v>2291</v>
      </c>
      <c r="K2747" s="1" t="s">
        <v>99</v>
      </c>
      <c r="L2747" s="1" t="s">
        <v>27</v>
      </c>
      <c r="N2747" s="1" t="s">
        <v>1210</v>
      </c>
      <c r="O2747" s="1" t="s">
        <v>29</v>
      </c>
      <c r="P2747" s="1" t="s">
        <v>6092</v>
      </c>
      <c r="Q2747" s="1" t="s">
        <v>6093</v>
      </c>
      <c r="R2747" s="1">
        <v>0.0</v>
      </c>
      <c r="S2747" s="1"/>
    </row>
    <row r="2748" ht="15.75" customHeight="1">
      <c r="A2748" s="1" t="s">
        <v>6336</v>
      </c>
      <c r="B2748" s="1" t="s">
        <v>6337</v>
      </c>
      <c r="C2748" s="1" t="s">
        <v>1138</v>
      </c>
      <c r="K2748" s="1" t="s">
        <v>99</v>
      </c>
      <c r="L2748" s="1" t="s">
        <v>27</v>
      </c>
      <c r="N2748" s="1" t="s">
        <v>1097</v>
      </c>
      <c r="O2748" s="1" t="s">
        <v>29</v>
      </c>
      <c r="P2748" s="1" t="s">
        <v>6092</v>
      </c>
      <c r="Q2748" s="1" t="s">
        <v>6093</v>
      </c>
      <c r="R2748" s="1">
        <v>0.0</v>
      </c>
      <c r="S2748" s="1"/>
    </row>
    <row r="2749" ht="15.75" customHeight="1">
      <c r="A2749" s="1" t="s">
        <v>6338</v>
      </c>
      <c r="B2749" s="1" t="s">
        <v>6339</v>
      </c>
      <c r="C2749" s="1" t="s">
        <v>746</v>
      </c>
      <c r="E2749" s="1">
        <v>28.6064339</v>
      </c>
      <c r="F2749" s="1">
        <v>77.43959</v>
      </c>
      <c r="G2749" s="1" t="s">
        <v>6096</v>
      </c>
      <c r="H2749" s="1" t="s">
        <v>6097</v>
      </c>
      <c r="I2749" s="1" t="s">
        <v>1799</v>
      </c>
      <c r="K2749" s="1" t="s">
        <v>2892</v>
      </c>
      <c r="L2749" s="1" t="s">
        <v>27</v>
      </c>
      <c r="N2749" s="1" t="s">
        <v>28</v>
      </c>
      <c r="O2749" s="1" t="s">
        <v>57</v>
      </c>
      <c r="P2749" s="1" t="s">
        <v>6138</v>
      </c>
      <c r="Q2749" s="1" t="s">
        <v>6139</v>
      </c>
      <c r="R2749" s="1">
        <v>0.0</v>
      </c>
      <c r="S2749" s="1" t="str">
        <f>IFERROR(__xludf.DUMMYFUNCTION("""COMPUTED_VALUE"""),"store_005382")</f>
        <v>store_005382</v>
      </c>
    </row>
    <row r="2750" ht="15.75" customHeight="1">
      <c r="A2750" s="1" t="s">
        <v>6340</v>
      </c>
      <c r="B2750" s="1" t="s">
        <v>6341</v>
      </c>
      <c r="C2750" s="1" t="s">
        <v>38</v>
      </c>
      <c r="E2750" s="1">
        <v>26.0508707</v>
      </c>
      <c r="F2750" s="1">
        <v>83.16924449999999</v>
      </c>
      <c r="G2750" s="1" t="s">
        <v>6096</v>
      </c>
      <c r="H2750" s="1" t="s">
        <v>6097</v>
      </c>
      <c r="I2750" s="1" t="s">
        <v>1799</v>
      </c>
      <c r="K2750" s="1" t="s">
        <v>2892</v>
      </c>
      <c r="L2750" s="1" t="s">
        <v>27</v>
      </c>
      <c r="N2750" s="1" t="s">
        <v>28</v>
      </c>
      <c r="O2750" s="1" t="s">
        <v>57</v>
      </c>
      <c r="P2750" s="1" t="s">
        <v>6138</v>
      </c>
      <c r="Q2750" s="1" t="s">
        <v>6139</v>
      </c>
      <c r="R2750" s="1">
        <v>0.0</v>
      </c>
      <c r="S2750" s="1" t="str">
        <f>IFERROR(__xludf.DUMMYFUNCTION("""COMPUTED_VALUE"""),"store_005384")</f>
        <v>store_005384</v>
      </c>
    </row>
    <row r="2751" ht="15.75" customHeight="1">
      <c r="A2751" s="1" t="s">
        <v>6342</v>
      </c>
      <c r="B2751" s="1" t="s">
        <v>6343</v>
      </c>
      <c r="C2751" s="1" t="s">
        <v>1716</v>
      </c>
      <c r="E2751" s="1">
        <v>28.4598917</v>
      </c>
      <c r="F2751" s="1">
        <v>77.08348409999999</v>
      </c>
      <c r="G2751" s="1" t="s">
        <v>2511</v>
      </c>
      <c r="H2751" s="1" t="s">
        <v>2512</v>
      </c>
      <c r="J2751" s="1" t="s">
        <v>118</v>
      </c>
      <c r="P2751" s="1" t="s">
        <v>2163</v>
      </c>
      <c r="Q2751" s="1" t="s">
        <v>2164</v>
      </c>
      <c r="R2751" s="1">
        <v>1.0</v>
      </c>
      <c r="S2751" s="1"/>
    </row>
    <row r="2752" ht="15.75" customHeight="1">
      <c r="A2752" s="1" t="s">
        <v>6344</v>
      </c>
      <c r="B2752" s="1" t="s">
        <v>6345</v>
      </c>
      <c r="C2752" s="1" t="s">
        <v>1716</v>
      </c>
      <c r="E2752" s="1">
        <v>28.3836338</v>
      </c>
      <c r="F2752" s="1">
        <v>77.29774599999999</v>
      </c>
      <c r="G2752" s="1" t="s">
        <v>2511</v>
      </c>
      <c r="H2752" s="1" t="s">
        <v>2512</v>
      </c>
      <c r="J2752" s="1" t="s">
        <v>118</v>
      </c>
      <c r="P2752" s="1" t="s">
        <v>2163</v>
      </c>
      <c r="Q2752" s="1" t="s">
        <v>2164</v>
      </c>
      <c r="R2752" s="1">
        <v>2.0</v>
      </c>
      <c r="S2752" s="1"/>
    </row>
    <row r="2753" ht="15.75" customHeight="1">
      <c r="A2753" s="1" t="s">
        <v>1863</v>
      </c>
      <c r="B2753" s="1" t="s">
        <v>1814</v>
      </c>
      <c r="C2753" s="1" t="s">
        <v>174</v>
      </c>
      <c r="E2753" s="1">
        <v>28.457037</v>
      </c>
      <c r="F2753" s="1">
        <v>77.0166798</v>
      </c>
      <c r="G2753" s="1" t="s">
        <v>2511</v>
      </c>
      <c r="H2753" s="1" t="s">
        <v>2512</v>
      </c>
      <c r="J2753" s="1" t="s">
        <v>118</v>
      </c>
      <c r="K2753" s="1" t="s">
        <v>99</v>
      </c>
      <c r="L2753" s="1" t="s">
        <v>27</v>
      </c>
      <c r="N2753" s="1" t="s">
        <v>174</v>
      </c>
      <c r="O2753" s="1" t="s">
        <v>29</v>
      </c>
      <c r="P2753" s="1" t="s">
        <v>2163</v>
      </c>
      <c r="Q2753" s="1" t="s">
        <v>2164</v>
      </c>
      <c r="R2753" s="1">
        <v>1.0</v>
      </c>
      <c r="S2753" s="1" t="str">
        <f>IFERROR(__xludf.DUMMYFUNCTION("""COMPUTED_VALUE"""),"")</f>
        <v/>
      </c>
    </row>
    <row r="2754" ht="15.75" customHeight="1">
      <c r="A2754" s="1" t="s">
        <v>6346</v>
      </c>
      <c r="B2754" s="1" t="s">
        <v>6347</v>
      </c>
      <c r="C2754" s="1" t="s">
        <v>38</v>
      </c>
      <c r="E2754" s="1">
        <v>28.4806144</v>
      </c>
      <c r="F2754" s="1">
        <v>77.09508509999999</v>
      </c>
      <c r="G2754" s="1" t="s">
        <v>2511</v>
      </c>
      <c r="H2754" s="1" t="s">
        <v>2512</v>
      </c>
      <c r="J2754" s="1" t="s">
        <v>44</v>
      </c>
      <c r="K2754" s="1" t="s">
        <v>99</v>
      </c>
      <c r="L2754" s="1" t="s">
        <v>27</v>
      </c>
      <c r="N2754" s="1" t="s">
        <v>28</v>
      </c>
      <c r="O2754" s="1" t="s">
        <v>29</v>
      </c>
      <c r="P2754" s="1" t="s">
        <v>2163</v>
      </c>
      <c r="Q2754" s="1" t="s">
        <v>2164</v>
      </c>
      <c r="R2754" s="1">
        <v>3.0</v>
      </c>
      <c r="S2754" s="1"/>
    </row>
    <row r="2755" ht="15.75" customHeight="1">
      <c r="A2755" s="1" t="s">
        <v>6348</v>
      </c>
      <c r="B2755" s="1" t="s">
        <v>6349</v>
      </c>
      <c r="C2755" s="1" t="s">
        <v>617</v>
      </c>
      <c r="E2755" s="1">
        <v>26.8712534</v>
      </c>
      <c r="F2755" s="1">
        <v>80.9724914</v>
      </c>
      <c r="G2755" s="1" t="s">
        <v>2511</v>
      </c>
      <c r="H2755" s="1" t="s">
        <v>2512</v>
      </c>
      <c r="J2755" s="1" t="s">
        <v>56</v>
      </c>
      <c r="P2755" s="1" t="s">
        <v>733</v>
      </c>
      <c r="Q2755" s="1" t="s">
        <v>734</v>
      </c>
      <c r="R2755" s="1">
        <v>1.0</v>
      </c>
      <c r="S2755" s="1"/>
    </row>
    <row r="2756" ht="15.75" customHeight="1">
      <c r="A2756" s="1" t="s">
        <v>6350</v>
      </c>
      <c r="B2756" s="1" t="s">
        <v>6351</v>
      </c>
      <c r="C2756" s="1" t="s">
        <v>617</v>
      </c>
      <c r="E2756" s="1">
        <v>26.8436388</v>
      </c>
      <c r="F2756" s="1">
        <v>80.9279961</v>
      </c>
      <c r="G2756" s="1" t="s">
        <v>2511</v>
      </c>
      <c r="H2756" s="1" t="s">
        <v>2512</v>
      </c>
      <c r="J2756" s="1" t="s">
        <v>56</v>
      </c>
      <c r="P2756" s="1" t="s">
        <v>733</v>
      </c>
      <c r="Q2756" s="1" t="s">
        <v>734</v>
      </c>
      <c r="R2756" s="1">
        <v>2.0</v>
      </c>
      <c r="S2756" s="1"/>
    </row>
    <row r="2757" ht="15.75" customHeight="1">
      <c r="A2757" s="1" t="s">
        <v>6352</v>
      </c>
      <c r="B2757" s="1" t="s">
        <v>6353</v>
      </c>
      <c r="C2757" s="1" t="s">
        <v>617</v>
      </c>
      <c r="E2757" s="1">
        <v>26.8747019</v>
      </c>
      <c r="F2757" s="1">
        <v>80.99304090000001</v>
      </c>
      <c r="G2757" s="1" t="s">
        <v>2511</v>
      </c>
      <c r="H2757" s="1" t="s">
        <v>2512</v>
      </c>
      <c r="J2757" s="1" t="s">
        <v>56</v>
      </c>
      <c r="P2757" s="1" t="s">
        <v>733</v>
      </c>
      <c r="Q2757" s="1" t="s">
        <v>734</v>
      </c>
      <c r="R2757" s="1">
        <v>4.0</v>
      </c>
      <c r="S2757" s="1"/>
    </row>
    <row r="2758" ht="15.75" customHeight="1">
      <c r="A2758" s="1" t="s">
        <v>6354</v>
      </c>
      <c r="B2758" s="1" t="s">
        <v>6355</v>
      </c>
      <c r="C2758" s="1" t="s">
        <v>617</v>
      </c>
      <c r="E2758" s="1">
        <v>26.8374605</v>
      </c>
      <c r="F2758" s="1">
        <v>80.91910240000001</v>
      </c>
      <c r="G2758" s="1" t="s">
        <v>2511</v>
      </c>
      <c r="H2758" s="1" t="s">
        <v>2512</v>
      </c>
      <c r="J2758" s="1" t="s">
        <v>56</v>
      </c>
      <c r="P2758" s="1" t="s">
        <v>733</v>
      </c>
      <c r="Q2758" s="1" t="s">
        <v>734</v>
      </c>
      <c r="R2758" s="1">
        <v>2.0</v>
      </c>
      <c r="S2758" s="1"/>
    </row>
    <row r="2759" ht="15.75" customHeight="1">
      <c r="A2759" s="1" t="s">
        <v>6356</v>
      </c>
      <c r="B2759" s="1" t="s">
        <v>6357</v>
      </c>
      <c r="C2759" s="1" t="s">
        <v>617</v>
      </c>
      <c r="E2759" s="1">
        <v>26.8531194</v>
      </c>
      <c r="F2759" s="1">
        <v>81.001632</v>
      </c>
      <c r="G2759" s="1" t="s">
        <v>2511</v>
      </c>
      <c r="H2759" s="1" t="s">
        <v>2512</v>
      </c>
      <c r="J2759" s="1" t="s">
        <v>56</v>
      </c>
      <c r="P2759" s="1" t="s">
        <v>733</v>
      </c>
      <c r="Q2759" s="1" t="s">
        <v>734</v>
      </c>
      <c r="R2759" s="1">
        <v>4.0</v>
      </c>
      <c r="S2759" s="1"/>
    </row>
    <row r="2760" ht="15.75" customHeight="1">
      <c r="A2760" s="1" t="s">
        <v>6358</v>
      </c>
      <c r="B2760" s="1" t="s">
        <v>6359</v>
      </c>
      <c r="C2760" s="1" t="s">
        <v>617</v>
      </c>
      <c r="E2760" s="1">
        <v>26.8810871</v>
      </c>
      <c r="F2760" s="1">
        <v>80.942788</v>
      </c>
      <c r="G2760" s="1" t="s">
        <v>2511</v>
      </c>
      <c r="H2760" s="1" t="s">
        <v>2512</v>
      </c>
      <c r="J2760" s="1" t="s">
        <v>56</v>
      </c>
      <c r="P2760" s="1" t="s">
        <v>733</v>
      </c>
      <c r="Q2760" s="1" t="s">
        <v>734</v>
      </c>
      <c r="R2760" s="1">
        <v>1.0</v>
      </c>
      <c r="S2760" s="1"/>
    </row>
    <row r="2761" ht="15.75" customHeight="1">
      <c r="A2761" s="1" t="s">
        <v>6360</v>
      </c>
      <c r="B2761" s="1" t="s">
        <v>6361</v>
      </c>
      <c r="C2761" s="1" t="s">
        <v>617</v>
      </c>
      <c r="E2761" s="1">
        <v>26.8725183</v>
      </c>
      <c r="F2761" s="1">
        <v>80.9801237</v>
      </c>
      <c r="G2761" s="1" t="s">
        <v>2511</v>
      </c>
      <c r="H2761" s="1" t="s">
        <v>2512</v>
      </c>
      <c r="J2761" s="1" t="s">
        <v>56</v>
      </c>
      <c r="K2761" s="1" t="s">
        <v>99</v>
      </c>
      <c r="L2761" s="1" t="s">
        <v>27</v>
      </c>
      <c r="N2761" s="1" t="s">
        <v>28</v>
      </c>
      <c r="O2761" s="1" t="s">
        <v>29</v>
      </c>
      <c r="P2761" s="1" t="s">
        <v>733</v>
      </c>
      <c r="Q2761" s="1" t="s">
        <v>734</v>
      </c>
      <c r="R2761" s="1">
        <v>1.0</v>
      </c>
      <c r="S2761" s="1"/>
    </row>
    <row r="2762" ht="15.75" customHeight="1">
      <c r="A2762" s="1" t="s">
        <v>6362</v>
      </c>
      <c r="B2762" s="1" t="s">
        <v>6363</v>
      </c>
      <c r="C2762" s="1" t="s">
        <v>617</v>
      </c>
      <c r="E2762" s="1">
        <v>26.8375705</v>
      </c>
      <c r="F2762" s="1">
        <v>80.9242233</v>
      </c>
      <c r="G2762" s="1" t="s">
        <v>2511</v>
      </c>
      <c r="H2762" s="1" t="s">
        <v>2512</v>
      </c>
      <c r="J2762" s="1" t="s">
        <v>56</v>
      </c>
      <c r="P2762" s="1" t="s">
        <v>733</v>
      </c>
      <c r="Q2762" s="1" t="s">
        <v>734</v>
      </c>
      <c r="R2762" s="1">
        <v>2.0</v>
      </c>
      <c r="S2762" s="1"/>
    </row>
    <row r="2763" ht="15.75" customHeight="1">
      <c r="A2763" s="1" t="s">
        <v>6364</v>
      </c>
      <c r="B2763" s="1" t="s">
        <v>6365</v>
      </c>
      <c r="C2763" s="1" t="s">
        <v>151</v>
      </c>
      <c r="E2763" s="1">
        <v>18.5091944</v>
      </c>
      <c r="F2763" s="1">
        <v>73.8525283</v>
      </c>
      <c r="G2763" s="1" t="s">
        <v>2511</v>
      </c>
      <c r="H2763" s="1" t="s">
        <v>2512</v>
      </c>
      <c r="J2763" s="1" t="s">
        <v>56</v>
      </c>
      <c r="P2763" s="1" t="s">
        <v>2239</v>
      </c>
      <c r="Q2763" s="1" t="s">
        <v>2240</v>
      </c>
      <c r="R2763" s="1">
        <v>4.0</v>
      </c>
      <c r="S2763" s="1"/>
    </row>
    <row r="2764" ht="15.75" customHeight="1">
      <c r="A2764" s="1" t="s">
        <v>6366</v>
      </c>
      <c r="B2764" s="1" t="s">
        <v>6367</v>
      </c>
      <c r="C2764" s="1" t="s">
        <v>148</v>
      </c>
      <c r="E2764" s="1">
        <v>19.1883622</v>
      </c>
      <c r="F2764" s="1">
        <v>72.9724142</v>
      </c>
      <c r="G2764" s="1" t="s">
        <v>2511</v>
      </c>
      <c r="H2764" s="1" t="s">
        <v>2512</v>
      </c>
      <c r="J2764" s="1" t="s">
        <v>44</v>
      </c>
      <c r="K2764" s="1" t="s">
        <v>99</v>
      </c>
      <c r="L2764" s="1" t="s">
        <v>27</v>
      </c>
      <c r="N2764" s="1" t="s">
        <v>143</v>
      </c>
      <c r="O2764" s="1" t="s">
        <v>29</v>
      </c>
      <c r="P2764" s="1" t="s">
        <v>2300</v>
      </c>
      <c r="Q2764" s="1" t="s">
        <v>2301</v>
      </c>
      <c r="R2764" s="1">
        <v>2.0</v>
      </c>
      <c r="S2764" s="1"/>
    </row>
    <row r="2765" ht="15.75" customHeight="1">
      <c r="A2765" s="1" t="s">
        <v>6368</v>
      </c>
      <c r="B2765" s="1" t="s">
        <v>6369</v>
      </c>
      <c r="C2765" s="1" t="s">
        <v>737</v>
      </c>
      <c r="E2765" s="1">
        <v>22.726849</v>
      </c>
      <c r="F2765" s="1">
        <v>75.8818982</v>
      </c>
      <c r="G2765" s="1" t="s">
        <v>2511</v>
      </c>
      <c r="H2765" s="1" t="s">
        <v>2512</v>
      </c>
      <c r="J2765" s="1" t="s">
        <v>118</v>
      </c>
      <c r="P2765" s="1" t="s">
        <v>3243</v>
      </c>
      <c r="Q2765" s="1" t="s">
        <v>3244</v>
      </c>
      <c r="R2765" s="1">
        <v>2.0</v>
      </c>
      <c r="S2765" s="1"/>
    </row>
    <row r="2766" ht="15.75" customHeight="1">
      <c r="A2766" s="1" t="s">
        <v>6370</v>
      </c>
      <c r="B2766" s="1" t="s">
        <v>6371</v>
      </c>
      <c r="C2766" s="1" t="s">
        <v>848</v>
      </c>
      <c r="E2766" s="1">
        <v>28.622669</v>
      </c>
      <c r="F2766" s="1">
        <v>77.390365</v>
      </c>
      <c r="G2766" s="1" t="s">
        <v>6096</v>
      </c>
      <c r="H2766" s="1" t="s">
        <v>6097</v>
      </c>
      <c r="I2766" s="1" t="s">
        <v>1799</v>
      </c>
      <c r="J2766" s="1" t="s">
        <v>56</v>
      </c>
      <c r="P2766" s="1" t="s">
        <v>6372</v>
      </c>
      <c r="Q2766" s="1" t="s">
        <v>6373</v>
      </c>
      <c r="R2766" s="1">
        <v>0.0</v>
      </c>
      <c r="S2766" s="1"/>
    </row>
    <row r="2767" ht="15.75" customHeight="1">
      <c r="A2767" s="1" t="s">
        <v>6374</v>
      </c>
      <c r="B2767" s="1" t="s">
        <v>6375</v>
      </c>
      <c r="C2767" s="1" t="s">
        <v>242</v>
      </c>
      <c r="E2767" s="1">
        <v>21.1886065</v>
      </c>
      <c r="F2767" s="1">
        <v>72.7897102</v>
      </c>
      <c r="G2767" s="1" t="s">
        <v>2511</v>
      </c>
      <c r="H2767" s="1" t="s">
        <v>2512</v>
      </c>
      <c r="J2767" s="1" t="s">
        <v>56</v>
      </c>
      <c r="K2767" s="1" t="s">
        <v>99</v>
      </c>
      <c r="L2767" s="1" t="s">
        <v>27</v>
      </c>
      <c r="N2767" s="1" t="s">
        <v>216</v>
      </c>
      <c r="O2767" s="1" t="s">
        <v>29</v>
      </c>
      <c r="P2767" s="1" t="s">
        <v>3342</v>
      </c>
      <c r="Q2767" s="1" t="s">
        <v>3343</v>
      </c>
      <c r="R2767" s="1">
        <v>2.0</v>
      </c>
      <c r="S2767" s="1"/>
    </row>
    <row r="2768" ht="15.75" customHeight="1">
      <c r="A2768" s="1" t="s">
        <v>6376</v>
      </c>
      <c r="B2768" s="1" t="s">
        <v>6377</v>
      </c>
      <c r="C2768" s="1" t="s">
        <v>242</v>
      </c>
      <c r="E2768" s="1">
        <v>21.1861246</v>
      </c>
      <c r="F2768" s="1">
        <v>72.779054</v>
      </c>
      <c r="G2768" s="1" t="s">
        <v>2511</v>
      </c>
      <c r="H2768" s="1" t="s">
        <v>2512</v>
      </c>
      <c r="J2768" s="1" t="s">
        <v>56</v>
      </c>
      <c r="P2768" s="1" t="s">
        <v>3342</v>
      </c>
      <c r="Q2768" s="1" t="s">
        <v>3343</v>
      </c>
      <c r="R2768" s="1">
        <v>1.0</v>
      </c>
      <c r="S2768" s="1"/>
    </row>
    <row r="2769" ht="15.75" customHeight="1">
      <c r="A2769" s="1" t="s">
        <v>6378</v>
      </c>
      <c r="B2769" s="1" t="s">
        <v>6379</v>
      </c>
      <c r="C2769" s="1" t="s">
        <v>242</v>
      </c>
      <c r="E2769" s="1">
        <v>21.1910447</v>
      </c>
      <c r="F2769" s="1">
        <v>72.8842708</v>
      </c>
      <c r="G2769" s="1" t="s">
        <v>2511</v>
      </c>
      <c r="H2769" s="1" t="s">
        <v>2512</v>
      </c>
      <c r="J2769" s="1" t="s">
        <v>56</v>
      </c>
      <c r="P2769" s="1" t="s">
        <v>3342</v>
      </c>
      <c r="Q2769" s="1" t="s">
        <v>3343</v>
      </c>
      <c r="R2769" s="1">
        <v>1.0</v>
      </c>
      <c r="S2769" s="1"/>
    </row>
    <row r="2770" ht="15.75" customHeight="1">
      <c r="A2770" s="1" t="s">
        <v>6380</v>
      </c>
      <c r="B2770" s="1" t="s">
        <v>6381</v>
      </c>
      <c r="C2770" s="1" t="s">
        <v>1097</v>
      </c>
      <c r="E2770" s="1">
        <v>10.8267426</v>
      </c>
      <c r="F2770" s="1">
        <v>78.6908624</v>
      </c>
      <c r="G2770" s="1" t="s">
        <v>2511</v>
      </c>
      <c r="H2770" s="1" t="s">
        <v>2512</v>
      </c>
      <c r="J2770" s="1" t="s">
        <v>56</v>
      </c>
      <c r="P2770" s="1" t="s">
        <v>3219</v>
      </c>
      <c r="Q2770" s="1" t="s">
        <v>3220</v>
      </c>
      <c r="R2770" s="1">
        <v>0.0</v>
      </c>
      <c r="S2770" s="1" t="str">
        <f>IFERROR(__xludf.DUMMYFUNCTION("""COMPUTED_VALUE"""),"store_006925, store_007031")</f>
        <v>store_006925, store_007031</v>
      </c>
    </row>
    <row r="2771" ht="15.75" customHeight="1">
      <c r="A2771" s="1" t="s">
        <v>6382</v>
      </c>
      <c r="B2771" s="1" t="s">
        <v>6383</v>
      </c>
      <c r="C2771" s="1" t="s">
        <v>1112</v>
      </c>
      <c r="E2771" s="1">
        <v>13.0409835</v>
      </c>
      <c r="F2771" s="1">
        <v>80.2393894</v>
      </c>
      <c r="G2771" s="1" t="s">
        <v>2511</v>
      </c>
      <c r="H2771" s="1" t="s">
        <v>2512</v>
      </c>
      <c r="J2771" s="1" t="s">
        <v>44</v>
      </c>
      <c r="K2771" s="1" t="s">
        <v>99</v>
      </c>
      <c r="L2771" s="1" t="s">
        <v>27</v>
      </c>
      <c r="N2771" s="1" t="s">
        <v>1097</v>
      </c>
      <c r="O2771" s="1" t="s">
        <v>29</v>
      </c>
      <c r="P2771" s="1" t="s">
        <v>6384</v>
      </c>
      <c r="Q2771" s="1" t="s">
        <v>6385</v>
      </c>
      <c r="R2771" s="1">
        <v>3.0</v>
      </c>
      <c r="S2771" s="1"/>
    </row>
    <row r="2772" ht="15.75" customHeight="1">
      <c r="A2772" s="1" t="s">
        <v>6386</v>
      </c>
      <c r="B2772" s="1" t="s">
        <v>6387</v>
      </c>
      <c r="C2772" s="1" t="s">
        <v>617</v>
      </c>
      <c r="E2772" s="1">
        <v>26.8730017</v>
      </c>
      <c r="F2772" s="1">
        <v>80.98715849999999</v>
      </c>
      <c r="G2772" s="1" t="s">
        <v>2511</v>
      </c>
      <c r="H2772" s="1" t="s">
        <v>2512</v>
      </c>
      <c r="J2772" s="1" t="s">
        <v>56</v>
      </c>
      <c r="P2772" s="1" t="s">
        <v>733</v>
      </c>
      <c r="Q2772" s="1" t="s">
        <v>734</v>
      </c>
      <c r="R2772" s="1">
        <v>6.0</v>
      </c>
      <c r="S2772" s="1"/>
    </row>
    <row r="2773" ht="15.75" customHeight="1">
      <c r="A2773" s="1" t="s">
        <v>6388</v>
      </c>
      <c r="B2773" s="1" t="s">
        <v>6389</v>
      </c>
      <c r="C2773" s="1" t="s">
        <v>162</v>
      </c>
      <c r="E2773" s="1">
        <v>28.410537</v>
      </c>
      <c r="F2773" s="1">
        <v>77.3201442</v>
      </c>
      <c r="G2773" s="1" t="s">
        <v>2511</v>
      </c>
      <c r="H2773" s="1" t="s">
        <v>2512</v>
      </c>
      <c r="J2773" s="1" t="s">
        <v>118</v>
      </c>
      <c r="P2773" s="1" t="s">
        <v>6390</v>
      </c>
      <c r="Q2773" s="1" t="s">
        <v>6391</v>
      </c>
      <c r="R2773" s="1">
        <v>2.0</v>
      </c>
      <c r="S2773" s="1"/>
    </row>
    <row r="2774" ht="15.75" customHeight="1">
      <c r="A2774" s="1" t="s">
        <v>6392</v>
      </c>
      <c r="B2774" s="1" t="s">
        <v>6393</v>
      </c>
      <c r="C2774" s="1" t="s">
        <v>162</v>
      </c>
      <c r="E2774" s="1">
        <v>28.5895534</v>
      </c>
      <c r="F2774" s="1">
        <v>77.3176404</v>
      </c>
      <c r="G2774" s="1" t="s">
        <v>2511</v>
      </c>
      <c r="H2774" s="1" t="s">
        <v>2512</v>
      </c>
      <c r="J2774" s="1" t="s">
        <v>118</v>
      </c>
      <c r="P2774" s="1" t="s">
        <v>6390</v>
      </c>
      <c r="Q2774" s="1" t="s">
        <v>6391</v>
      </c>
      <c r="R2774" s="1">
        <v>1.0</v>
      </c>
      <c r="S2774" s="1"/>
    </row>
    <row r="2775" ht="15.75" customHeight="1">
      <c r="A2775" s="1" t="s">
        <v>6394</v>
      </c>
      <c r="B2775" s="1" t="s">
        <v>6395</v>
      </c>
      <c r="C2775" s="1" t="s">
        <v>174</v>
      </c>
      <c r="E2775" s="1">
        <v>28.6817553</v>
      </c>
      <c r="F2775" s="1">
        <v>77.1980868</v>
      </c>
      <c r="G2775" s="1" t="s">
        <v>2511</v>
      </c>
      <c r="H2775" s="1" t="s">
        <v>2512</v>
      </c>
      <c r="J2775" s="1" t="s">
        <v>44</v>
      </c>
      <c r="K2775" s="1" t="s">
        <v>99</v>
      </c>
      <c r="L2775" s="1" t="s">
        <v>27</v>
      </c>
      <c r="N2775" s="1" t="s">
        <v>174</v>
      </c>
      <c r="O2775" s="1" t="s">
        <v>29</v>
      </c>
      <c r="P2775" s="1" t="s">
        <v>5334</v>
      </c>
      <c r="Q2775" s="1" t="s">
        <v>5335</v>
      </c>
      <c r="R2775" s="1">
        <v>9.0</v>
      </c>
      <c r="S2775" s="1"/>
    </row>
    <row r="2776" ht="15.75" customHeight="1">
      <c r="A2776" s="1" t="s">
        <v>6396</v>
      </c>
      <c r="B2776" s="1" t="s">
        <v>6397</v>
      </c>
      <c r="C2776" s="1" t="s">
        <v>174</v>
      </c>
      <c r="E2776" s="1">
        <v>28.6811521</v>
      </c>
      <c r="F2776" s="1">
        <v>77.1917465</v>
      </c>
      <c r="G2776" s="1" t="s">
        <v>2511</v>
      </c>
      <c r="H2776" s="1" t="s">
        <v>2512</v>
      </c>
      <c r="J2776" s="1" t="s">
        <v>118</v>
      </c>
      <c r="K2776" s="1" t="s">
        <v>99</v>
      </c>
      <c r="L2776" s="1" t="s">
        <v>27</v>
      </c>
      <c r="N2776" s="1" t="s">
        <v>174</v>
      </c>
      <c r="O2776" s="1" t="s">
        <v>29</v>
      </c>
      <c r="P2776" s="1" t="s">
        <v>5334</v>
      </c>
      <c r="Q2776" s="1" t="s">
        <v>5335</v>
      </c>
      <c r="R2776" s="1">
        <v>8.0</v>
      </c>
      <c r="S2776" s="1"/>
    </row>
    <row r="2777" ht="15.75" customHeight="1">
      <c r="A2777" s="1" t="s">
        <v>6398</v>
      </c>
      <c r="B2777" s="1" t="s">
        <v>6399</v>
      </c>
      <c r="C2777" s="1" t="s">
        <v>174</v>
      </c>
      <c r="E2777" s="1">
        <v>28.5078681</v>
      </c>
      <c r="F2777" s="1">
        <v>77.32453780000002</v>
      </c>
      <c r="G2777" s="1" t="s">
        <v>2511</v>
      </c>
      <c r="H2777" s="1" t="s">
        <v>2512</v>
      </c>
      <c r="J2777" s="1" t="s">
        <v>118</v>
      </c>
      <c r="P2777" s="1" t="s">
        <v>2140</v>
      </c>
      <c r="Q2777" s="1" t="s">
        <v>2141</v>
      </c>
      <c r="R2777" s="1">
        <v>5.0</v>
      </c>
      <c r="S2777" s="1"/>
    </row>
    <row r="2778" ht="15.75" customHeight="1">
      <c r="A2778" s="1" t="s">
        <v>6400</v>
      </c>
      <c r="B2778" s="1" t="s">
        <v>6401</v>
      </c>
      <c r="C2778" s="1" t="s">
        <v>6402</v>
      </c>
      <c r="E2778" s="1">
        <v>22.595107</v>
      </c>
      <c r="F2778" s="1">
        <v>88.3113209</v>
      </c>
      <c r="G2778" s="1" t="s">
        <v>2511</v>
      </c>
      <c r="H2778" s="1" t="s">
        <v>2512</v>
      </c>
      <c r="J2778" s="1" t="s">
        <v>56</v>
      </c>
      <c r="P2778" s="1" t="s">
        <v>5231</v>
      </c>
      <c r="Q2778" s="1" t="s">
        <v>5232</v>
      </c>
      <c r="R2778" s="1">
        <v>1.0</v>
      </c>
      <c r="S2778" s="1"/>
    </row>
    <row r="2779" ht="15.75" customHeight="1">
      <c r="A2779" s="1" t="s">
        <v>6403</v>
      </c>
      <c r="B2779" s="1" t="s">
        <v>6404</v>
      </c>
      <c r="C2779" s="1" t="s">
        <v>6402</v>
      </c>
      <c r="E2779" s="1">
        <v>22.5227494</v>
      </c>
      <c r="F2779" s="1">
        <v>88.36696909999999</v>
      </c>
      <c r="G2779" s="1" t="s">
        <v>2511</v>
      </c>
      <c r="H2779" s="1" t="s">
        <v>2512</v>
      </c>
      <c r="J2779" s="1" t="s">
        <v>25</v>
      </c>
      <c r="P2779" s="1" t="s">
        <v>5231</v>
      </c>
      <c r="Q2779" s="1" t="s">
        <v>5232</v>
      </c>
      <c r="R2779" s="1">
        <v>1.0</v>
      </c>
      <c r="S2779" s="1"/>
    </row>
    <row r="2780" ht="15.75" customHeight="1">
      <c r="A2780" s="1" t="s">
        <v>6405</v>
      </c>
      <c r="B2780" s="1" t="s">
        <v>6406</v>
      </c>
      <c r="C2780" s="1" t="s">
        <v>6402</v>
      </c>
      <c r="E2780" s="1">
        <v>22.4523417</v>
      </c>
      <c r="F2780" s="1">
        <v>88.38417059999999</v>
      </c>
      <c r="G2780" s="1" t="s">
        <v>2511</v>
      </c>
      <c r="H2780" s="1" t="s">
        <v>2512</v>
      </c>
      <c r="J2780" s="1" t="s">
        <v>56</v>
      </c>
      <c r="P2780" s="1" t="s">
        <v>5231</v>
      </c>
      <c r="Q2780" s="1" t="s">
        <v>5232</v>
      </c>
      <c r="R2780" s="1">
        <v>1.0</v>
      </c>
      <c r="S2780" s="1"/>
    </row>
    <row r="2781" ht="15.75" customHeight="1">
      <c r="A2781" s="1" t="s">
        <v>6407</v>
      </c>
      <c r="B2781" s="1" t="s">
        <v>6408</v>
      </c>
      <c r="C2781" s="1" t="s">
        <v>6402</v>
      </c>
      <c r="E2781" s="1">
        <v>22.5786889</v>
      </c>
      <c r="F2781" s="1">
        <v>88.34855820000001</v>
      </c>
      <c r="G2781" s="1" t="s">
        <v>2511</v>
      </c>
      <c r="H2781" s="1" t="s">
        <v>2512</v>
      </c>
      <c r="J2781" s="1" t="s">
        <v>56</v>
      </c>
      <c r="P2781" s="1" t="s">
        <v>5231</v>
      </c>
      <c r="Q2781" s="1" t="s">
        <v>5232</v>
      </c>
      <c r="R2781" s="1">
        <v>1.0</v>
      </c>
      <c r="S2781" s="1"/>
    </row>
    <row r="2782" ht="15.75" customHeight="1">
      <c r="A2782" s="1" t="s">
        <v>6409</v>
      </c>
      <c r="B2782" s="1" t="s">
        <v>6410</v>
      </c>
      <c r="C2782" s="1" t="s">
        <v>6402</v>
      </c>
      <c r="E2782" s="1">
        <v>22.5155433</v>
      </c>
      <c r="F2782" s="1">
        <v>88.3708809</v>
      </c>
      <c r="G2782" s="1" t="s">
        <v>2511</v>
      </c>
      <c r="H2782" s="1" t="s">
        <v>2512</v>
      </c>
      <c r="J2782" s="1" t="s">
        <v>56</v>
      </c>
      <c r="P2782" s="1" t="s">
        <v>5231</v>
      </c>
      <c r="Q2782" s="1" t="s">
        <v>5232</v>
      </c>
      <c r="R2782" s="1">
        <v>3.0</v>
      </c>
      <c r="S2782" s="1"/>
    </row>
    <row r="2783" ht="15.75" customHeight="1">
      <c r="A2783" s="1" t="s">
        <v>6411</v>
      </c>
      <c r="B2783" s="1" t="s">
        <v>6412</v>
      </c>
      <c r="C2783" s="1" t="s">
        <v>6402</v>
      </c>
      <c r="E2783" s="1">
        <v>22.6377316</v>
      </c>
      <c r="F2783" s="1">
        <v>88.4772184</v>
      </c>
      <c r="G2783" s="1" t="s">
        <v>2511</v>
      </c>
      <c r="H2783" s="1" t="s">
        <v>2512</v>
      </c>
      <c r="J2783" s="1" t="s">
        <v>25</v>
      </c>
      <c r="P2783" s="1" t="s">
        <v>5231</v>
      </c>
      <c r="Q2783" s="1" t="s">
        <v>5232</v>
      </c>
      <c r="R2783" s="1">
        <v>1.0</v>
      </c>
      <c r="S2783" s="1"/>
    </row>
    <row r="2784" ht="15.75" customHeight="1">
      <c r="A2784" s="1" t="s">
        <v>6413</v>
      </c>
      <c r="B2784" s="1" t="s">
        <v>6414</v>
      </c>
      <c r="C2784" s="1" t="s">
        <v>6402</v>
      </c>
      <c r="E2784" s="1">
        <v>22.5458631</v>
      </c>
      <c r="F2784" s="1">
        <v>88.3664388</v>
      </c>
      <c r="G2784" s="1" t="s">
        <v>2511</v>
      </c>
      <c r="H2784" s="1" t="s">
        <v>2512</v>
      </c>
      <c r="J2784" s="1" t="s">
        <v>56</v>
      </c>
      <c r="P2784" s="1" t="s">
        <v>5231</v>
      </c>
      <c r="Q2784" s="1" t="s">
        <v>5232</v>
      </c>
      <c r="R2784" s="1">
        <v>1.0</v>
      </c>
      <c r="S2784" s="1"/>
    </row>
    <row r="2785" ht="15.75" customHeight="1">
      <c r="A2785" s="1" t="s">
        <v>6415</v>
      </c>
      <c r="B2785" s="1" t="s">
        <v>6416</v>
      </c>
      <c r="C2785" s="1" t="s">
        <v>6402</v>
      </c>
      <c r="E2785" s="1">
        <v>22.5295827</v>
      </c>
      <c r="F2785" s="1">
        <v>88.40501069999999</v>
      </c>
      <c r="G2785" s="1" t="s">
        <v>2511</v>
      </c>
      <c r="H2785" s="1" t="s">
        <v>2512</v>
      </c>
      <c r="J2785" s="1" t="s">
        <v>56</v>
      </c>
      <c r="P2785" s="1" t="s">
        <v>5231</v>
      </c>
      <c r="Q2785" s="1" t="s">
        <v>5232</v>
      </c>
      <c r="R2785" s="1">
        <v>1.0</v>
      </c>
      <c r="S2785" s="1"/>
    </row>
    <row r="2786" ht="15.75" customHeight="1">
      <c r="A2786" s="1" t="s">
        <v>6417</v>
      </c>
      <c r="B2786" s="1" t="s">
        <v>6418</v>
      </c>
      <c r="C2786" s="1" t="s">
        <v>6402</v>
      </c>
      <c r="E2786" s="1">
        <v>22.5727832</v>
      </c>
      <c r="F2786" s="1">
        <v>88.4335408</v>
      </c>
      <c r="G2786" s="1" t="s">
        <v>6419</v>
      </c>
      <c r="H2786" s="1" t="s">
        <v>6420</v>
      </c>
      <c r="P2786" s="1" t="s">
        <v>5231</v>
      </c>
      <c r="Q2786" s="1" t="s">
        <v>5232</v>
      </c>
      <c r="R2786" s="1">
        <v>4.0</v>
      </c>
      <c r="S2786" s="1"/>
    </row>
    <row r="2787" ht="15.75" customHeight="1">
      <c r="A2787" s="1" t="s">
        <v>6421</v>
      </c>
      <c r="B2787" s="1" t="s">
        <v>6422</v>
      </c>
      <c r="C2787" s="1" t="s">
        <v>174</v>
      </c>
      <c r="E2787" s="1">
        <v>28.6737747</v>
      </c>
      <c r="F2787" s="1">
        <v>77.0897226</v>
      </c>
      <c r="G2787" s="1" t="s">
        <v>2511</v>
      </c>
      <c r="H2787" s="1" t="s">
        <v>2512</v>
      </c>
      <c r="J2787" s="1" t="s">
        <v>118</v>
      </c>
      <c r="P2787" s="1" t="s">
        <v>6423</v>
      </c>
      <c r="Q2787" s="1" t="s">
        <v>6424</v>
      </c>
      <c r="R2787" s="1">
        <v>1.0</v>
      </c>
      <c r="S2787" s="1"/>
    </row>
    <row r="2788" ht="15.75" customHeight="1">
      <c r="A2788" s="1" t="s">
        <v>6425</v>
      </c>
      <c r="B2788" s="1" t="s">
        <v>6426</v>
      </c>
      <c r="C2788" s="1" t="s">
        <v>617</v>
      </c>
      <c r="E2788" s="1">
        <v>26.8375461</v>
      </c>
      <c r="F2788" s="1">
        <v>80.9242252</v>
      </c>
      <c r="G2788" s="1" t="s">
        <v>2511</v>
      </c>
      <c r="H2788" s="1" t="s">
        <v>2512</v>
      </c>
      <c r="J2788" s="1" t="s">
        <v>56</v>
      </c>
      <c r="P2788" s="1" t="s">
        <v>733</v>
      </c>
      <c r="Q2788" s="1" t="s">
        <v>734</v>
      </c>
      <c r="R2788" s="1">
        <v>1.0</v>
      </c>
      <c r="S2788" s="1"/>
    </row>
    <row r="2789" ht="15.75" customHeight="1">
      <c r="A2789" s="1" t="s">
        <v>6427</v>
      </c>
      <c r="B2789" s="1" t="s">
        <v>6428</v>
      </c>
      <c r="C2789" s="1" t="s">
        <v>174</v>
      </c>
      <c r="E2789" s="1">
        <v>28.6452259</v>
      </c>
      <c r="F2789" s="1">
        <v>77.1184545</v>
      </c>
      <c r="G2789" s="1" t="s">
        <v>2511</v>
      </c>
      <c r="H2789" s="1" t="s">
        <v>2512</v>
      </c>
      <c r="J2789" s="1" t="s">
        <v>118</v>
      </c>
      <c r="P2789" s="1" t="s">
        <v>6423</v>
      </c>
      <c r="Q2789" s="1" t="s">
        <v>6424</v>
      </c>
      <c r="R2789" s="1">
        <v>4.0</v>
      </c>
      <c r="S2789" s="1"/>
    </row>
    <row r="2790" ht="15.75" customHeight="1">
      <c r="A2790" s="1" t="s">
        <v>6429</v>
      </c>
      <c r="B2790" s="1" t="s">
        <v>6430</v>
      </c>
      <c r="C2790" s="1" t="s">
        <v>174</v>
      </c>
      <c r="E2790" s="1">
        <v>28.6872224</v>
      </c>
      <c r="F2790" s="1">
        <v>77.0712818</v>
      </c>
      <c r="G2790" s="1" t="s">
        <v>2511</v>
      </c>
      <c r="H2790" s="1" t="s">
        <v>2512</v>
      </c>
      <c r="J2790" s="1" t="s">
        <v>118</v>
      </c>
      <c r="P2790" s="1" t="s">
        <v>6423</v>
      </c>
      <c r="Q2790" s="1" t="s">
        <v>6424</v>
      </c>
      <c r="R2790" s="1">
        <v>1.0</v>
      </c>
      <c r="S2790" s="1"/>
    </row>
    <row r="2791" ht="15.75" customHeight="1">
      <c r="A2791" s="1" t="s">
        <v>6431</v>
      </c>
      <c r="B2791" s="1" t="s">
        <v>6432</v>
      </c>
      <c r="C2791" s="1" t="s">
        <v>174</v>
      </c>
      <c r="E2791" s="1">
        <v>28.5587223</v>
      </c>
      <c r="F2791" s="1">
        <v>77.2673703</v>
      </c>
      <c r="G2791" s="1" t="s">
        <v>2112</v>
      </c>
      <c r="H2791" s="1" t="s">
        <v>2113</v>
      </c>
      <c r="P2791" s="1" t="s">
        <v>6433</v>
      </c>
      <c r="Q2791" s="1" t="s">
        <v>6434</v>
      </c>
      <c r="R2791" s="1">
        <v>1.0</v>
      </c>
      <c r="S2791" s="1"/>
    </row>
    <row r="2792" ht="15.75" customHeight="1">
      <c r="A2792" s="1" t="s">
        <v>6435</v>
      </c>
      <c r="B2792" s="1" t="s">
        <v>6436</v>
      </c>
      <c r="C2792" s="1" t="s">
        <v>737</v>
      </c>
      <c r="E2792" s="1">
        <v>22.780135</v>
      </c>
      <c r="F2792" s="1">
        <v>75.909735</v>
      </c>
      <c r="G2792" s="1" t="s">
        <v>6419</v>
      </c>
      <c r="H2792" s="1" t="s">
        <v>6420</v>
      </c>
      <c r="P2792" s="1" t="s">
        <v>3243</v>
      </c>
      <c r="Q2792" s="1" t="s">
        <v>3244</v>
      </c>
      <c r="R2792" s="1">
        <v>6.0</v>
      </c>
      <c r="S2792" s="1"/>
    </row>
    <row r="2793" ht="15.75" customHeight="1">
      <c r="A2793" s="1" t="s">
        <v>6437</v>
      </c>
      <c r="B2793" s="1" t="s">
        <v>6438</v>
      </c>
      <c r="C2793" s="1" t="s">
        <v>53</v>
      </c>
      <c r="E2793" s="1">
        <v>27.1988582</v>
      </c>
      <c r="F2793" s="1">
        <v>78.00569279999999</v>
      </c>
      <c r="G2793" s="1" t="s">
        <v>6419</v>
      </c>
      <c r="H2793" s="1" t="s">
        <v>6420</v>
      </c>
      <c r="P2793" s="1" t="s">
        <v>6439</v>
      </c>
      <c r="Q2793" s="1" t="s">
        <v>6440</v>
      </c>
      <c r="R2793" s="1">
        <v>1.0</v>
      </c>
      <c r="S2793" s="1"/>
    </row>
    <row r="2794" ht="15.75" customHeight="1">
      <c r="A2794" s="1" t="s">
        <v>6441</v>
      </c>
      <c r="B2794" s="1" t="s">
        <v>6442</v>
      </c>
      <c r="C2794" s="1" t="s">
        <v>617</v>
      </c>
      <c r="E2794" s="1">
        <v>26.8483067</v>
      </c>
      <c r="F2794" s="1">
        <v>80.94450259999999</v>
      </c>
      <c r="G2794" s="1" t="s">
        <v>6419</v>
      </c>
      <c r="H2794" s="1" t="s">
        <v>6420</v>
      </c>
      <c r="P2794" s="1" t="s">
        <v>733</v>
      </c>
      <c r="Q2794" s="1" t="s">
        <v>734</v>
      </c>
      <c r="R2794" s="1">
        <v>1.0</v>
      </c>
      <c r="S2794" s="1"/>
    </row>
    <row r="2795" ht="15.75" customHeight="1">
      <c r="A2795" s="1" t="s">
        <v>6443</v>
      </c>
      <c r="B2795" s="1" t="s">
        <v>6444</v>
      </c>
      <c r="C2795" s="1" t="s">
        <v>746</v>
      </c>
      <c r="E2795" s="1">
        <v>28.622669</v>
      </c>
      <c r="F2795" s="1">
        <v>77.390365</v>
      </c>
      <c r="G2795" s="1" t="s">
        <v>6096</v>
      </c>
      <c r="H2795" s="1" t="s">
        <v>6097</v>
      </c>
      <c r="I2795" s="1" t="s">
        <v>1799</v>
      </c>
      <c r="K2795" s="1" t="s">
        <v>2892</v>
      </c>
      <c r="L2795" s="1" t="s">
        <v>27</v>
      </c>
      <c r="N2795" s="1" t="s">
        <v>28</v>
      </c>
      <c r="O2795" s="1" t="s">
        <v>57</v>
      </c>
      <c r="P2795" s="1" t="s">
        <v>747</v>
      </c>
      <c r="Q2795" s="1" t="s">
        <v>748</v>
      </c>
      <c r="R2795" s="1">
        <v>0.0</v>
      </c>
      <c r="S2795" s="1"/>
    </row>
    <row r="2796" ht="15.75" customHeight="1">
      <c r="A2796" s="1" t="s">
        <v>6445</v>
      </c>
      <c r="B2796" s="1" t="s">
        <v>6446</v>
      </c>
      <c r="C2796" s="1" t="s">
        <v>737</v>
      </c>
      <c r="E2796" s="1">
        <v>22.7188771</v>
      </c>
      <c r="F2796" s="1">
        <v>75.8631331</v>
      </c>
      <c r="G2796" s="1" t="s">
        <v>6419</v>
      </c>
      <c r="H2796" s="1" t="s">
        <v>6420</v>
      </c>
      <c r="P2796" s="1" t="s">
        <v>3243</v>
      </c>
      <c r="Q2796" s="1" t="s">
        <v>3244</v>
      </c>
      <c r="R2796" s="1">
        <v>1.0</v>
      </c>
      <c r="S2796" s="1"/>
    </row>
    <row r="2797" ht="15.75" customHeight="1">
      <c r="A2797" s="1" t="s">
        <v>6447</v>
      </c>
      <c r="B2797" s="1" t="s">
        <v>6448</v>
      </c>
      <c r="C2797" s="1" t="s">
        <v>737</v>
      </c>
      <c r="E2797" s="1">
        <v>22.7343755</v>
      </c>
      <c r="F2797" s="1">
        <v>75.831175</v>
      </c>
      <c r="G2797" s="1" t="s">
        <v>6419</v>
      </c>
      <c r="H2797" s="1" t="s">
        <v>6420</v>
      </c>
      <c r="K2797" s="1" t="s">
        <v>99</v>
      </c>
      <c r="L2797" s="1" t="s">
        <v>27</v>
      </c>
      <c r="N2797" s="1" t="s">
        <v>732</v>
      </c>
      <c r="O2797" s="1" t="s">
        <v>29</v>
      </c>
      <c r="P2797" s="1" t="s">
        <v>3243</v>
      </c>
      <c r="Q2797" s="1" t="s">
        <v>3244</v>
      </c>
      <c r="R2797" s="1">
        <v>5.0</v>
      </c>
      <c r="S2797" s="1"/>
    </row>
    <row r="2798" ht="15.75" customHeight="1">
      <c r="A2798" s="1" t="s">
        <v>6449</v>
      </c>
      <c r="B2798" s="1" t="s">
        <v>6450</v>
      </c>
      <c r="C2798" s="1" t="s">
        <v>737</v>
      </c>
      <c r="E2798" s="1">
        <v>22.7381202</v>
      </c>
      <c r="F2798" s="1">
        <v>75.8473368</v>
      </c>
      <c r="G2798" s="1" t="s">
        <v>6419</v>
      </c>
      <c r="H2798" s="1" t="s">
        <v>6420</v>
      </c>
      <c r="K2798" s="1" t="s">
        <v>99</v>
      </c>
      <c r="L2798" s="1" t="s">
        <v>27</v>
      </c>
      <c r="N2798" s="1" t="s">
        <v>732</v>
      </c>
      <c r="O2798" s="1" t="s">
        <v>29</v>
      </c>
      <c r="P2798" s="1" t="s">
        <v>3243</v>
      </c>
      <c r="Q2798" s="1" t="s">
        <v>3244</v>
      </c>
      <c r="R2798" s="1">
        <v>2.0</v>
      </c>
      <c r="S2798" s="1"/>
    </row>
    <row r="2799" ht="15.75" customHeight="1">
      <c r="A2799" s="1" t="s">
        <v>6451</v>
      </c>
      <c r="B2799" s="1" t="s">
        <v>6452</v>
      </c>
      <c r="C2799" s="1" t="s">
        <v>6453</v>
      </c>
      <c r="E2799" s="1">
        <v>20.2441596</v>
      </c>
      <c r="F2799" s="1">
        <v>85.76686409999999</v>
      </c>
      <c r="G2799" s="1" t="s">
        <v>2511</v>
      </c>
      <c r="H2799" s="1" t="s">
        <v>2512</v>
      </c>
      <c r="J2799" s="1" t="s">
        <v>118</v>
      </c>
      <c r="P2799" s="1" t="s">
        <v>6454</v>
      </c>
      <c r="Q2799" s="1" t="s">
        <v>6455</v>
      </c>
      <c r="R2799" s="1">
        <v>6.0</v>
      </c>
      <c r="S2799" s="1"/>
    </row>
    <row r="2800" ht="15.75" customHeight="1">
      <c r="A2800" s="1" t="s">
        <v>6456</v>
      </c>
      <c r="B2800" s="1" t="s">
        <v>6457</v>
      </c>
      <c r="C2800" s="1" t="s">
        <v>6453</v>
      </c>
      <c r="E2800" s="1">
        <v>20.3249254</v>
      </c>
      <c r="F2800" s="1">
        <v>85.8092403</v>
      </c>
      <c r="G2800" s="1" t="s">
        <v>2511</v>
      </c>
      <c r="H2800" s="1" t="s">
        <v>2512</v>
      </c>
      <c r="J2800" s="1" t="s">
        <v>118</v>
      </c>
      <c r="P2800" s="1" t="s">
        <v>6454</v>
      </c>
      <c r="Q2800" s="1" t="s">
        <v>6455</v>
      </c>
      <c r="R2800" s="1">
        <v>8.0</v>
      </c>
      <c r="S2800" s="1"/>
    </row>
    <row r="2801" ht="15.75" customHeight="1">
      <c r="A2801" s="1" t="s">
        <v>6458</v>
      </c>
      <c r="B2801" s="1" t="s">
        <v>6459</v>
      </c>
      <c r="C2801" s="1" t="s">
        <v>6453</v>
      </c>
      <c r="E2801" s="1">
        <v>20.3269048</v>
      </c>
      <c r="F2801" s="1">
        <v>85.81953050000001</v>
      </c>
      <c r="G2801" s="1" t="s">
        <v>2511</v>
      </c>
      <c r="H2801" s="1" t="s">
        <v>2512</v>
      </c>
      <c r="J2801" s="1" t="s">
        <v>56</v>
      </c>
      <c r="P2801" s="1" t="s">
        <v>6454</v>
      </c>
      <c r="Q2801" s="1" t="s">
        <v>6455</v>
      </c>
      <c r="R2801" s="1">
        <v>1.0</v>
      </c>
      <c r="S2801" s="1"/>
    </row>
    <row r="2802" ht="15.75" customHeight="1">
      <c r="A2802" s="1" t="s">
        <v>6460</v>
      </c>
      <c r="B2802" s="1" t="s">
        <v>6461</v>
      </c>
      <c r="C2802" s="1" t="s">
        <v>6453</v>
      </c>
      <c r="E2802" s="1">
        <v>20.2875519</v>
      </c>
      <c r="F2802" s="1">
        <v>85.847126</v>
      </c>
      <c r="G2802" s="1" t="s">
        <v>2511</v>
      </c>
      <c r="H2802" s="1" t="s">
        <v>2512</v>
      </c>
      <c r="J2802" s="1" t="s">
        <v>56</v>
      </c>
      <c r="P2802" s="1" t="s">
        <v>6454</v>
      </c>
      <c r="Q2802" s="1" t="s">
        <v>6455</v>
      </c>
      <c r="R2802" s="1">
        <v>4.0</v>
      </c>
      <c r="S2802" s="1"/>
    </row>
    <row r="2803" ht="15.75" customHeight="1">
      <c r="A2803" s="1" t="s">
        <v>6462</v>
      </c>
      <c r="B2803" s="1" t="s">
        <v>6463</v>
      </c>
      <c r="C2803" s="1" t="s">
        <v>6453</v>
      </c>
      <c r="E2803" s="1">
        <v>20.2676573</v>
      </c>
      <c r="F2803" s="1">
        <v>85.8466456</v>
      </c>
      <c r="G2803" s="1" t="s">
        <v>2511</v>
      </c>
      <c r="H2803" s="1" t="s">
        <v>2512</v>
      </c>
      <c r="J2803" s="1" t="s">
        <v>56</v>
      </c>
      <c r="P2803" s="1" t="s">
        <v>6454</v>
      </c>
      <c r="Q2803" s="1" t="s">
        <v>6455</v>
      </c>
      <c r="R2803" s="1">
        <v>1.0</v>
      </c>
      <c r="S2803" s="1"/>
    </row>
    <row r="2804" ht="15.75" customHeight="1">
      <c r="A2804" s="1" t="s">
        <v>6464</v>
      </c>
      <c r="B2804" s="1" t="s">
        <v>6465</v>
      </c>
      <c r="C2804" s="1" t="s">
        <v>6453</v>
      </c>
      <c r="E2804" s="1">
        <v>20.2661136</v>
      </c>
      <c r="F2804" s="1">
        <v>85.84831249999999</v>
      </c>
      <c r="G2804" s="1" t="s">
        <v>2511</v>
      </c>
      <c r="H2804" s="1" t="s">
        <v>2512</v>
      </c>
      <c r="J2804" s="1" t="s">
        <v>118</v>
      </c>
      <c r="P2804" s="1" t="s">
        <v>6454</v>
      </c>
      <c r="Q2804" s="1" t="s">
        <v>6455</v>
      </c>
      <c r="R2804" s="1">
        <v>2.0</v>
      </c>
      <c r="S2804" s="1"/>
    </row>
    <row r="2805" ht="15.75" customHeight="1">
      <c r="A2805" s="1" t="s">
        <v>6466</v>
      </c>
      <c r="B2805" s="1" t="s">
        <v>6467</v>
      </c>
      <c r="C2805" s="1" t="s">
        <v>6453</v>
      </c>
      <c r="E2805" s="1">
        <v>12.9183002</v>
      </c>
      <c r="F2805" s="1">
        <v>77.612741</v>
      </c>
      <c r="G2805" s="1" t="s">
        <v>2511</v>
      </c>
      <c r="H2805" s="1" t="s">
        <v>2512</v>
      </c>
      <c r="J2805" s="1" t="s">
        <v>56</v>
      </c>
      <c r="P2805" s="1" t="s">
        <v>6454</v>
      </c>
      <c r="Q2805" s="1" t="s">
        <v>6455</v>
      </c>
      <c r="R2805" s="1">
        <v>1.0</v>
      </c>
      <c r="S2805" s="1"/>
    </row>
    <row r="2806" ht="15.75" customHeight="1">
      <c r="A2806" s="1" t="s">
        <v>6468</v>
      </c>
      <c r="B2806" s="1" t="s">
        <v>6469</v>
      </c>
      <c r="C2806" s="1" t="s">
        <v>531</v>
      </c>
      <c r="E2806" s="1">
        <v>22.5333071</v>
      </c>
      <c r="F2806" s="1">
        <v>88.3876786</v>
      </c>
      <c r="G2806" s="1" t="s">
        <v>2511</v>
      </c>
      <c r="H2806" s="1" t="s">
        <v>2512</v>
      </c>
      <c r="J2806" s="1" t="s">
        <v>118</v>
      </c>
      <c r="P2806" s="1" t="s">
        <v>5231</v>
      </c>
      <c r="Q2806" s="1" t="s">
        <v>5232</v>
      </c>
      <c r="R2806" s="1">
        <v>1.0</v>
      </c>
      <c r="S2806" s="1"/>
    </row>
    <row r="2807" ht="15.75" customHeight="1">
      <c r="A2807" s="1" t="s">
        <v>6470</v>
      </c>
      <c r="B2807" s="1" t="s">
        <v>6471</v>
      </c>
      <c r="C2807" s="1" t="s">
        <v>531</v>
      </c>
      <c r="E2807" s="1">
        <v>22.5453033</v>
      </c>
      <c r="F2807" s="1">
        <v>88.36762540000001</v>
      </c>
      <c r="G2807" s="1" t="s">
        <v>2511</v>
      </c>
      <c r="H2807" s="1" t="s">
        <v>2512</v>
      </c>
      <c r="J2807" s="1" t="s">
        <v>56</v>
      </c>
      <c r="P2807" s="1" t="s">
        <v>5231</v>
      </c>
      <c r="Q2807" s="1" t="s">
        <v>5232</v>
      </c>
      <c r="R2807" s="1">
        <v>1.0</v>
      </c>
      <c r="S2807" s="1"/>
    </row>
    <row r="2808" ht="15.75" customHeight="1">
      <c r="A2808" s="1" t="s">
        <v>6472</v>
      </c>
      <c r="B2808" s="1" t="s">
        <v>6473</v>
      </c>
      <c r="C2808" s="1" t="s">
        <v>531</v>
      </c>
      <c r="E2808" s="1">
        <v>22.5415024</v>
      </c>
      <c r="F2808" s="1">
        <v>88.26925059999999</v>
      </c>
      <c r="G2808" s="1" t="s">
        <v>2511</v>
      </c>
      <c r="H2808" s="1" t="s">
        <v>2512</v>
      </c>
      <c r="J2808" s="1" t="s">
        <v>118</v>
      </c>
      <c r="P2808" s="1" t="s">
        <v>5231</v>
      </c>
      <c r="Q2808" s="1" t="s">
        <v>5232</v>
      </c>
      <c r="R2808" s="1">
        <v>1.0</v>
      </c>
      <c r="S2808" s="1"/>
    </row>
    <row r="2809" ht="15.75" customHeight="1">
      <c r="A2809" s="1" t="s">
        <v>6474</v>
      </c>
      <c r="B2809" s="1" t="s">
        <v>6475</v>
      </c>
      <c r="C2809" s="1" t="s">
        <v>174</v>
      </c>
      <c r="E2809" s="1">
        <v>28.5558694</v>
      </c>
      <c r="F2809" s="1">
        <v>77.2508024</v>
      </c>
      <c r="G2809" s="1" t="s">
        <v>2511</v>
      </c>
      <c r="H2809" s="1" t="s">
        <v>2512</v>
      </c>
      <c r="J2809" s="1" t="s">
        <v>118</v>
      </c>
      <c r="P2809" s="1" t="s">
        <v>175</v>
      </c>
      <c r="Q2809" s="1" t="s">
        <v>176</v>
      </c>
      <c r="R2809" s="1">
        <v>1.0</v>
      </c>
      <c r="S2809" s="1"/>
    </row>
    <row r="2810" ht="15.75" customHeight="1">
      <c r="A2810" s="1" t="s">
        <v>6476</v>
      </c>
      <c r="B2810" s="1" t="s">
        <v>6477</v>
      </c>
      <c r="C2810" s="1" t="s">
        <v>174</v>
      </c>
      <c r="E2810" s="1">
        <v>28.5894707</v>
      </c>
      <c r="F2810" s="1">
        <v>77.0715587</v>
      </c>
      <c r="G2810" s="1" t="s">
        <v>2511</v>
      </c>
      <c r="H2810" s="1" t="s">
        <v>2512</v>
      </c>
      <c r="J2810" s="1" t="s">
        <v>118</v>
      </c>
      <c r="P2810" s="1" t="s">
        <v>175</v>
      </c>
      <c r="Q2810" s="1" t="s">
        <v>176</v>
      </c>
      <c r="R2810" s="1">
        <v>3.0</v>
      </c>
      <c r="S2810" s="1"/>
    </row>
    <row r="2811" ht="15.75" customHeight="1">
      <c r="A2811" s="1" t="s">
        <v>6478</v>
      </c>
      <c r="B2811" s="1" t="s">
        <v>6479</v>
      </c>
      <c r="C2811" s="1" t="s">
        <v>174</v>
      </c>
      <c r="E2811" s="1">
        <v>28.6778398</v>
      </c>
      <c r="F2811" s="1">
        <v>77.1912206</v>
      </c>
      <c r="G2811" s="1" t="s">
        <v>2511</v>
      </c>
      <c r="H2811" s="1" t="s">
        <v>2512</v>
      </c>
      <c r="J2811" s="1" t="s">
        <v>118</v>
      </c>
      <c r="P2811" s="1" t="s">
        <v>6480</v>
      </c>
      <c r="Q2811" s="1" t="s">
        <v>6481</v>
      </c>
      <c r="R2811" s="1">
        <v>3.0</v>
      </c>
      <c r="S2811" s="1"/>
    </row>
    <row r="2812" ht="15.75" customHeight="1">
      <c r="A2812" s="1" t="s">
        <v>6482</v>
      </c>
      <c r="B2812" s="1" t="s">
        <v>5484</v>
      </c>
      <c r="C2812" s="1" t="s">
        <v>3932</v>
      </c>
      <c r="E2812" s="1">
        <v>25.4556396</v>
      </c>
      <c r="F2812" s="1">
        <v>78.55040489999999</v>
      </c>
      <c r="G2812" s="1" t="s">
        <v>6096</v>
      </c>
      <c r="H2812" s="1" t="s">
        <v>6097</v>
      </c>
      <c r="I2812" s="1" t="s">
        <v>1799</v>
      </c>
      <c r="J2812" s="1" t="s">
        <v>56</v>
      </c>
      <c r="K2812" s="1" t="s">
        <v>2892</v>
      </c>
      <c r="L2812" s="1" t="s">
        <v>27</v>
      </c>
      <c r="N2812" s="1" t="s">
        <v>28</v>
      </c>
      <c r="O2812" s="1" t="s">
        <v>57</v>
      </c>
      <c r="P2812" s="1" t="s">
        <v>6483</v>
      </c>
      <c r="Q2812" s="1" t="s">
        <v>6484</v>
      </c>
      <c r="R2812" s="1">
        <v>0.0</v>
      </c>
      <c r="S2812" s="1" t="str">
        <f>IFERROR(__xludf.DUMMYFUNCTION("""COMPUTED_VALUE"""),"store_003635")</f>
        <v>store_003635</v>
      </c>
    </row>
    <row r="2813" ht="15.75" customHeight="1">
      <c r="A2813" s="1" t="s">
        <v>6485</v>
      </c>
      <c r="B2813" s="1" t="s">
        <v>6486</v>
      </c>
      <c r="C2813" s="1" t="s">
        <v>4509</v>
      </c>
      <c r="E2813" s="1">
        <v>27.8904075</v>
      </c>
      <c r="F2813" s="1">
        <v>78.081555</v>
      </c>
      <c r="G2813" s="1" t="s">
        <v>6096</v>
      </c>
      <c r="H2813" s="1" t="s">
        <v>6097</v>
      </c>
      <c r="I2813" s="1" t="s">
        <v>1799</v>
      </c>
      <c r="J2813" s="1" t="s">
        <v>56</v>
      </c>
      <c r="K2813" s="1" t="s">
        <v>2892</v>
      </c>
      <c r="L2813" s="1" t="s">
        <v>27</v>
      </c>
      <c r="N2813" s="1" t="s">
        <v>28</v>
      </c>
      <c r="O2813" s="1" t="s">
        <v>57</v>
      </c>
      <c r="P2813" s="1" t="s">
        <v>6483</v>
      </c>
      <c r="Q2813" s="1" t="s">
        <v>6484</v>
      </c>
      <c r="R2813" s="1">
        <v>0.0</v>
      </c>
      <c r="S2813" s="1"/>
    </row>
    <row r="2814" ht="15.75" customHeight="1">
      <c r="A2814" s="1" t="s">
        <v>6487</v>
      </c>
      <c r="B2814" s="1" t="s">
        <v>5486</v>
      </c>
      <c r="C2814" s="1" t="s">
        <v>5487</v>
      </c>
      <c r="E2814" s="1">
        <v>27.4950864</v>
      </c>
      <c r="F2814" s="1">
        <v>77.6713826</v>
      </c>
      <c r="G2814" s="1" t="s">
        <v>6096</v>
      </c>
      <c r="H2814" s="1" t="s">
        <v>6097</v>
      </c>
      <c r="I2814" s="1" t="s">
        <v>1799</v>
      </c>
      <c r="J2814" s="1" t="s">
        <v>56</v>
      </c>
      <c r="K2814" s="1" t="s">
        <v>2892</v>
      </c>
      <c r="L2814" s="1" t="s">
        <v>27</v>
      </c>
      <c r="N2814" s="1" t="s">
        <v>28</v>
      </c>
      <c r="O2814" s="1" t="s">
        <v>57</v>
      </c>
      <c r="P2814" s="1" t="s">
        <v>6483</v>
      </c>
      <c r="Q2814" s="1" t="s">
        <v>6484</v>
      </c>
      <c r="R2814" s="1">
        <v>0.0</v>
      </c>
      <c r="S2814" s="1" t="str">
        <f>IFERROR(__xludf.DUMMYFUNCTION("""COMPUTED_VALUE"""),"store_003637")</f>
        <v>store_003637</v>
      </c>
    </row>
    <row r="2815" ht="15.75" customHeight="1">
      <c r="A2815" s="1" t="s">
        <v>6488</v>
      </c>
      <c r="B2815" s="1" t="s">
        <v>5489</v>
      </c>
      <c r="C2815" s="1" t="s">
        <v>5490</v>
      </c>
      <c r="E2815" s="1">
        <v>27.2261324</v>
      </c>
      <c r="F2815" s="1">
        <v>79.0336714</v>
      </c>
      <c r="G2815" s="1" t="s">
        <v>6096</v>
      </c>
      <c r="H2815" s="1" t="s">
        <v>6097</v>
      </c>
      <c r="I2815" s="1" t="s">
        <v>1799</v>
      </c>
      <c r="J2815" s="1" t="s">
        <v>56</v>
      </c>
      <c r="K2815" s="1" t="s">
        <v>2892</v>
      </c>
      <c r="L2815" s="1" t="s">
        <v>27</v>
      </c>
      <c r="N2815" s="1" t="s">
        <v>28</v>
      </c>
      <c r="O2815" s="1" t="s">
        <v>57</v>
      </c>
      <c r="P2815" s="1" t="s">
        <v>6483</v>
      </c>
      <c r="Q2815" s="1" t="s">
        <v>6484</v>
      </c>
      <c r="R2815" s="1">
        <v>0.0</v>
      </c>
      <c r="S2815" s="1" t="str">
        <f>IFERROR(__xludf.DUMMYFUNCTION("""COMPUTED_VALUE"""),"store_003638")</f>
        <v>store_003638</v>
      </c>
    </row>
    <row r="2816" ht="15.75" customHeight="1">
      <c r="A2816" s="1" t="s">
        <v>6489</v>
      </c>
      <c r="B2816" s="1" t="s">
        <v>5492</v>
      </c>
      <c r="C2816" s="1" t="s">
        <v>5493</v>
      </c>
      <c r="E2816" s="1">
        <v>27.8104449</v>
      </c>
      <c r="F2816" s="1">
        <v>78.6466023</v>
      </c>
      <c r="G2816" s="1" t="s">
        <v>6096</v>
      </c>
      <c r="H2816" s="1" t="s">
        <v>6097</v>
      </c>
      <c r="I2816" s="1" t="s">
        <v>1799</v>
      </c>
      <c r="J2816" s="1" t="s">
        <v>56</v>
      </c>
      <c r="K2816" s="1" t="s">
        <v>2892</v>
      </c>
      <c r="L2816" s="1" t="s">
        <v>27</v>
      </c>
      <c r="N2816" s="1" t="s">
        <v>28</v>
      </c>
      <c r="O2816" s="1" t="s">
        <v>57</v>
      </c>
      <c r="P2816" s="1" t="s">
        <v>6483</v>
      </c>
      <c r="Q2816" s="1" t="s">
        <v>6484</v>
      </c>
      <c r="R2816" s="1">
        <v>0.0</v>
      </c>
      <c r="S2816" s="1" t="str">
        <f>IFERROR(__xludf.DUMMYFUNCTION("""COMPUTED_VALUE"""),"store_003639")</f>
        <v>store_003639</v>
      </c>
    </row>
    <row r="2817" ht="15.75" customHeight="1">
      <c r="A2817" s="1" t="s">
        <v>6490</v>
      </c>
      <c r="B2817" s="1" t="s">
        <v>5495</v>
      </c>
      <c r="C2817" s="1" t="s">
        <v>4773</v>
      </c>
      <c r="E2817" s="1">
        <v>27.5582857</v>
      </c>
      <c r="F2817" s="1">
        <v>78.6592483</v>
      </c>
      <c r="G2817" s="1" t="s">
        <v>6096</v>
      </c>
      <c r="H2817" s="1" t="s">
        <v>6097</v>
      </c>
      <c r="I2817" s="1" t="s">
        <v>1799</v>
      </c>
      <c r="J2817" s="1" t="s">
        <v>56</v>
      </c>
      <c r="K2817" s="1" t="s">
        <v>2892</v>
      </c>
      <c r="L2817" s="1" t="s">
        <v>27</v>
      </c>
      <c r="N2817" s="1" t="s">
        <v>28</v>
      </c>
      <c r="O2817" s="1" t="s">
        <v>57</v>
      </c>
      <c r="P2817" s="1" t="s">
        <v>6483</v>
      </c>
      <c r="Q2817" s="1" t="s">
        <v>6484</v>
      </c>
      <c r="R2817" s="1">
        <v>0.0</v>
      </c>
      <c r="S2817" s="1" t="str">
        <f>IFERROR(__xludf.DUMMYFUNCTION("""COMPUTED_VALUE"""),"store_003640")</f>
        <v>store_003640</v>
      </c>
    </row>
    <row r="2818" ht="15.75" customHeight="1">
      <c r="A2818" s="1" t="s">
        <v>6491</v>
      </c>
      <c r="B2818" s="1" t="s">
        <v>5497</v>
      </c>
      <c r="C2818" s="1" t="s">
        <v>5498</v>
      </c>
      <c r="E2818" s="1">
        <v>27.5924443</v>
      </c>
      <c r="F2818" s="1">
        <v>78.0501151</v>
      </c>
      <c r="G2818" s="1" t="s">
        <v>6096</v>
      </c>
      <c r="H2818" s="1" t="s">
        <v>6097</v>
      </c>
      <c r="I2818" s="1" t="s">
        <v>1799</v>
      </c>
      <c r="J2818" s="1" t="s">
        <v>56</v>
      </c>
      <c r="K2818" s="1" t="s">
        <v>2892</v>
      </c>
      <c r="L2818" s="1" t="s">
        <v>27</v>
      </c>
      <c r="N2818" s="1" t="s">
        <v>28</v>
      </c>
      <c r="O2818" s="1" t="s">
        <v>57</v>
      </c>
      <c r="P2818" s="1" t="s">
        <v>6483</v>
      </c>
      <c r="Q2818" s="1" t="s">
        <v>6484</v>
      </c>
      <c r="R2818" s="1">
        <v>0.0</v>
      </c>
      <c r="S2818" s="1" t="str">
        <f>IFERROR(__xludf.DUMMYFUNCTION("""COMPUTED_VALUE"""),"store_003641")</f>
        <v>store_003641</v>
      </c>
    </row>
    <row r="2819" ht="15.75" customHeight="1">
      <c r="A2819" s="1" t="s">
        <v>6492</v>
      </c>
      <c r="B2819" s="1" t="s">
        <v>5500</v>
      </c>
      <c r="C2819" s="1" t="s">
        <v>5501</v>
      </c>
      <c r="E2819" s="1">
        <v>27.1041105</v>
      </c>
      <c r="F2819" s="1">
        <v>78.5824365</v>
      </c>
      <c r="G2819" s="1" t="s">
        <v>6096</v>
      </c>
      <c r="H2819" s="1" t="s">
        <v>6097</v>
      </c>
      <c r="I2819" s="1" t="s">
        <v>1799</v>
      </c>
      <c r="J2819" s="1" t="s">
        <v>56</v>
      </c>
      <c r="K2819" s="1" t="s">
        <v>2892</v>
      </c>
      <c r="L2819" s="1" t="s">
        <v>27</v>
      </c>
      <c r="N2819" s="1" t="s">
        <v>28</v>
      </c>
      <c r="O2819" s="1" t="s">
        <v>57</v>
      </c>
      <c r="P2819" s="1" t="s">
        <v>6483</v>
      </c>
      <c r="Q2819" s="1" t="s">
        <v>6484</v>
      </c>
      <c r="R2819" s="1">
        <v>0.0</v>
      </c>
      <c r="S2819" s="1" t="str">
        <f>IFERROR(__xludf.DUMMYFUNCTION("""COMPUTED_VALUE"""),"store_003642")</f>
        <v>store_003642</v>
      </c>
    </row>
    <row r="2820" ht="15.75" customHeight="1">
      <c r="A2820" s="1" t="s">
        <v>6493</v>
      </c>
      <c r="B2820" s="1" t="s">
        <v>5503</v>
      </c>
      <c r="C2820" s="1" t="s">
        <v>5504</v>
      </c>
      <c r="E2820" s="1">
        <v>26.783909</v>
      </c>
      <c r="F2820" s="1">
        <v>79.0239668</v>
      </c>
      <c r="G2820" s="1" t="s">
        <v>6096</v>
      </c>
      <c r="H2820" s="1" t="s">
        <v>6097</v>
      </c>
      <c r="I2820" s="1" t="s">
        <v>1799</v>
      </c>
      <c r="J2820" s="1" t="s">
        <v>56</v>
      </c>
      <c r="K2820" s="1" t="s">
        <v>2892</v>
      </c>
      <c r="L2820" s="1" t="s">
        <v>27</v>
      </c>
      <c r="N2820" s="1" t="s">
        <v>28</v>
      </c>
      <c r="O2820" s="1" t="s">
        <v>57</v>
      </c>
      <c r="P2820" s="1" t="s">
        <v>6483</v>
      </c>
      <c r="Q2820" s="1" t="s">
        <v>6484</v>
      </c>
      <c r="R2820" s="1">
        <v>0.0</v>
      </c>
      <c r="S2820" s="1" t="str">
        <f>IFERROR(__xludf.DUMMYFUNCTION("""COMPUTED_VALUE"""),"store_003643")</f>
        <v>store_003643</v>
      </c>
    </row>
    <row r="2821" ht="15.75" customHeight="1">
      <c r="A2821" s="1" t="s">
        <v>6494</v>
      </c>
      <c r="B2821" s="1" t="s">
        <v>6495</v>
      </c>
      <c r="C2821" s="1" t="s">
        <v>6496</v>
      </c>
      <c r="E2821" s="1">
        <v>28.6301677</v>
      </c>
      <c r="F2821" s="1">
        <v>77.2760629</v>
      </c>
      <c r="G2821" s="1" t="s">
        <v>6096</v>
      </c>
      <c r="H2821" s="1" t="s">
        <v>6097</v>
      </c>
      <c r="I2821" s="1" t="s">
        <v>1799</v>
      </c>
      <c r="J2821" s="1" t="s">
        <v>56</v>
      </c>
      <c r="K2821" s="1" t="s">
        <v>2892</v>
      </c>
      <c r="L2821" s="1" t="s">
        <v>27</v>
      </c>
      <c r="N2821" s="1" t="s">
        <v>28</v>
      </c>
      <c r="O2821" s="1" t="s">
        <v>57</v>
      </c>
      <c r="P2821" s="1" t="s">
        <v>6483</v>
      </c>
      <c r="Q2821" s="1" t="s">
        <v>6484</v>
      </c>
      <c r="R2821" s="1">
        <v>0.0</v>
      </c>
      <c r="S2821" s="1"/>
    </row>
    <row r="2822" ht="15.75" customHeight="1">
      <c r="A2822" s="1" t="s">
        <v>6497</v>
      </c>
      <c r="B2822" s="1" t="s">
        <v>6498</v>
      </c>
      <c r="C2822" s="1" t="s">
        <v>617</v>
      </c>
      <c r="E2822" s="1">
        <v>28.3821653</v>
      </c>
      <c r="F2822" s="1">
        <v>79.4351282</v>
      </c>
      <c r="G2822" s="1" t="s">
        <v>6096</v>
      </c>
      <c r="H2822" s="1" t="s">
        <v>6097</v>
      </c>
      <c r="I2822" s="1" t="s">
        <v>1799</v>
      </c>
      <c r="J2822" s="1" t="s">
        <v>56</v>
      </c>
      <c r="K2822" s="1" t="s">
        <v>2892</v>
      </c>
      <c r="L2822" s="1" t="s">
        <v>27</v>
      </c>
      <c r="N2822" s="1" t="s">
        <v>28</v>
      </c>
      <c r="O2822" s="1" t="s">
        <v>57</v>
      </c>
      <c r="P2822" s="1" t="s">
        <v>6483</v>
      </c>
      <c r="Q2822" s="1" t="s">
        <v>6484</v>
      </c>
      <c r="R2822" s="1">
        <v>0.0</v>
      </c>
      <c r="S2822" s="1"/>
    </row>
    <row r="2823" ht="15.75" customHeight="1">
      <c r="A2823" s="1" t="s">
        <v>6499</v>
      </c>
      <c r="B2823" s="1" t="s">
        <v>5506</v>
      </c>
      <c r="C2823" s="1" t="s">
        <v>5507</v>
      </c>
      <c r="E2823" s="1">
        <v>28.5786372</v>
      </c>
      <c r="F2823" s="1">
        <v>78.5606598</v>
      </c>
      <c r="G2823" s="1" t="s">
        <v>6096</v>
      </c>
      <c r="H2823" s="1" t="s">
        <v>6097</v>
      </c>
      <c r="I2823" s="1" t="s">
        <v>1799</v>
      </c>
      <c r="J2823" s="1" t="s">
        <v>56</v>
      </c>
      <c r="K2823" s="1" t="s">
        <v>2892</v>
      </c>
      <c r="L2823" s="1" t="s">
        <v>27</v>
      </c>
      <c r="N2823" s="1" t="s">
        <v>28</v>
      </c>
      <c r="O2823" s="1" t="s">
        <v>57</v>
      </c>
      <c r="P2823" s="1" t="s">
        <v>6483</v>
      </c>
      <c r="Q2823" s="1" t="s">
        <v>6484</v>
      </c>
      <c r="R2823" s="1">
        <v>0.0</v>
      </c>
      <c r="S2823" s="1" t="str">
        <f>IFERROR(__xludf.DUMMYFUNCTION("""COMPUTED_VALUE"""),"store_003646")</f>
        <v>store_003646</v>
      </c>
    </row>
    <row r="2824" ht="15.75" customHeight="1">
      <c r="A2824" s="1" t="s">
        <v>6500</v>
      </c>
      <c r="B2824" s="1" t="s">
        <v>5509</v>
      </c>
      <c r="C2824" s="1" t="s">
        <v>5510</v>
      </c>
      <c r="E2824" s="1">
        <v>27.725219</v>
      </c>
      <c r="F2824" s="1">
        <v>79.65604669999999</v>
      </c>
      <c r="G2824" s="1" t="s">
        <v>6096</v>
      </c>
      <c r="H2824" s="1" t="s">
        <v>6097</v>
      </c>
      <c r="I2824" s="1" t="s">
        <v>1799</v>
      </c>
      <c r="J2824" s="1" t="s">
        <v>56</v>
      </c>
      <c r="K2824" s="1" t="s">
        <v>2892</v>
      </c>
      <c r="L2824" s="1" t="s">
        <v>27</v>
      </c>
      <c r="N2824" s="1" t="s">
        <v>28</v>
      </c>
      <c r="O2824" s="1" t="s">
        <v>57</v>
      </c>
      <c r="P2824" s="1" t="s">
        <v>6483</v>
      </c>
      <c r="Q2824" s="1" t="s">
        <v>6484</v>
      </c>
      <c r="R2824" s="1">
        <v>0.0</v>
      </c>
      <c r="S2824" s="1" t="str">
        <f>IFERROR(__xludf.DUMMYFUNCTION("""COMPUTED_VALUE"""),"store_003647")</f>
        <v>store_003647</v>
      </c>
    </row>
    <row r="2825" ht="15.75" customHeight="1">
      <c r="A2825" s="1" t="s">
        <v>6501</v>
      </c>
      <c r="B2825" s="1" t="s">
        <v>5512</v>
      </c>
      <c r="C2825" s="1" t="s">
        <v>5513</v>
      </c>
      <c r="E2825" s="1">
        <v>28.620746</v>
      </c>
      <c r="F2825" s="1">
        <v>79.8115507</v>
      </c>
      <c r="G2825" s="1" t="s">
        <v>6096</v>
      </c>
      <c r="H2825" s="1" t="s">
        <v>6097</v>
      </c>
      <c r="I2825" s="1" t="s">
        <v>1799</v>
      </c>
      <c r="J2825" s="1" t="s">
        <v>56</v>
      </c>
      <c r="K2825" s="1" t="s">
        <v>2892</v>
      </c>
      <c r="L2825" s="1" t="s">
        <v>27</v>
      </c>
      <c r="N2825" s="1" t="s">
        <v>28</v>
      </c>
      <c r="O2825" s="1" t="s">
        <v>57</v>
      </c>
      <c r="P2825" s="1" t="s">
        <v>6483</v>
      </c>
      <c r="Q2825" s="1" t="s">
        <v>6484</v>
      </c>
      <c r="R2825" s="1">
        <v>0.0</v>
      </c>
      <c r="S2825" s="1" t="str">
        <f>IFERROR(__xludf.DUMMYFUNCTION("""COMPUTED_VALUE"""),"store_003648")</f>
        <v>store_003648</v>
      </c>
    </row>
    <row r="2826" ht="15.75" customHeight="1">
      <c r="A2826" s="1" t="s">
        <v>6502</v>
      </c>
      <c r="B2826" s="1" t="s">
        <v>5515</v>
      </c>
      <c r="C2826" s="1" t="s">
        <v>5516</v>
      </c>
      <c r="E2826" s="1">
        <v>28.3478141</v>
      </c>
      <c r="F2826" s="1">
        <v>79.42623449999999</v>
      </c>
      <c r="G2826" s="1" t="s">
        <v>6096</v>
      </c>
      <c r="H2826" s="1" t="s">
        <v>6097</v>
      </c>
      <c r="I2826" s="1" t="s">
        <v>1799</v>
      </c>
      <c r="J2826" s="1" t="s">
        <v>56</v>
      </c>
      <c r="K2826" s="1" t="s">
        <v>2892</v>
      </c>
      <c r="L2826" s="1" t="s">
        <v>27</v>
      </c>
      <c r="N2826" s="1" t="s">
        <v>28</v>
      </c>
      <c r="O2826" s="1" t="s">
        <v>57</v>
      </c>
      <c r="P2826" s="1" t="s">
        <v>6483</v>
      </c>
      <c r="Q2826" s="1" t="s">
        <v>6484</v>
      </c>
      <c r="R2826" s="1">
        <v>0.0</v>
      </c>
      <c r="S2826" s="1" t="str">
        <f>IFERROR(__xludf.DUMMYFUNCTION("""COMPUTED_VALUE"""),"store_003649")</f>
        <v>store_003649</v>
      </c>
    </row>
    <row r="2827" ht="15.75" customHeight="1">
      <c r="A2827" s="1" t="s">
        <v>6503</v>
      </c>
      <c r="B2827" s="1" t="s">
        <v>5455</v>
      </c>
      <c r="C2827" s="1" t="s">
        <v>4007</v>
      </c>
      <c r="E2827" s="1">
        <v>29.2189372</v>
      </c>
      <c r="F2827" s="1">
        <v>79.5146334</v>
      </c>
      <c r="G2827" s="1" t="s">
        <v>6096</v>
      </c>
      <c r="H2827" s="1" t="s">
        <v>6097</v>
      </c>
      <c r="I2827" s="1" t="s">
        <v>1799</v>
      </c>
      <c r="J2827" s="1" t="s">
        <v>56</v>
      </c>
      <c r="K2827" s="1" t="s">
        <v>2892</v>
      </c>
      <c r="L2827" s="1" t="s">
        <v>27</v>
      </c>
      <c r="N2827" s="1" t="s">
        <v>1950</v>
      </c>
      <c r="O2827" s="1" t="s">
        <v>57</v>
      </c>
      <c r="P2827" s="1" t="s">
        <v>6504</v>
      </c>
      <c r="Q2827" s="1" t="s">
        <v>6505</v>
      </c>
      <c r="R2827" s="1">
        <v>0.0</v>
      </c>
      <c r="S2827" s="1" t="str">
        <f>IFERROR(__xludf.DUMMYFUNCTION("""COMPUTED_VALUE"""),"store_003622")</f>
        <v>store_003622</v>
      </c>
    </row>
    <row r="2828" ht="15.75" customHeight="1">
      <c r="A2828" s="1" t="s">
        <v>6506</v>
      </c>
      <c r="B2828" s="1" t="s">
        <v>5518</v>
      </c>
      <c r="C2828" s="1" t="s">
        <v>5519</v>
      </c>
      <c r="E2828" s="1">
        <v>28.9123431</v>
      </c>
      <c r="F2828" s="1">
        <v>79.5137424</v>
      </c>
      <c r="G2828" s="1" t="s">
        <v>6096</v>
      </c>
      <c r="H2828" s="1" t="s">
        <v>6097</v>
      </c>
      <c r="I2828" s="1" t="s">
        <v>1799</v>
      </c>
      <c r="J2828" s="1" t="s">
        <v>56</v>
      </c>
      <c r="K2828" s="1" t="s">
        <v>2892</v>
      </c>
      <c r="L2828" s="1" t="s">
        <v>27</v>
      </c>
      <c r="N2828" s="1" t="s">
        <v>28</v>
      </c>
      <c r="O2828" s="1" t="s">
        <v>57</v>
      </c>
      <c r="P2828" s="1" t="s">
        <v>6483</v>
      </c>
      <c r="Q2828" s="1" t="s">
        <v>6484</v>
      </c>
      <c r="R2828" s="1">
        <v>0.0</v>
      </c>
      <c r="S2828" s="1" t="str">
        <f>IFERROR(__xludf.DUMMYFUNCTION("""COMPUTED_VALUE"""),"store_003650")</f>
        <v>store_003650</v>
      </c>
    </row>
    <row r="2829" ht="15.75" customHeight="1">
      <c r="A2829" s="1" t="s">
        <v>6507</v>
      </c>
      <c r="B2829" s="1" t="s">
        <v>5521</v>
      </c>
      <c r="C2829" s="1" t="s">
        <v>1949</v>
      </c>
      <c r="E2829" s="1">
        <v>29.2210082</v>
      </c>
      <c r="F2829" s="1">
        <v>78.96614919999999</v>
      </c>
      <c r="G2829" s="1" t="s">
        <v>6096</v>
      </c>
      <c r="H2829" s="1" t="s">
        <v>6097</v>
      </c>
      <c r="I2829" s="1" t="s">
        <v>1799</v>
      </c>
      <c r="J2829" s="1" t="s">
        <v>56</v>
      </c>
      <c r="K2829" s="1" t="s">
        <v>2892</v>
      </c>
      <c r="L2829" s="1" t="s">
        <v>27</v>
      </c>
      <c r="N2829" s="1" t="s">
        <v>1950</v>
      </c>
      <c r="O2829" s="1" t="s">
        <v>57</v>
      </c>
      <c r="P2829" s="1" t="s">
        <v>6504</v>
      </c>
      <c r="Q2829" s="1" t="s">
        <v>6505</v>
      </c>
      <c r="R2829" s="1">
        <v>0.0</v>
      </c>
      <c r="S2829" s="1" t="str">
        <f>IFERROR(__xludf.DUMMYFUNCTION("""COMPUTED_VALUE"""),"store_003651")</f>
        <v>store_003651</v>
      </c>
    </row>
    <row r="2830" ht="15.75" customHeight="1">
      <c r="A2830" s="1" t="s">
        <v>6508</v>
      </c>
      <c r="B2830" s="1" t="s">
        <v>5523</v>
      </c>
      <c r="C2830" s="1" t="s">
        <v>5524</v>
      </c>
      <c r="E2830" s="1">
        <v>29.8322813</v>
      </c>
      <c r="F2830" s="1">
        <v>79.7715947</v>
      </c>
      <c r="G2830" s="1" t="s">
        <v>6096</v>
      </c>
      <c r="H2830" s="1" t="s">
        <v>6097</v>
      </c>
      <c r="I2830" s="1" t="s">
        <v>1799</v>
      </c>
      <c r="J2830" s="1" t="s">
        <v>56</v>
      </c>
      <c r="K2830" s="1" t="s">
        <v>2892</v>
      </c>
      <c r="L2830" s="1" t="s">
        <v>27</v>
      </c>
      <c r="N2830" s="1" t="s">
        <v>28</v>
      </c>
      <c r="O2830" s="1" t="s">
        <v>57</v>
      </c>
      <c r="P2830" s="1" t="s">
        <v>6483</v>
      </c>
      <c r="Q2830" s="1" t="s">
        <v>6484</v>
      </c>
      <c r="R2830" s="1">
        <v>0.0</v>
      </c>
      <c r="S2830" s="1" t="str">
        <f>IFERROR(__xludf.DUMMYFUNCTION("""COMPUTED_VALUE"""),"store_003652")</f>
        <v>store_003652</v>
      </c>
    </row>
    <row r="2831" ht="15.75" customHeight="1">
      <c r="A2831" s="1" t="s">
        <v>6509</v>
      </c>
      <c r="B2831" s="1" t="s">
        <v>5528</v>
      </c>
      <c r="C2831" s="1" t="s">
        <v>1949</v>
      </c>
      <c r="E2831" s="1">
        <v>30.469958</v>
      </c>
      <c r="F2831" s="1">
        <v>77.7732954</v>
      </c>
      <c r="G2831" s="1" t="s">
        <v>6096</v>
      </c>
      <c r="H2831" s="1" t="s">
        <v>6097</v>
      </c>
      <c r="I2831" s="1" t="s">
        <v>1799</v>
      </c>
      <c r="J2831" s="1" t="s">
        <v>56</v>
      </c>
      <c r="K2831" s="1" t="s">
        <v>2892</v>
      </c>
      <c r="L2831" s="1" t="s">
        <v>27</v>
      </c>
      <c r="N2831" s="1" t="s">
        <v>1950</v>
      </c>
      <c r="O2831" s="1" t="s">
        <v>57</v>
      </c>
      <c r="P2831" s="1" t="s">
        <v>6504</v>
      </c>
      <c r="Q2831" s="1" t="s">
        <v>6505</v>
      </c>
      <c r="R2831" s="1">
        <v>0.0</v>
      </c>
      <c r="S2831" s="1" t="str">
        <f>IFERROR(__xludf.DUMMYFUNCTION("""COMPUTED_VALUE"""),"store_003654")</f>
        <v>store_003654</v>
      </c>
    </row>
    <row r="2832" ht="15.75" customHeight="1">
      <c r="A2832" s="1" t="s">
        <v>6510</v>
      </c>
      <c r="B2832" s="1" t="s">
        <v>5530</v>
      </c>
      <c r="C2832" s="1" t="s">
        <v>5531</v>
      </c>
      <c r="E2832" s="1">
        <v>28.9233048</v>
      </c>
      <c r="F2832" s="1">
        <v>79.96473399999999</v>
      </c>
      <c r="G2832" s="1" t="s">
        <v>6096</v>
      </c>
      <c r="H2832" s="1" t="s">
        <v>6097</v>
      </c>
      <c r="I2832" s="1" t="s">
        <v>1799</v>
      </c>
      <c r="J2832" s="1" t="s">
        <v>56</v>
      </c>
      <c r="K2832" s="1" t="s">
        <v>2892</v>
      </c>
      <c r="L2832" s="1" t="s">
        <v>27</v>
      </c>
      <c r="N2832" s="1" t="s">
        <v>28</v>
      </c>
      <c r="O2832" s="1" t="s">
        <v>57</v>
      </c>
      <c r="P2832" s="1" t="s">
        <v>6483</v>
      </c>
      <c r="Q2832" s="1" t="s">
        <v>6484</v>
      </c>
      <c r="R2832" s="1">
        <v>0.0</v>
      </c>
      <c r="S2832" s="1" t="str">
        <f>IFERROR(__xludf.DUMMYFUNCTION("""COMPUTED_VALUE"""),"store_003655")</f>
        <v>store_003655</v>
      </c>
    </row>
    <row r="2833" ht="15.75" customHeight="1">
      <c r="A2833" s="1" t="s">
        <v>6511</v>
      </c>
      <c r="B2833" s="1" t="s">
        <v>5533</v>
      </c>
      <c r="C2833" s="1" t="s">
        <v>5534</v>
      </c>
      <c r="E2833" s="1">
        <v>28.9123431</v>
      </c>
      <c r="F2833" s="1">
        <v>79.5137424</v>
      </c>
      <c r="G2833" s="1" t="s">
        <v>6096</v>
      </c>
      <c r="H2833" s="1" t="s">
        <v>6097</v>
      </c>
      <c r="I2833" s="1" t="s">
        <v>1799</v>
      </c>
      <c r="J2833" s="1" t="s">
        <v>56</v>
      </c>
      <c r="K2833" s="1" t="s">
        <v>2892</v>
      </c>
      <c r="L2833" s="1" t="s">
        <v>27</v>
      </c>
      <c r="N2833" s="1" t="s">
        <v>28</v>
      </c>
      <c r="O2833" s="1" t="s">
        <v>57</v>
      </c>
      <c r="P2833" s="1" t="s">
        <v>6483</v>
      </c>
      <c r="Q2833" s="1" t="s">
        <v>6484</v>
      </c>
      <c r="R2833" s="1">
        <v>0.0</v>
      </c>
      <c r="S2833" s="1" t="str">
        <f>IFERROR(__xludf.DUMMYFUNCTION("""COMPUTED_VALUE"""),"store_003656")</f>
        <v>store_003656</v>
      </c>
    </row>
    <row r="2834" ht="15.75" customHeight="1">
      <c r="A2834" s="1" t="s">
        <v>6512</v>
      </c>
      <c r="B2834" s="1" t="s">
        <v>5536</v>
      </c>
      <c r="C2834" s="1" t="s">
        <v>765</v>
      </c>
      <c r="E2834" s="1">
        <v>26.7507335</v>
      </c>
      <c r="F2834" s="1">
        <v>83.3705002</v>
      </c>
      <c r="G2834" s="1" t="s">
        <v>6096</v>
      </c>
      <c r="H2834" s="1" t="s">
        <v>6097</v>
      </c>
      <c r="I2834" s="1" t="s">
        <v>1799</v>
      </c>
      <c r="J2834" s="1" t="s">
        <v>56</v>
      </c>
      <c r="K2834" s="1" t="s">
        <v>2892</v>
      </c>
      <c r="L2834" s="1" t="s">
        <v>27</v>
      </c>
      <c r="N2834" s="1" t="s">
        <v>28</v>
      </c>
      <c r="O2834" s="1" t="s">
        <v>57</v>
      </c>
      <c r="P2834" s="1" t="s">
        <v>6504</v>
      </c>
      <c r="Q2834" s="1" t="s">
        <v>6505</v>
      </c>
      <c r="R2834" s="1">
        <v>0.0</v>
      </c>
      <c r="S2834" s="1" t="str">
        <f>IFERROR(__xludf.DUMMYFUNCTION("""COMPUTED_VALUE"""),"store_003657")</f>
        <v>store_003657</v>
      </c>
    </row>
    <row r="2835" ht="15.75" customHeight="1">
      <c r="A2835" s="1" t="s">
        <v>6513</v>
      </c>
      <c r="B2835" s="1" t="s">
        <v>5538</v>
      </c>
      <c r="C2835" s="1" t="s">
        <v>765</v>
      </c>
      <c r="E2835" s="1">
        <v>26.7473498</v>
      </c>
      <c r="F2835" s="1">
        <v>83.3603933</v>
      </c>
      <c r="G2835" s="1" t="s">
        <v>6096</v>
      </c>
      <c r="H2835" s="1" t="s">
        <v>6097</v>
      </c>
      <c r="I2835" s="1" t="s">
        <v>1799</v>
      </c>
      <c r="J2835" s="1" t="s">
        <v>56</v>
      </c>
      <c r="K2835" s="1" t="s">
        <v>2892</v>
      </c>
      <c r="L2835" s="1" t="s">
        <v>27</v>
      </c>
      <c r="N2835" s="1" t="s">
        <v>28</v>
      </c>
      <c r="O2835" s="1" t="s">
        <v>57</v>
      </c>
      <c r="P2835" s="1" t="s">
        <v>6504</v>
      </c>
      <c r="Q2835" s="1" t="s">
        <v>6505</v>
      </c>
      <c r="R2835" s="1">
        <v>0.0</v>
      </c>
      <c r="S2835" s="1" t="str">
        <f>IFERROR(__xludf.DUMMYFUNCTION("""COMPUTED_VALUE"""),"store_003658")</f>
        <v>store_003658</v>
      </c>
    </row>
    <row r="2836" ht="15.75" customHeight="1">
      <c r="A2836" s="1" t="s">
        <v>6514</v>
      </c>
      <c r="B2836" s="1" t="s">
        <v>5540</v>
      </c>
      <c r="C2836" s="1" t="s">
        <v>4290</v>
      </c>
      <c r="E2836" s="1">
        <v>26.5034391</v>
      </c>
      <c r="F2836" s="1">
        <v>83.7808665</v>
      </c>
      <c r="G2836" s="1" t="s">
        <v>6096</v>
      </c>
      <c r="H2836" s="1" t="s">
        <v>6097</v>
      </c>
      <c r="I2836" s="1" t="s">
        <v>1799</v>
      </c>
      <c r="J2836" s="1" t="s">
        <v>56</v>
      </c>
      <c r="K2836" s="1" t="s">
        <v>2892</v>
      </c>
      <c r="L2836" s="1" t="s">
        <v>27</v>
      </c>
      <c r="N2836" s="1" t="s">
        <v>28</v>
      </c>
      <c r="O2836" s="1" t="s">
        <v>57</v>
      </c>
      <c r="P2836" s="1" t="s">
        <v>6483</v>
      </c>
      <c r="Q2836" s="1" t="s">
        <v>6484</v>
      </c>
      <c r="R2836" s="1">
        <v>0.0</v>
      </c>
      <c r="S2836" s="1" t="str">
        <f>IFERROR(__xludf.DUMMYFUNCTION("""COMPUTED_VALUE"""),"store_003659")</f>
        <v>store_003659</v>
      </c>
    </row>
    <row r="2837" ht="15.75" customHeight="1">
      <c r="A2837" s="1" t="s">
        <v>6515</v>
      </c>
      <c r="B2837" s="1" t="s">
        <v>5542</v>
      </c>
      <c r="C2837" s="1" t="s">
        <v>5543</v>
      </c>
      <c r="E2837" s="1">
        <v>28.622669</v>
      </c>
      <c r="F2837" s="1">
        <v>77.390365</v>
      </c>
      <c r="G2837" s="1" t="s">
        <v>6096</v>
      </c>
      <c r="H2837" s="1" t="s">
        <v>6097</v>
      </c>
      <c r="I2837" s="1" t="s">
        <v>1799</v>
      </c>
      <c r="J2837" s="1" t="s">
        <v>56</v>
      </c>
      <c r="K2837" s="1" t="s">
        <v>2892</v>
      </c>
      <c r="L2837" s="1" t="s">
        <v>27</v>
      </c>
      <c r="N2837" s="1" t="s">
        <v>28</v>
      </c>
      <c r="O2837" s="1" t="s">
        <v>57</v>
      </c>
      <c r="P2837" s="1" t="s">
        <v>6483</v>
      </c>
      <c r="Q2837" s="1" t="s">
        <v>6484</v>
      </c>
      <c r="R2837" s="1">
        <v>0.0</v>
      </c>
      <c r="S2837" s="1" t="str">
        <f>IFERROR(__xludf.DUMMYFUNCTION("""COMPUTED_VALUE"""),"store_003660")</f>
        <v>store_003660</v>
      </c>
    </row>
    <row r="2838" ht="15.75" customHeight="1">
      <c r="A2838" s="1" t="s">
        <v>6516</v>
      </c>
      <c r="B2838" s="1" t="s">
        <v>5545</v>
      </c>
      <c r="C2838" s="1" t="s">
        <v>38</v>
      </c>
      <c r="E2838" s="1">
        <v>28.6623572</v>
      </c>
      <c r="F2838" s="1">
        <v>77.43482139999999</v>
      </c>
      <c r="G2838" s="1" t="s">
        <v>6096</v>
      </c>
      <c r="H2838" s="1" t="s">
        <v>6097</v>
      </c>
      <c r="I2838" s="1" t="s">
        <v>1799</v>
      </c>
      <c r="J2838" s="1" t="s">
        <v>56</v>
      </c>
      <c r="K2838" s="1" t="s">
        <v>2892</v>
      </c>
      <c r="L2838" s="1" t="s">
        <v>27</v>
      </c>
      <c r="N2838" s="1" t="s">
        <v>28</v>
      </c>
      <c r="O2838" s="1" t="s">
        <v>57</v>
      </c>
      <c r="P2838" s="1" t="s">
        <v>6483</v>
      </c>
      <c r="Q2838" s="1" t="s">
        <v>6484</v>
      </c>
      <c r="R2838" s="1">
        <v>0.0</v>
      </c>
      <c r="S2838" s="1" t="str">
        <f>IFERROR(__xludf.DUMMYFUNCTION("""COMPUTED_VALUE"""),"store_003661")</f>
        <v>store_003661</v>
      </c>
    </row>
    <row r="2839" ht="15.75" customHeight="1">
      <c r="A2839" s="1" t="s">
        <v>6517</v>
      </c>
      <c r="B2839" s="1" t="s">
        <v>5547</v>
      </c>
      <c r="C2839" s="1" t="s">
        <v>38</v>
      </c>
      <c r="E2839" s="1">
        <v>26.7466206</v>
      </c>
      <c r="F2839" s="1">
        <v>83.4140316</v>
      </c>
      <c r="G2839" s="1" t="s">
        <v>6096</v>
      </c>
      <c r="H2839" s="1" t="s">
        <v>6097</v>
      </c>
      <c r="I2839" s="1" t="s">
        <v>1799</v>
      </c>
      <c r="J2839" s="1" t="s">
        <v>56</v>
      </c>
      <c r="K2839" s="1" t="s">
        <v>2892</v>
      </c>
      <c r="L2839" s="1" t="s">
        <v>27</v>
      </c>
      <c r="N2839" s="1" t="s">
        <v>28</v>
      </c>
      <c r="O2839" s="1" t="s">
        <v>57</v>
      </c>
      <c r="P2839" s="1" t="s">
        <v>6483</v>
      </c>
      <c r="Q2839" s="1" t="s">
        <v>6484</v>
      </c>
      <c r="R2839" s="1">
        <v>0.0</v>
      </c>
      <c r="S2839" s="1" t="str">
        <f>IFERROR(__xludf.DUMMYFUNCTION("""COMPUTED_VALUE"""),"store_003662")</f>
        <v>store_003662</v>
      </c>
    </row>
    <row r="2840" ht="15.75" customHeight="1">
      <c r="A2840" s="1" t="s">
        <v>6518</v>
      </c>
      <c r="B2840" s="1" t="s">
        <v>5549</v>
      </c>
      <c r="C2840" s="1" t="s">
        <v>38</v>
      </c>
      <c r="E2840" s="1">
        <v>26.8020606</v>
      </c>
      <c r="F2840" s="1">
        <v>83.8837237</v>
      </c>
      <c r="G2840" s="1" t="s">
        <v>6096</v>
      </c>
      <c r="H2840" s="1" t="s">
        <v>6097</v>
      </c>
      <c r="I2840" s="1" t="s">
        <v>1799</v>
      </c>
      <c r="J2840" s="1" t="s">
        <v>56</v>
      </c>
      <c r="K2840" s="1" t="s">
        <v>2892</v>
      </c>
      <c r="L2840" s="1" t="s">
        <v>27</v>
      </c>
      <c r="N2840" s="1" t="s">
        <v>28</v>
      </c>
      <c r="O2840" s="1" t="s">
        <v>57</v>
      </c>
      <c r="P2840" s="1" t="s">
        <v>6483</v>
      </c>
      <c r="Q2840" s="1" t="s">
        <v>6484</v>
      </c>
      <c r="R2840" s="1">
        <v>0.0</v>
      </c>
      <c r="S2840" s="1" t="str">
        <f>IFERROR(__xludf.DUMMYFUNCTION("""COMPUTED_VALUE"""),"store_003663")</f>
        <v>store_003663</v>
      </c>
    </row>
    <row r="2841" ht="15.75" customHeight="1">
      <c r="A2841" s="1" t="s">
        <v>6519</v>
      </c>
      <c r="B2841" s="1" t="s">
        <v>5551</v>
      </c>
      <c r="C2841" s="1" t="s">
        <v>38</v>
      </c>
      <c r="E2841" s="1">
        <v>26.7507335</v>
      </c>
      <c r="F2841" s="1">
        <v>83.3705002</v>
      </c>
      <c r="G2841" s="1" t="s">
        <v>6096</v>
      </c>
      <c r="H2841" s="1" t="s">
        <v>6097</v>
      </c>
      <c r="I2841" s="1" t="s">
        <v>1799</v>
      </c>
      <c r="J2841" s="1" t="s">
        <v>56</v>
      </c>
      <c r="K2841" s="1" t="s">
        <v>2892</v>
      </c>
      <c r="L2841" s="1" t="s">
        <v>27</v>
      </c>
      <c r="N2841" s="1" t="s">
        <v>28</v>
      </c>
      <c r="O2841" s="1" t="s">
        <v>57</v>
      </c>
      <c r="P2841" s="1" t="s">
        <v>6483</v>
      </c>
      <c r="Q2841" s="1" t="s">
        <v>6484</v>
      </c>
      <c r="R2841" s="1">
        <v>0.0</v>
      </c>
      <c r="S2841" s="1" t="str">
        <f>IFERROR(__xludf.DUMMYFUNCTION("""COMPUTED_VALUE"""),"store_003664")</f>
        <v>store_003664</v>
      </c>
    </row>
    <row r="2842" ht="15.75" customHeight="1">
      <c r="A2842" s="1" t="s">
        <v>6520</v>
      </c>
      <c r="B2842" s="1" t="s">
        <v>5553</v>
      </c>
      <c r="C2842" s="1" t="s">
        <v>38</v>
      </c>
      <c r="E2842" s="1">
        <v>28.622669</v>
      </c>
      <c r="F2842" s="1">
        <v>77.390365</v>
      </c>
      <c r="G2842" s="1" t="s">
        <v>6096</v>
      </c>
      <c r="H2842" s="1" t="s">
        <v>6097</v>
      </c>
      <c r="I2842" s="1" t="s">
        <v>1799</v>
      </c>
      <c r="J2842" s="1" t="s">
        <v>56</v>
      </c>
      <c r="K2842" s="1" t="s">
        <v>2892</v>
      </c>
      <c r="L2842" s="1" t="s">
        <v>27</v>
      </c>
      <c r="N2842" s="1" t="s">
        <v>28</v>
      </c>
      <c r="O2842" s="1" t="s">
        <v>57</v>
      </c>
      <c r="P2842" s="1" t="s">
        <v>6483</v>
      </c>
      <c r="Q2842" s="1" t="s">
        <v>6484</v>
      </c>
      <c r="R2842" s="1">
        <v>0.0</v>
      </c>
      <c r="S2842" s="1" t="str">
        <f>IFERROR(__xludf.DUMMYFUNCTION("""COMPUTED_VALUE"""),"store_003665")</f>
        <v>store_003665</v>
      </c>
    </row>
    <row r="2843" ht="15.75" customHeight="1">
      <c r="A2843" s="1" t="s">
        <v>6521</v>
      </c>
      <c r="B2843" s="1" t="s">
        <v>5555</v>
      </c>
      <c r="C2843" s="1" t="s">
        <v>38</v>
      </c>
      <c r="E2843" s="1">
        <v>26.7537849</v>
      </c>
      <c r="F2843" s="1">
        <v>83.213527</v>
      </c>
      <c r="G2843" s="1" t="s">
        <v>6096</v>
      </c>
      <c r="H2843" s="1" t="s">
        <v>6097</v>
      </c>
      <c r="I2843" s="1" t="s">
        <v>1799</v>
      </c>
      <c r="J2843" s="1" t="s">
        <v>56</v>
      </c>
      <c r="K2843" s="1" t="s">
        <v>2892</v>
      </c>
      <c r="L2843" s="1" t="s">
        <v>27</v>
      </c>
      <c r="N2843" s="1" t="s">
        <v>28</v>
      </c>
      <c r="O2843" s="1" t="s">
        <v>57</v>
      </c>
      <c r="P2843" s="1" t="s">
        <v>6483</v>
      </c>
      <c r="Q2843" s="1" t="s">
        <v>6484</v>
      </c>
      <c r="R2843" s="1">
        <v>0.0</v>
      </c>
      <c r="S2843" s="1" t="str">
        <f>IFERROR(__xludf.DUMMYFUNCTION("""COMPUTED_VALUE"""),"store_003666")</f>
        <v>store_003666</v>
      </c>
    </row>
    <row r="2844" ht="15.75" customHeight="1">
      <c r="A2844" s="1" t="s">
        <v>6522</v>
      </c>
      <c r="B2844" s="1" t="s">
        <v>5557</v>
      </c>
      <c r="C2844" s="1" t="s">
        <v>38</v>
      </c>
      <c r="E2844" s="1">
        <v>26.7834055</v>
      </c>
      <c r="F2844" s="1">
        <v>83.0723356</v>
      </c>
      <c r="G2844" s="1" t="s">
        <v>6096</v>
      </c>
      <c r="H2844" s="1" t="s">
        <v>6097</v>
      </c>
      <c r="I2844" s="1" t="s">
        <v>1799</v>
      </c>
      <c r="J2844" s="1" t="s">
        <v>56</v>
      </c>
      <c r="K2844" s="1" t="s">
        <v>2892</v>
      </c>
      <c r="L2844" s="1" t="s">
        <v>27</v>
      </c>
      <c r="N2844" s="1" t="s">
        <v>28</v>
      </c>
      <c r="O2844" s="1" t="s">
        <v>57</v>
      </c>
      <c r="P2844" s="1" t="s">
        <v>6483</v>
      </c>
      <c r="Q2844" s="1" t="s">
        <v>6484</v>
      </c>
      <c r="R2844" s="1">
        <v>0.0</v>
      </c>
      <c r="S2844" s="1" t="str">
        <f>IFERROR(__xludf.DUMMYFUNCTION("""COMPUTED_VALUE"""),"store_003667")</f>
        <v>store_003667</v>
      </c>
    </row>
    <row r="2845" ht="15.75" customHeight="1">
      <c r="A2845" s="1" t="s">
        <v>6523</v>
      </c>
      <c r="B2845" s="1" t="s">
        <v>5559</v>
      </c>
      <c r="C2845" s="1" t="s">
        <v>38</v>
      </c>
      <c r="E2845" s="1">
        <v>26.2887586</v>
      </c>
      <c r="F2845" s="1">
        <v>83.5072329</v>
      </c>
      <c r="G2845" s="1" t="s">
        <v>6096</v>
      </c>
      <c r="H2845" s="1" t="s">
        <v>6097</v>
      </c>
      <c r="I2845" s="1" t="s">
        <v>1799</v>
      </c>
      <c r="J2845" s="1" t="s">
        <v>56</v>
      </c>
      <c r="K2845" s="1" t="s">
        <v>2892</v>
      </c>
      <c r="L2845" s="1" t="s">
        <v>27</v>
      </c>
      <c r="N2845" s="1" t="s">
        <v>28</v>
      </c>
      <c r="O2845" s="1" t="s">
        <v>57</v>
      </c>
      <c r="P2845" s="1" t="s">
        <v>6483</v>
      </c>
      <c r="Q2845" s="1" t="s">
        <v>6484</v>
      </c>
      <c r="R2845" s="1">
        <v>0.0</v>
      </c>
      <c r="S2845" s="1" t="str">
        <f>IFERROR(__xludf.DUMMYFUNCTION("""COMPUTED_VALUE"""),"store_003668")</f>
        <v>store_003668</v>
      </c>
    </row>
    <row r="2846" ht="15.75" customHeight="1">
      <c r="A2846" s="1" t="s">
        <v>6524</v>
      </c>
      <c r="B2846" s="1" t="s">
        <v>5561</v>
      </c>
      <c r="C2846" s="1" t="s">
        <v>38</v>
      </c>
      <c r="E2846" s="1">
        <v>27.1466782</v>
      </c>
      <c r="F2846" s="1">
        <v>83.5633934</v>
      </c>
      <c r="G2846" s="1" t="s">
        <v>6096</v>
      </c>
      <c r="H2846" s="1" t="s">
        <v>6097</v>
      </c>
      <c r="I2846" s="1" t="s">
        <v>1799</v>
      </c>
      <c r="J2846" s="1" t="s">
        <v>56</v>
      </c>
      <c r="K2846" s="1" t="s">
        <v>2892</v>
      </c>
      <c r="L2846" s="1" t="s">
        <v>27</v>
      </c>
      <c r="N2846" s="1" t="s">
        <v>28</v>
      </c>
      <c r="O2846" s="1" t="s">
        <v>57</v>
      </c>
      <c r="P2846" s="1" t="s">
        <v>6483</v>
      </c>
      <c r="Q2846" s="1" t="s">
        <v>6484</v>
      </c>
      <c r="R2846" s="1">
        <v>0.0</v>
      </c>
      <c r="S2846" s="1" t="str">
        <f>IFERROR(__xludf.DUMMYFUNCTION("""COMPUTED_VALUE"""),"store_003669")</f>
        <v>store_003669</v>
      </c>
    </row>
    <row r="2847" ht="15.75" customHeight="1">
      <c r="A2847" s="1" t="s">
        <v>6525</v>
      </c>
      <c r="B2847" s="1" t="s">
        <v>5563</v>
      </c>
      <c r="C2847" s="1" t="s">
        <v>38</v>
      </c>
      <c r="E2847" s="1">
        <v>26.756021</v>
      </c>
      <c r="F2847" s="1">
        <v>83.91499309999999</v>
      </c>
      <c r="G2847" s="1" t="s">
        <v>6096</v>
      </c>
      <c r="H2847" s="1" t="s">
        <v>6097</v>
      </c>
      <c r="I2847" s="1" t="s">
        <v>1799</v>
      </c>
      <c r="J2847" s="1" t="s">
        <v>56</v>
      </c>
      <c r="K2847" s="1" t="s">
        <v>2892</v>
      </c>
      <c r="L2847" s="1" t="s">
        <v>27</v>
      </c>
      <c r="N2847" s="1" t="s">
        <v>28</v>
      </c>
      <c r="O2847" s="1" t="s">
        <v>57</v>
      </c>
      <c r="P2847" s="1" t="s">
        <v>6483</v>
      </c>
      <c r="Q2847" s="1" t="s">
        <v>6484</v>
      </c>
      <c r="R2847" s="1">
        <v>0.0</v>
      </c>
      <c r="S2847" s="1" t="str">
        <f>IFERROR(__xludf.DUMMYFUNCTION("""COMPUTED_VALUE"""),"store_003670")</f>
        <v>store_003670</v>
      </c>
    </row>
    <row r="2848" ht="15.75" customHeight="1">
      <c r="A2848" s="1" t="s">
        <v>6526</v>
      </c>
      <c r="B2848" s="1" t="s">
        <v>5565</v>
      </c>
      <c r="C2848" s="1" t="s">
        <v>38</v>
      </c>
      <c r="E2848" s="1">
        <v>27.3224811</v>
      </c>
      <c r="F2848" s="1">
        <v>82.7058898</v>
      </c>
      <c r="G2848" s="1" t="s">
        <v>6096</v>
      </c>
      <c r="H2848" s="1" t="s">
        <v>6097</v>
      </c>
      <c r="I2848" s="1" t="s">
        <v>1799</v>
      </c>
      <c r="J2848" s="1" t="s">
        <v>56</v>
      </c>
      <c r="K2848" s="1" t="s">
        <v>2892</v>
      </c>
      <c r="L2848" s="1" t="s">
        <v>27</v>
      </c>
      <c r="N2848" s="1" t="s">
        <v>28</v>
      </c>
      <c r="O2848" s="1" t="s">
        <v>57</v>
      </c>
      <c r="P2848" s="1" t="s">
        <v>6483</v>
      </c>
      <c r="Q2848" s="1" t="s">
        <v>6484</v>
      </c>
      <c r="R2848" s="1">
        <v>0.0</v>
      </c>
      <c r="S2848" s="1" t="str">
        <f>IFERROR(__xludf.DUMMYFUNCTION("""COMPUTED_VALUE"""),"store_003671")</f>
        <v>store_003671</v>
      </c>
    </row>
    <row r="2849" ht="15.75" customHeight="1">
      <c r="A2849" s="1" t="s">
        <v>6527</v>
      </c>
      <c r="B2849" s="1" t="s">
        <v>5567</v>
      </c>
      <c r="C2849" s="1" t="s">
        <v>630</v>
      </c>
      <c r="E2849" s="1">
        <v>26.4837672</v>
      </c>
      <c r="F2849" s="1">
        <v>80.31437439999999</v>
      </c>
      <c r="G2849" s="1" t="s">
        <v>6096</v>
      </c>
      <c r="H2849" s="1" t="s">
        <v>6097</v>
      </c>
      <c r="I2849" s="1" t="s">
        <v>1799</v>
      </c>
      <c r="J2849" s="1" t="s">
        <v>56</v>
      </c>
      <c r="K2849" s="1" t="s">
        <v>2892</v>
      </c>
      <c r="L2849" s="1" t="s">
        <v>27</v>
      </c>
      <c r="N2849" s="1" t="s">
        <v>28</v>
      </c>
      <c r="O2849" s="1" t="s">
        <v>57</v>
      </c>
      <c r="P2849" s="1" t="s">
        <v>6504</v>
      </c>
      <c r="Q2849" s="1" t="s">
        <v>6505</v>
      </c>
      <c r="R2849" s="1">
        <v>0.0</v>
      </c>
      <c r="S2849" s="1" t="str">
        <f>IFERROR(__xludf.DUMMYFUNCTION("""COMPUTED_VALUE"""),"store_003672")</f>
        <v>store_003672</v>
      </c>
    </row>
    <row r="2850" ht="15.75" customHeight="1">
      <c r="A2850" s="1" t="s">
        <v>6528</v>
      </c>
      <c r="B2850" s="1" t="s">
        <v>5457</v>
      </c>
      <c r="C2850" s="1" t="s">
        <v>617</v>
      </c>
      <c r="E2850" s="1">
        <v>26.851735</v>
      </c>
      <c r="F2850" s="1">
        <v>80.9997128</v>
      </c>
      <c r="G2850" s="1" t="s">
        <v>6096</v>
      </c>
      <c r="H2850" s="1" t="s">
        <v>6097</v>
      </c>
      <c r="I2850" s="1" t="s">
        <v>1799</v>
      </c>
      <c r="J2850" s="1" t="s">
        <v>56</v>
      </c>
      <c r="K2850" s="1" t="s">
        <v>2892</v>
      </c>
      <c r="L2850" s="1" t="s">
        <v>27</v>
      </c>
      <c r="N2850" s="1" t="s">
        <v>28</v>
      </c>
      <c r="O2850" s="1" t="s">
        <v>57</v>
      </c>
      <c r="P2850" s="1" t="s">
        <v>6504</v>
      </c>
      <c r="Q2850" s="1" t="s">
        <v>6505</v>
      </c>
      <c r="R2850" s="1">
        <v>26.0</v>
      </c>
      <c r="S2850" s="1" t="str">
        <f>IFERROR(__xludf.DUMMYFUNCTION("""COMPUTED_VALUE"""),"store_003623")</f>
        <v>store_003623</v>
      </c>
    </row>
    <row r="2851" ht="15.75" customHeight="1">
      <c r="A2851" s="1" t="s">
        <v>6529</v>
      </c>
      <c r="B2851" s="1" t="s">
        <v>5569</v>
      </c>
      <c r="C2851" s="1" t="s">
        <v>617</v>
      </c>
      <c r="E2851" s="1">
        <v>26.7580969</v>
      </c>
      <c r="F2851" s="1">
        <v>82.1372571</v>
      </c>
      <c r="G2851" s="1" t="s">
        <v>6096</v>
      </c>
      <c r="H2851" s="1" t="s">
        <v>6097</v>
      </c>
      <c r="I2851" s="1" t="s">
        <v>1799</v>
      </c>
      <c r="J2851" s="1" t="s">
        <v>56</v>
      </c>
      <c r="K2851" s="1" t="s">
        <v>2892</v>
      </c>
      <c r="L2851" s="1" t="s">
        <v>27</v>
      </c>
      <c r="N2851" s="1" t="s">
        <v>28</v>
      </c>
      <c r="O2851" s="1" t="s">
        <v>57</v>
      </c>
      <c r="P2851" s="1" t="s">
        <v>6504</v>
      </c>
      <c r="Q2851" s="1" t="s">
        <v>6505</v>
      </c>
      <c r="R2851" s="1">
        <v>0.0</v>
      </c>
      <c r="S2851" s="1" t="str">
        <f>IFERROR(__xludf.DUMMYFUNCTION("""COMPUTED_VALUE"""),"store_003673")</f>
        <v>store_003673</v>
      </c>
    </row>
    <row r="2852" ht="15.75" customHeight="1">
      <c r="A2852" s="1" t="s">
        <v>6530</v>
      </c>
      <c r="B2852" s="1" t="s">
        <v>5571</v>
      </c>
      <c r="C2852" s="1" t="s">
        <v>617</v>
      </c>
      <c r="E2852" s="1">
        <v>26.8995022</v>
      </c>
      <c r="F2852" s="1">
        <v>80.95561579999999</v>
      </c>
      <c r="G2852" s="1" t="s">
        <v>6096</v>
      </c>
      <c r="H2852" s="1" t="s">
        <v>6097</v>
      </c>
      <c r="I2852" s="1" t="s">
        <v>1799</v>
      </c>
      <c r="J2852" s="1" t="s">
        <v>56</v>
      </c>
      <c r="K2852" s="1" t="s">
        <v>2892</v>
      </c>
      <c r="L2852" s="1" t="s">
        <v>27</v>
      </c>
      <c r="N2852" s="1" t="s">
        <v>28</v>
      </c>
      <c r="O2852" s="1" t="s">
        <v>57</v>
      </c>
      <c r="P2852" s="1" t="s">
        <v>6504</v>
      </c>
      <c r="Q2852" s="1" t="s">
        <v>6505</v>
      </c>
      <c r="R2852" s="1">
        <v>0.0</v>
      </c>
      <c r="S2852" s="1" t="str">
        <f>IFERROR(__xludf.DUMMYFUNCTION("""COMPUTED_VALUE"""),"store_003674")</f>
        <v>store_003674</v>
      </c>
    </row>
    <row r="2853" ht="15.75" customHeight="1">
      <c r="A2853" s="1" t="s">
        <v>6531</v>
      </c>
      <c r="B2853" s="1" t="s">
        <v>6532</v>
      </c>
      <c r="C2853" s="1" t="s">
        <v>617</v>
      </c>
      <c r="E2853" s="1">
        <v>27.5782179</v>
      </c>
      <c r="F2853" s="1">
        <v>81.59934220000001</v>
      </c>
      <c r="G2853" s="1" t="s">
        <v>6096</v>
      </c>
      <c r="H2853" s="1" t="s">
        <v>6097</v>
      </c>
      <c r="I2853" s="1" t="s">
        <v>1799</v>
      </c>
      <c r="J2853" s="1" t="s">
        <v>56</v>
      </c>
      <c r="K2853" s="1" t="s">
        <v>2892</v>
      </c>
      <c r="L2853" s="1" t="s">
        <v>27</v>
      </c>
      <c r="N2853" s="1" t="s">
        <v>28</v>
      </c>
      <c r="O2853" s="1" t="s">
        <v>29</v>
      </c>
      <c r="P2853" s="1" t="s">
        <v>6504</v>
      </c>
      <c r="Q2853" s="1" t="s">
        <v>6505</v>
      </c>
      <c r="R2853" s="1">
        <v>0.0</v>
      </c>
      <c r="S2853" s="1"/>
    </row>
    <row r="2854" ht="15.75" customHeight="1">
      <c r="A2854" s="1" t="s">
        <v>6533</v>
      </c>
      <c r="B2854" s="1" t="s">
        <v>5575</v>
      </c>
      <c r="C2854" s="1" t="s">
        <v>617</v>
      </c>
      <c r="E2854" s="1">
        <v>26.7957932</v>
      </c>
      <c r="F2854" s="1">
        <v>80.9215476</v>
      </c>
      <c r="G2854" s="1" t="s">
        <v>6096</v>
      </c>
      <c r="H2854" s="1" t="s">
        <v>6097</v>
      </c>
      <c r="I2854" s="1" t="s">
        <v>1799</v>
      </c>
      <c r="J2854" s="1" t="s">
        <v>56</v>
      </c>
      <c r="K2854" s="1" t="s">
        <v>2892</v>
      </c>
      <c r="L2854" s="1" t="s">
        <v>27</v>
      </c>
      <c r="N2854" s="1" t="s">
        <v>28</v>
      </c>
      <c r="O2854" s="1" t="s">
        <v>57</v>
      </c>
      <c r="P2854" s="1" t="s">
        <v>6504</v>
      </c>
      <c r="Q2854" s="1" t="s">
        <v>6505</v>
      </c>
      <c r="R2854" s="1">
        <v>0.0</v>
      </c>
      <c r="S2854" s="1" t="str">
        <f>IFERROR(__xludf.DUMMYFUNCTION("""COMPUTED_VALUE"""),"store_003676")</f>
        <v>store_003676</v>
      </c>
    </row>
    <row r="2855" ht="15.75" customHeight="1">
      <c r="A2855" s="1" t="s">
        <v>6534</v>
      </c>
      <c r="B2855" s="1" t="s">
        <v>5577</v>
      </c>
      <c r="C2855" s="1" t="s">
        <v>617</v>
      </c>
      <c r="E2855" s="1">
        <v>26.2203852</v>
      </c>
      <c r="F2855" s="1">
        <v>81.24117799999999</v>
      </c>
      <c r="G2855" s="1" t="s">
        <v>6096</v>
      </c>
      <c r="H2855" s="1" t="s">
        <v>6097</v>
      </c>
      <c r="I2855" s="1" t="s">
        <v>1799</v>
      </c>
      <c r="J2855" s="1" t="s">
        <v>56</v>
      </c>
      <c r="K2855" s="1" t="s">
        <v>2892</v>
      </c>
      <c r="L2855" s="1" t="s">
        <v>27</v>
      </c>
      <c r="N2855" s="1" t="s">
        <v>28</v>
      </c>
      <c r="O2855" s="1" t="s">
        <v>57</v>
      </c>
      <c r="P2855" s="1" t="s">
        <v>6504</v>
      </c>
      <c r="Q2855" s="1" t="s">
        <v>6505</v>
      </c>
      <c r="R2855" s="1">
        <v>0.0</v>
      </c>
      <c r="S2855" s="1" t="str">
        <f>IFERROR(__xludf.DUMMYFUNCTION("""COMPUTED_VALUE"""),"store_003677")</f>
        <v>store_003677</v>
      </c>
    </row>
    <row r="2856" ht="15.75" customHeight="1">
      <c r="A2856" s="1" t="s">
        <v>6535</v>
      </c>
      <c r="B2856" s="1" t="s">
        <v>5579</v>
      </c>
      <c r="C2856" s="1" t="s">
        <v>38</v>
      </c>
      <c r="E2856" s="1">
        <v>27.886817</v>
      </c>
      <c r="F2856" s="1">
        <v>79.9094856</v>
      </c>
      <c r="G2856" s="1" t="s">
        <v>6096</v>
      </c>
      <c r="H2856" s="1" t="s">
        <v>6097</v>
      </c>
      <c r="I2856" s="1" t="s">
        <v>1799</v>
      </c>
      <c r="J2856" s="1" t="s">
        <v>56</v>
      </c>
      <c r="K2856" s="1" t="s">
        <v>2892</v>
      </c>
      <c r="L2856" s="1" t="s">
        <v>27</v>
      </c>
      <c r="N2856" s="1" t="s">
        <v>28</v>
      </c>
      <c r="O2856" s="1" t="s">
        <v>57</v>
      </c>
      <c r="P2856" s="1" t="s">
        <v>6483</v>
      </c>
      <c r="Q2856" s="1" t="s">
        <v>6484</v>
      </c>
      <c r="R2856" s="1">
        <v>0.0</v>
      </c>
      <c r="S2856" s="1" t="str">
        <f>IFERROR(__xludf.DUMMYFUNCTION("""COMPUTED_VALUE"""),"store_003678")</f>
        <v>store_003678</v>
      </c>
    </row>
    <row r="2857" ht="15.75" customHeight="1">
      <c r="A2857" s="1" t="s">
        <v>6536</v>
      </c>
      <c r="B2857" s="1" t="s">
        <v>5581</v>
      </c>
      <c r="C2857" s="1" t="s">
        <v>38</v>
      </c>
      <c r="E2857" s="1">
        <v>26.8057601</v>
      </c>
      <c r="F2857" s="1">
        <v>80.9932747</v>
      </c>
      <c r="G2857" s="1" t="s">
        <v>6096</v>
      </c>
      <c r="H2857" s="1" t="s">
        <v>6097</v>
      </c>
      <c r="I2857" s="1" t="s">
        <v>1799</v>
      </c>
      <c r="J2857" s="1" t="s">
        <v>56</v>
      </c>
      <c r="K2857" s="1" t="s">
        <v>2892</v>
      </c>
      <c r="L2857" s="1" t="s">
        <v>27</v>
      </c>
      <c r="N2857" s="1" t="s">
        <v>28</v>
      </c>
      <c r="O2857" s="1" t="s">
        <v>57</v>
      </c>
      <c r="P2857" s="1" t="s">
        <v>6483</v>
      </c>
      <c r="Q2857" s="1" t="s">
        <v>6484</v>
      </c>
      <c r="R2857" s="1">
        <v>0.0</v>
      </c>
      <c r="S2857" s="1" t="str">
        <f>IFERROR(__xludf.DUMMYFUNCTION("""COMPUTED_VALUE"""),"store_003679")</f>
        <v>store_003679</v>
      </c>
    </row>
    <row r="2858" ht="15.75" customHeight="1">
      <c r="A2858" s="1" t="s">
        <v>6537</v>
      </c>
      <c r="B2858" s="1" t="s">
        <v>5583</v>
      </c>
      <c r="C2858" s="1" t="s">
        <v>38</v>
      </c>
      <c r="E2858" s="1">
        <v>28.0785117</v>
      </c>
      <c r="F2858" s="1">
        <v>80.47452109999999</v>
      </c>
      <c r="G2858" s="1" t="s">
        <v>6096</v>
      </c>
      <c r="H2858" s="1" t="s">
        <v>6097</v>
      </c>
      <c r="I2858" s="1" t="s">
        <v>1799</v>
      </c>
      <c r="J2858" s="1" t="s">
        <v>56</v>
      </c>
      <c r="K2858" s="1" t="s">
        <v>2892</v>
      </c>
      <c r="L2858" s="1" t="s">
        <v>27</v>
      </c>
      <c r="N2858" s="1" t="s">
        <v>28</v>
      </c>
      <c r="O2858" s="1" t="s">
        <v>57</v>
      </c>
      <c r="P2858" s="1" t="s">
        <v>6483</v>
      </c>
      <c r="Q2858" s="1" t="s">
        <v>6484</v>
      </c>
      <c r="R2858" s="1">
        <v>0.0</v>
      </c>
      <c r="S2858" s="1" t="str">
        <f>IFERROR(__xludf.DUMMYFUNCTION("""COMPUTED_VALUE"""),"store_003680")</f>
        <v>store_003680</v>
      </c>
    </row>
    <row r="2859" ht="15.75" customHeight="1">
      <c r="A2859" s="1" t="s">
        <v>6538</v>
      </c>
      <c r="B2859" s="1" t="s">
        <v>5585</v>
      </c>
      <c r="C2859" s="1" t="s">
        <v>38</v>
      </c>
      <c r="E2859" s="1">
        <v>28.5246914</v>
      </c>
      <c r="F2859" s="1">
        <v>77.28015359999999</v>
      </c>
      <c r="G2859" s="1" t="s">
        <v>6096</v>
      </c>
      <c r="H2859" s="1" t="s">
        <v>6097</v>
      </c>
      <c r="I2859" s="1" t="s">
        <v>1799</v>
      </c>
      <c r="J2859" s="1" t="s">
        <v>56</v>
      </c>
      <c r="K2859" s="1" t="s">
        <v>2892</v>
      </c>
      <c r="L2859" s="1" t="s">
        <v>27</v>
      </c>
      <c r="N2859" s="1" t="s">
        <v>28</v>
      </c>
      <c r="O2859" s="1" t="s">
        <v>57</v>
      </c>
      <c r="P2859" s="1" t="s">
        <v>6483</v>
      </c>
      <c r="Q2859" s="1" t="s">
        <v>6484</v>
      </c>
      <c r="R2859" s="1">
        <v>0.0</v>
      </c>
      <c r="S2859" s="1" t="str">
        <f>IFERROR(__xludf.DUMMYFUNCTION("""COMPUTED_VALUE"""),"store_003681")</f>
        <v>store_003681</v>
      </c>
    </row>
    <row r="2860" ht="15.75" customHeight="1">
      <c r="A2860" s="1" t="s">
        <v>6539</v>
      </c>
      <c r="B2860" s="1" t="s">
        <v>5587</v>
      </c>
      <c r="C2860" s="1" t="s">
        <v>38</v>
      </c>
      <c r="E2860" s="1">
        <v>27.8793708</v>
      </c>
      <c r="F2860" s="1">
        <v>79.910322</v>
      </c>
      <c r="G2860" s="1" t="s">
        <v>6096</v>
      </c>
      <c r="H2860" s="1" t="s">
        <v>6097</v>
      </c>
      <c r="I2860" s="1" t="s">
        <v>1799</v>
      </c>
      <c r="J2860" s="1" t="s">
        <v>56</v>
      </c>
      <c r="K2860" s="1" t="s">
        <v>2892</v>
      </c>
      <c r="L2860" s="1" t="s">
        <v>27</v>
      </c>
      <c r="N2860" s="1" t="s">
        <v>28</v>
      </c>
      <c r="O2860" s="1" t="s">
        <v>57</v>
      </c>
      <c r="P2860" s="1" t="s">
        <v>6483</v>
      </c>
      <c r="Q2860" s="1" t="s">
        <v>6484</v>
      </c>
      <c r="R2860" s="1">
        <v>0.0</v>
      </c>
      <c r="S2860" s="1" t="str">
        <f>IFERROR(__xludf.DUMMYFUNCTION("""COMPUTED_VALUE"""),"store_003682")</f>
        <v>store_003682</v>
      </c>
    </row>
    <row r="2861" ht="15.75" customHeight="1">
      <c r="A2861" s="1" t="s">
        <v>6540</v>
      </c>
      <c r="B2861" s="1" t="s">
        <v>5589</v>
      </c>
      <c r="C2861" s="1" t="s">
        <v>38</v>
      </c>
      <c r="E2861" s="1">
        <v>27.3930292</v>
      </c>
      <c r="F2861" s="1">
        <v>80.12828530000002</v>
      </c>
      <c r="G2861" s="1" t="s">
        <v>6096</v>
      </c>
      <c r="H2861" s="1" t="s">
        <v>6097</v>
      </c>
      <c r="I2861" s="1" t="s">
        <v>1799</v>
      </c>
      <c r="J2861" s="1" t="s">
        <v>56</v>
      </c>
      <c r="K2861" s="1" t="s">
        <v>2892</v>
      </c>
      <c r="L2861" s="1" t="s">
        <v>27</v>
      </c>
      <c r="N2861" s="1" t="s">
        <v>28</v>
      </c>
      <c r="O2861" s="1" t="s">
        <v>57</v>
      </c>
      <c r="P2861" s="1" t="s">
        <v>6483</v>
      </c>
      <c r="Q2861" s="1" t="s">
        <v>6484</v>
      </c>
      <c r="R2861" s="1">
        <v>0.0</v>
      </c>
      <c r="S2861" s="1" t="str">
        <f>IFERROR(__xludf.DUMMYFUNCTION("""COMPUTED_VALUE"""),"store_003683")</f>
        <v>store_003683</v>
      </c>
    </row>
    <row r="2862" ht="15.75" customHeight="1">
      <c r="A2862" s="1" t="s">
        <v>6541</v>
      </c>
      <c r="B2862" s="1" t="s">
        <v>5591</v>
      </c>
      <c r="C2862" s="1" t="s">
        <v>38</v>
      </c>
      <c r="E2862" s="1">
        <v>26.2567076</v>
      </c>
      <c r="F2862" s="1">
        <v>82.0720558</v>
      </c>
      <c r="G2862" s="1" t="s">
        <v>6096</v>
      </c>
      <c r="H2862" s="1" t="s">
        <v>6097</v>
      </c>
      <c r="I2862" s="1" t="s">
        <v>1799</v>
      </c>
      <c r="J2862" s="1" t="s">
        <v>56</v>
      </c>
      <c r="K2862" s="1" t="s">
        <v>2892</v>
      </c>
      <c r="L2862" s="1" t="s">
        <v>27</v>
      </c>
      <c r="N2862" s="1" t="s">
        <v>28</v>
      </c>
      <c r="O2862" s="1" t="s">
        <v>57</v>
      </c>
      <c r="P2862" s="1" t="s">
        <v>6483</v>
      </c>
      <c r="Q2862" s="1" t="s">
        <v>6484</v>
      </c>
      <c r="R2862" s="1">
        <v>0.0</v>
      </c>
      <c r="S2862" s="1" t="str">
        <f>IFERROR(__xludf.DUMMYFUNCTION("""COMPUTED_VALUE"""),"store_003684")</f>
        <v>store_003684</v>
      </c>
    </row>
    <row r="2863" ht="15.75" customHeight="1">
      <c r="A2863" s="1" t="s">
        <v>6542</v>
      </c>
      <c r="B2863" s="1" t="s">
        <v>5593</v>
      </c>
      <c r="C2863" s="1" t="s">
        <v>38</v>
      </c>
      <c r="E2863" s="1">
        <v>27.3004108</v>
      </c>
      <c r="F2863" s="1">
        <v>81.1259343</v>
      </c>
      <c r="G2863" s="1" t="s">
        <v>6096</v>
      </c>
      <c r="H2863" s="1" t="s">
        <v>6097</v>
      </c>
      <c r="I2863" s="1" t="s">
        <v>1799</v>
      </c>
      <c r="J2863" s="1" t="s">
        <v>56</v>
      </c>
      <c r="K2863" s="1" t="s">
        <v>2892</v>
      </c>
      <c r="L2863" s="1" t="s">
        <v>27</v>
      </c>
      <c r="N2863" s="1" t="s">
        <v>28</v>
      </c>
      <c r="O2863" s="1" t="s">
        <v>57</v>
      </c>
      <c r="P2863" s="1" t="s">
        <v>6483</v>
      </c>
      <c r="Q2863" s="1" t="s">
        <v>6484</v>
      </c>
      <c r="R2863" s="1">
        <v>0.0</v>
      </c>
      <c r="S2863" s="1" t="str">
        <f>IFERROR(__xludf.DUMMYFUNCTION("""COMPUTED_VALUE"""),"store_003685")</f>
        <v>store_003685</v>
      </c>
    </row>
    <row r="2864" ht="15.75" customHeight="1">
      <c r="A2864" s="1" t="s">
        <v>6543</v>
      </c>
      <c r="B2864" s="1" t="s">
        <v>5595</v>
      </c>
      <c r="C2864" s="1" t="s">
        <v>38</v>
      </c>
      <c r="E2864" s="1">
        <v>27.148372</v>
      </c>
      <c r="F2864" s="1">
        <v>81.96105179999999</v>
      </c>
      <c r="G2864" s="1" t="s">
        <v>6096</v>
      </c>
      <c r="H2864" s="1" t="s">
        <v>6097</v>
      </c>
      <c r="I2864" s="1" t="s">
        <v>1799</v>
      </c>
      <c r="J2864" s="1" t="s">
        <v>56</v>
      </c>
      <c r="K2864" s="1" t="s">
        <v>2892</v>
      </c>
      <c r="L2864" s="1" t="s">
        <v>27</v>
      </c>
      <c r="N2864" s="1" t="s">
        <v>28</v>
      </c>
      <c r="O2864" s="1" t="s">
        <v>57</v>
      </c>
      <c r="P2864" s="1" t="s">
        <v>6483</v>
      </c>
      <c r="Q2864" s="1" t="s">
        <v>6484</v>
      </c>
      <c r="R2864" s="1">
        <v>0.0</v>
      </c>
      <c r="S2864" s="1" t="str">
        <f>IFERROR(__xludf.DUMMYFUNCTION("""COMPUTED_VALUE"""),"store_003686")</f>
        <v>store_003686</v>
      </c>
    </row>
    <row r="2865" ht="15.75" customHeight="1">
      <c r="A2865" s="1" t="s">
        <v>6544</v>
      </c>
      <c r="B2865" s="1" t="s">
        <v>5597</v>
      </c>
      <c r="C2865" s="1" t="s">
        <v>38</v>
      </c>
      <c r="E2865" s="1">
        <v>27.861955</v>
      </c>
      <c r="F2865" s="1">
        <v>81.5074571</v>
      </c>
      <c r="G2865" s="1" t="s">
        <v>6096</v>
      </c>
      <c r="H2865" s="1" t="s">
        <v>6097</v>
      </c>
      <c r="I2865" s="1" t="s">
        <v>1799</v>
      </c>
      <c r="J2865" s="1" t="s">
        <v>56</v>
      </c>
      <c r="K2865" s="1" t="s">
        <v>2892</v>
      </c>
      <c r="L2865" s="1" t="s">
        <v>27</v>
      </c>
      <c r="N2865" s="1" t="s">
        <v>28</v>
      </c>
      <c r="O2865" s="1" t="s">
        <v>57</v>
      </c>
      <c r="P2865" s="1" t="s">
        <v>6483</v>
      </c>
      <c r="Q2865" s="1" t="s">
        <v>6484</v>
      </c>
      <c r="R2865" s="1">
        <v>0.0</v>
      </c>
      <c r="S2865" s="1" t="str">
        <f>IFERROR(__xludf.DUMMYFUNCTION("""COMPUTED_VALUE"""),"store_003687")</f>
        <v>store_003687</v>
      </c>
    </row>
    <row r="2866" ht="15.75" customHeight="1">
      <c r="A2866" s="1" t="s">
        <v>6545</v>
      </c>
      <c r="B2866" s="1" t="s">
        <v>5599</v>
      </c>
      <c r="C2866" s="1" t="s">
        <v>38</v>
      </c>
      <c r="E2866" s="1">
        <v>26.8501846</v>
      </c>
      <c r="F2866" s="1">
        <v>80.9483295</v>
      </c>
      <c r="G2866" s="1" t="s">
        <v>6096</v>
      </c>
      <c r="H2866" s="1" t="s">
        <v>6097</v>
      </c>
      <c r="I2866" s="1" t="s">
        <v>1799</v>
      </c>
      <c r="J2866" s="1" t="s">
        <v>56</v>
      </c>
      <c r="K2866" s="1" t="s">
        <v>2892</v>
      </c>
      <c r="L2866" s="1" t="s">
        <v>27</v>
      </c>
      <c r="N2866" s="1" t="s">
        <v>28</v>
      </c>
      <c r="O2866" s="1" t="s">
        <v>57</v>
      </c>
      <c r="P2866" s="1" t="s">
        <v>6483</v>
      </c>
      <c r="Q2866" s="1" t="s">
        <v>6484</v>
      </c>
      <c r="R2866" s="1">
        <v>0.0</v>
      </c>
      <c r="S2866" s="1" t="str">
        <f>IFERROR(__xludf.DUMMYFUNCTION("""COMPUTED_VALUE"""),"store_003688")</f>
        <v>store_003688</v>
      </c>
    </row>
    <row r="2867" ht="15.75" customHeight="1">
      <c r="A2867" s="1" t="s">
        <v>6546</v>
      </c>
      <c r="B2867" s="1" t="s">
        <v>5601</v>
      </c>
      <c r="C2867" s="1" t="s">
        <v>38</v>
      </c>
      <c r="E2867" s="1">
        <v>27.148372</v>
      </c>
      <c r="F2867" s="1">
        <v>81.96105179999999</v>
      </c>
      <c r="G2867" s="1" t="s">
        <v>6096</v>
      </c>
      <c r="H2867" s="1" t="s">
        <v>6097</v>
      </c>
      <c r="I2867" s="1" t="s">
        <v>1799</v>
      </c>
      <c r="J2867" s="1" t="s">
        <v>56</v>
      </c>
      <c r="K2867" s="1" t="s">
        <v>2892</v>
      </c>
      <c r="L2867" s="1" t="s">
        <v>27</v>
      </c>
      <c r="N2867" s="1" t="s">
        <v>28</v>
      </c>
      <c r="O2867" s="1" t="s">
        <v>57</v>
      </c>
      <c r="P2867" s="1" t="s">
        <v>6483</v>
      </c>
      <c r="Q2867" s="1" t="s">
        <v>6484</v>
      </c>
      <c r="R2867" s="1">
        <v>0.0</v>
      </c>
      <c r="S2867" s="1" t="str">
        <f>IFERROR(__xludf.DUMMYFUNCTION("""COMPUTED_VALUE"""),"store_003689")</f>
        <v>store_003689</v>
      </c>
    </row>
    <row r="2868" ht="15.75" customHeight="1">
      <c r="A2868" s="1" t="s">
        <v>6547</v>
      </c>
      <c r="B2868" s="1" t="s">
        <v>5603</v>
      </c>
      <c r="C2868" s="1" t="s">
        <v>38</v>
      </c>
      <c r="E2868" s="1">
        <v>27.6510062</v>
      </c>
      <c r="F2868" s="1">
        <v>80.4815508</v>
      </c>
      <c r="G2868" s="1" t="s">
        <v>6096</v>
      </c>
      <c r="H2868" s="1" t="s">
        <v>6097</v>
      </c>
      <c r="I2868" s="1" t="s">
        <v>1799</v>
      </c>
      <c r="J2868" s="1" t="s">
        <v>56</v>
      </c>
      <c r="K2868" s="1" t="s">
        <v>2892</v>
      </c>
      <c r="L2868" s="1" t="s">
        <v>27</v>
      </c>
      <c r="N2868" s="1" t="s">
        <v>28</v>
      </c>
      <c r="O2868" s="1" t="s">
        <v>57</v>
      </c>
      <c r="P2868" s="1" t="s">
        <v>6483</v>
      </c>
      <c r="Q2868" s="1" t="s">
        <v>6484</v>
      </c>
      <c r="R2868" s="1">
        <v>0.0</v>
      </c>
      <c r="S2868" s="1" t="str">
        <f>IFERROR(__xludf.DUMMYFUNCTION("""COMPUTED_VALUE"""),"store_003690")</f>
        <v>store_003690</v>
      </c>
    </row>
    <row r="2869" ht="15.75" customHeight="1">
      <c r="A2869" s="1" t="s">
        <v>6548</v>
      </c>
      <c r="B2869" s="1" t="s">
        <v>5605</v>
      </c>
      <c r="C2869" s="1" t="s">
        <v>38</v>
      </c>
      <c r="E2869" s="1">
        <v>26.878866</v>
      </c>
      <c r="F2869" s="1">
        <v>80.928011</v>
      </c>
      <c r="G2869" s="1" t="s">
        <v>6096</v>
      </c>
      <c r="H2869" s="1" t="s">
        <v>6097</v>
      </c>
      <c r="I2869" s="1" t="s">
        <v>1799</v>
      </c>
      <c r="J2869" s="1" t="s">
        <v>56</v>
      </c>
      <c r="K2869" s="1" t="s">
        <v>2892</v>
      </c>
      <c r="L2869" s="1" t="s">
        <v>27</v>
      </c>
      <c r="N2869" s="1" t="s">
        <v>28</v>
      </c>
      <c r="O2869" s="1" t="s">
        <v>57</v>
      </c>
      <c r="P2869" s="1" t="s">
        <v>6483</v>
      </c>
      <c r="Q2869" s="1" t="s">
        <v>6484</v>
      </c>
      <c r="R2869" s="1">
        <v>0.0</v>
      </c>
      <c r="S2869" s="1" t="str">
        <f>IFERROR(__xludf.DUMMYFUNCTION("""COMPUTED_VALUE"""),"store_003691")</f>
        <v>store_003691</v>
      </c>
    </row>
    <row r="2870" ht="15.75" customHeight="1">
      <c r="A2870" s="1" t="s">
        <v>6549</v>
      </c>
      <c r="B2870" s="1" t="s">
        <v>5607</v>
      </c>
      <c r="C2870" s="1" t="s">
        <v>38</v>
      </c>
      <c r="E2870" s="1">
        <v>27.9411026</v>
      </c>
      <c r="F2870" s="1">
        <v>80.7848431</v>
      </c>
      <c r="G2870" s="1" t="s">
        <v>6096</v>
      </c>
      <c r="H2870" s="1" t="s">
        <v>6097</v>
      </c>
      <c r="I2870" s="1" t="s">
        <v>1799</v>
      </c>
      <c r="J2870" s="1" t="s">
        <v>56</v>
      </c>
      <c r="K2870" s="1" t="s">
        <v>2892</v>
      </c>
      <c r="L2870" s="1" t="s">
        <v>27</v>
      </c>
      <c r="N2870" s="1" t="s">
        <v>28</v>
      </c>
      <c r="O2870" s="1" t="s">
        <v>57</v>
      </c>
      <c r="P2870" s="1" t="s">
        <v>6483</v>
      </c>
      <c r="Q2870" s="1" t="s">
        <v>6484</v>
      </c>
      <c r="R2870" s="1">
        <v>0.0</v>
      </c>
      <c r="S2870" s="1" t="str">
        <f>IFERROR(__xludf.DUMMYFUNCTION("""COMPUTED_VALUE"""),"store_003692")</f>
        <v>store_003692</v>
      </c>
    </row>
    <row r="2871" ht="15.75" customHeight="1">
      <c r="A2871" s="1" t="s">
        <v>6550</v>
      </c>
      <c r="B2871" s="1" t="s">
        <v>5609</v>
      </c>
      <c r="C2871" s="1" t="s">
        <v>38</v>
      </c>
      <c r="E2871" s="1">
        <v>27.3933787</v>
      </c>
      <c r="F2871" s="1">
        <v>80.1277063</v>
      </c>
      <c r="G2871" s="1" t="s">
        <v>6096</v>
      </c>
      <c r="H2871" s="1" t="s">
        <v>6097</v>
      </c>
      <c r="I2871" s="1" t="s">
        <v>1799</v>
      </c>
      <c r="J2871" s="1" t="s">
        <v>56</v>
      </c>
      <c r="K2871" s="1" t="s">
        <v>2892</v>
      </c>
      <c r="L2871" s="1" t="s">
        <v>27</v>
      </c>
      <c r="N2871" s="1" t="s">
        <v>28</v>
      </c>
      <c r="O2871" s="1" t="s">
        <v>57</v>
      </c>
      <c r="P2871" s="1" t="s">
        <v>6483</v>
      </c>
      <c r="Q2871" s="1" t="s">
        <v>6484</v>
      </c>
      <c r="R2871" s="1">
        <v>0.0</v>
      </c>
      <c r="S2871" s="1" t="str">
        <f>IFERROR(__xludf.DUMMYFUNCTION("""COMPUTED_VALUE"""),"store_003693")</f>
        <v>store_003693</v>
      </c>
    </row>
    <row r="2872" ht="15.75" customHeight="1">
      <c r="A2872" s="1" t="s">
        <v>6551</v>
      </c>
      <c r="B2872" s="1" t="s">
        <v>5611</v>
      </c>
      <c r="C2872" s="1" t="s">
        <v>38</v>
      </c>
      <c r="E2872" s="1">
        <v>26.7580969</v>
      </c>
      <c r="F2872" s="1">
        <v>82.1372571</v>
      </c>
      <c r="G2872" s="1" t="s">
        <v>6096</v>
      </c>
      <c r="H2872" s="1" t="s">
        <v>6097</v>
      </c>
      <c r="I2872" s="1" t="s">
        <v>1799</v>
      </c>
      <c r="J2872" s="1" t="s">
        <v>56</v>
      </c>
      <c r="K2872" s="1" t="s">
        <v>2892</v>
      </c>
      <c r="L2872" s="1" t="s">
        <v>27</v>
      </c>
      <c r="N2872" s="1" t="s">
        <v>28</v>
      </c>
      <c r="O2872" s="1" t="s">
        <v>57</v>
      </c>
      <c r="P2872" s="1" t="s">
        <v>6483</v>
      </c>
      <c r="Q2872" s="1" t="s">
        <v>6484</v>
      </c>
      <c r="R2872" s="1">
        <v>0.0</v>
      </c>
      <c r="S2872" s="1" t="str">
        <f>IFERROR(__xludf.DUMMYFUNCTION("""COMPUTED_VALUE"""),"store_003694")</f>
        <v>store_003694</v>
      </c>
    </row>
    <row r="2873" ht="15.75" customHeight="1">
      <c r="A2873" s="1" t="s">
        <v>6552</v>
      </c>
      <c r="B2873" s="1" t="s">
        <v>5613</v>
      </c>
      <c r="C2873" s="1" t="s">
        <v>38</v>
      </c>
      <c r="E2873" s="1">
        <v>29.9645489</v>
      </c>
      <c r="F2873" s="1">
        <v>77.55560729999999</v>
      </c>
      <c r="G2873" s="1" t="s">
        <v>6096</v>
      </c>
      <c r="H2873" s="1" t="s">
        <v>6097</v>
      </c>
      <c r="I2873" s="1" t="s">
        <v>1799</v>
      </c>
      <c r="J2873" s="1" t="s">
        <v>56</v>
      </c>
      <c r="K2873" s="1" t="s">
        <v>2892</v>
      </c>
      <c r="L2873" s="1" t="s">
        <v>27</v>
      </c>
      <c r="N2873" s="1" t="s">
        <v>28</v>
      </c>
      <c r="O2873" s="1" t="s">
        <v>57</v>
      </c>
      <c r="P2873" s="1" t="s">
        <v>6483</v>
      </c>
      <c r="Q2873" s="1" t="s">
        <v>6484</v>
      </c>
      <c r="R2873" s="1">
        <v>0.0</v>
      </c>
      <c r="S2873" s="1" t="str">
        <f>IFERROR(__xludf.DUMMYFUNCTION("""COMPUTED_VALUE"""),"store_003695")</f>
        <v>store_003695</v>
      </c>
    </row>
    <row r="2874" ht="15.75" customHeight="1">
      <c r="A2874" s="1" t="s">
        <v>6553</v>
      </c>
      <c r="B2874" s="1" t="s">
        <v>6554</v>
      </c>
      <c r="C2874" s="1" t="s">
        <v>38</v>
      </c>
      <c r="E2874" s="1">
        <v>28.6623572</v>
      </c>
      <c r="F2874" s="1">
        <v>77.43482139999999</v>
      </c>
      <c r="G2874" s="1" t="s">
        <v>6096</v>
      </c>
      <c r="H2874" s="1" t="s">
        <v>6097</v>
      </c>
      <c r="I2874" s="1" t="s">
        <v>1799</v>
      </c>
      <c r="J2874" s="1" t="s">
        <v>56</v>
      </c>
      <c r="P2874" s="1" t="s">
        <v>6483</v>
      </c>
      <c r="Q2874" s="1" t="s">
        <v>6484</v>
      </c>
      <c r="R2874" s="1">
        <v>17.0</v>
      </c>
      <c r="S2874" s="1"/>
    </row>
    <row r="2875" ht="15.75" customHeight="1">
      <c r="A2875" s="1" t="s">
        <v>6555</v>
      </c>
      <c r="B2875" s="1" t="s">
        <v>5617</v>
      </c>
      <c r="C2875" s="1" t="s">
        <v>38</v>
      </c>
      <c r="E2875" s="1">
        <v>28.825512</v>
      </c>
      <c r="F2875" s="1">
        <v>78.77419619999999</v>
      </c>
      <c r="G2875" s="1" t="s">
        <v>6096</v>
      </c>
      <c r="H2875" s="1" t="s">
        <v>6097</v>
      </c>
      <c r="I2875" s="1" t="s">
        <v>1799</v>
      </c>
      <c r="J2875" s="1" t="s">
        <v>56</v>
      </c>
      <c r="K2875" s="1" t="s">
        <v>2892</v>
      </c>
      <c r="L2875" s="1" t="s">
        <v>27</v>
      </c>
      <c r="N2875" s="1" t="s">
        <v>28</v>
      </c>
      <c r="O2875" s="1" t="s">
        <v>57</v>
      </c>
      <c r="P2875" s="1" t="s">
        <v>6483</v>
      </c>
      <c r="Q2875" s="1" t="s">
        <v>6484</v>
      </c>
      <c r="R2875" s="1">
        <v>0.0</v>
      </c>
      <c r="S2875" s="1" t="str">
        <f>IFERROR(__xludf.DUMMYFUNCTION("""COMPUTED_VALUE"""),"store_003697")</f>
        <v>store_003697</v>
      </c>
    </row>
    <row r="2876" ht="15.75" customHeight="1">
      <c r="A2876" s="1" t="s">
        <v>6556</v>
      </c>
      <c r="B2876" s="1" t="s">
        <v>5619</v>
      </c>
      <c r="C2876" s="1" t="s">
        <v>38</v>
      </c>
      <c r="E2876" s="1">
        <v>28.5786372</v>
      </c>
      <c r="F2876" s="1">
        <v>78.5606598</v>
      </c>
      <c r="G2876" s="1" t="s">
        <v>6096</v>
      </c>
      <c r="H2876" s="1" t="s">
        <v>6097</v>
      </c>
      <c r="I2876" s="1" t="s">
        <v>1799</v>
      </c>
      <c r="J2876" s="1" t="s">
        <v>56</v>
      </c>
      <c r="K2876" s="1" t="s">
        <v>2892</v>
      </c>
      <c r="L2876" s="1" t="s">
        <v>27</v>
      </c>
      <c r="N2876" s="1" t="s">
        <v>28</v>
      </c>
      <c r="O2876" s="1" t="s">
        <v>57</v>
      </c>
      <c r="P2876" s="1" t="s">
        <v>6483</v>
      </c>
      <c r="Q2876" s="1" t="s">
        <v>6484</v>
      </c>
      <c r="R2876" s="1">
        <v>0.0</v>
      </c>
      <c r="S2876" s="1" t="str">
        <f>IFERROR(__xludf.DUMMYFUNCTION("""COMPUTED_VALUE"""),"store_003698")</f>
        <v>store_003698</v>
      </c>
    </row>
    <row r="2877" ht="15.75" customHeight="1">
      <c r="A2877" s="1" t="s">
        <v>6557</v>
      </c>
      <c r="B2877" s="1" t="s">
        <v>5623</v>
      </c>
      <c r="C2877" s="1" t="s">
        <v>38</v>
      </c>
      <c r="E2877" s="1">
        <v>28.9535689</v>
      </c>
      <c r="F2877" s="1">
        <v>78.25871959999999</v>
      </c>
      <c r="G2877" s="1" t="s">
        <v>6096</v>
      </c>
      <c r="H2877" s="1" t="s">
        <v>6097</v>
      </c>
      <c r="I2877" s="1" t="s">
        <v>1799</v>
      </c>
      <c r="J2877" s="1" t="s">
        <v>56</v>
      </c>
      <c r="K2877" s="1" t="s">
        <v>2892</v>
      </c>
      <c r="L2877" s="1" t="s">
        <v>27</v>
      </c>
      <c r="N2877" s="1" t="s">
        <v>28</v>
      </c>
      <c r="O2877" s="1" t="s">
        <v>57</v>
      </c>
      <c r="P2877" s="1" t="s">
        <v>6483</v>
      </c>
      <c r="Q2877" s="1" t="s">
        <v>6484</v>
      </c>
      <c r="R2877" s="1">
        <v>0.0</v>
      </c>
      <c r="S2877" s="1" t="str">
        <f>IFERROR(__xludf.DUMMYFUNCTION("""COMPUTED_VALUE"""),"store_003700")</f>
        <v>store_003700</v>
      </c>
    </row>
    <row r="2878" ht="15.75" customHeight="1">
      <c r="A2878" s="1" t="s">
        <v>6558</v>
      </c>
      <c r="B2878" s="1" t="s">
        <v>5625</v>
      </c>
      <c r="C2878" s="1" t="s">
        <v>38</v>
      </c>
      <c r="E2878" s="1">
        <v>28.5703232</v>
      </c>
      <c r="F2878" s="1">
        <v>77.3257101</v>
      </c>
      <c r="G2878" s="1" t="s">
        <v>6096</v>
      </c>
      <c r="H2878" s="1" t="s">
        <v>6097</v>
      </c>
      <c r="I2878" s="1" t="s">
        <v>1799</v>
      </c>
      <c r="J2878" s="1" t="s">
        <v>56</v>
      </c>
      <c r="K2878" s="1" t="s">
        <v>2892</v>
      </c>
      <c r="L2878" s="1" t="s">
        <v>27</v>
      </c>
      <c r="N2878" s="1" t="s">
        <v>28</v>
      </c>
      <c r="O2878" s="1" t="s">
        <v>57</v>
      </c>
      <c r="P2878" s="1" t="s">
        <v>6483</v>
      </c>
      <c r="Q2878" s="1" t="s">
        <v>6484</v>
      </c>
      <c r="R2878" s="1">
        <v>4.0</v>
      </c>
      <c r="S2878" s="1" t="str">
        <f>IFERROR(__xludf.DUMMYFUNCTION("""COMPUTED_VALUE"""),"store_003701")</f>
        <v>store_003701</v>
      </c>
    </row>
    <row r="2879" ht="15.75" customHeight="1">
      <c r="A2879" s="1" t="s">
        <v>6559</v>
      </c>
      <c r="B2879" s="1" t="s">
        <v>5627</v>
      </c>
      <c r="C2879" s="1" t="s">
        <v>38</v>
      </c>
      <c r="E2879" s="1">
        <v>28.7730769</v>
      </c>
      <c r="F2879" s="1">
        <v>77.5064646</v>
      </c>
      <c r="G2879" s="1" t="s">
        <v>6096</v>
      </c>
      <c r="H2879" s="1" t="s">
        <v>6097</v>
      </c>
      <c r="I2879" s="1" t="s">
        <v>1799</v>
      </c>
      <c r="J2879" s="1" t="s">
        <v>56</v>
      </c>
      <c r="K2879" s="1" t="s">
        <v>2892</v>
      </c>
      <c r="L2879" s="1" t="s">
        <v>27</v>
      </c>
      <c r="N2879" s="1" t="s">
        <v>28</v>
      </c>
      <c r="O2879" s="1" t="s">
        <v>57</v>
      </c>
      <c r="P2879" s="1" t="s">
        <v>6483</v>
      </c>
      <c r="Q2879" s="1" t="s">
        <v>6484</v>
      </c>
      <c r="R2879" s="1">
        <v>0.0</v>
      </c>
      <c r="S2879" s="1" t="str">
        <f>IFERROR(__xludf.DUMMYFUNCTION("""COMPUTED_VALUE"""),"store_003702")</f>
        <v>store_003702</v>
      </c>
    </row>
    <row r="2880" ht="15.75" customHeight="1">
      <c r="A2880" s="1" t="s">
        <v>6560</v>
      </c>
      <c r="B2880" s="1" t="s">
        <v>5629</v>
      </c>
      <c r="C2880" s="1" t="s">
        <v>38</v>
      </c>
      <c r="E2880" s="1">
        <v>29.4674481</v>
      </c>
      <c r="F2880" s="1">
        <v>77.7186038</v>
      </c>
      <c r="G2880" s="1" t="s">
        <v>6096</v>
      </c>
      <c r="H2880" s="1" t="s">
        <v>6097</v>
      </c>
      <c r="I2880" s="1" t="s">
        <v>1799</v>
      </c>
      <c r="J2880" s="1" t="s">
        <v>56</v>
      </c>
      <c r="K2880" s="1" t="s">
        <v>2892</v>
      </c>
      <c r="L2880" s="1" t="s">
        <v>27</v>
      </c>
      <c r="N2880" s="1" t="s">
        <v>28</v>
      </c>
      <c r="O2880" s="1" t="s">
        <v>57</v>
      </c>
      <c r="P2880" s="1" t="s">
        <v>6483</v>
      </c>
      <c r="Q2880" s="1" t="s">
        <v>6484</v>
      </c>
      <c r="R2880" s="1">
        <v>0.0</v>
      </c>
      <c r="S2880" s="1" t="str">
        <f>IFERROR(__xludf.DUMMYFUNCTION("""COMPUTED_VALUE"""),"store_003703")</f>
        <v>store_003703</v>
      </c>
    </row>
    <row r="2881" ht="15.75" customHeight="1">
      <c r="A2881" s="1" t="s">
        <v>6561</v>
      </c>
      <c r="B2881" s="1" t="s">
        <v>5631</v>
      </c>
      <c r="C2881" s="1" t="s">
        <v>38</v>
      </c>
      <c r="E2881" s="1">
        <v>28.3998459</v>
      </c>
      <c r="F2881" s="1">
        <v>78.1097795</v>
      </c>
      <c r="G2881" s="1" t="s">
        <v>6096</v>
      </c>
      <c r="H2881" s="1" t="s">
        <v>6097</v>
      </c>
      <c r="I2881" s="1" t="s">
        <v>1799</v>
      </c>
      <c r="J2881" s="1" t="s">
        <v>56</v>
      </c>
      <c r="K2881" s="1" t="s">
        <v>2892</v>
      </c>
      <c r="L2881" s="1" t="s">
        <v>27</v>
      </c>
      <c r="N2881" s="1" t="s">
        <v>28</v>
      </c>
      <c r="O2881" s="1" t="s">
        <v>57</v>
      </c>
      <c r="P2881" s="1" t="s">
        <v>6483</v>
      </c>
      <c r="Q2881" s="1" t="s">
        <v>6484</v>
      </c>
      <c r="R2881" s="1">
        <v>0.0</v>
      </c>
      <c r="S2881" s="1" t="str">
        <f>IFERROR(__xludf.DUMMYFUNCTION("""COMPUTED_VALUE"""),"store_003704")</f>
        <v>store_003704</v>
      </c>
    </row>
    <row r="2882" ht="15.75" customHeight="1">
      <c r="A2882" s="1" t="s">
        <v>6562</v>
      </c>
      <c r="B2882" s="1" t="s">
        <v>5633</v>
      </c>
      <c r="C2882" s="1" t="s">
        <v>38</v>
      </c>
      <c r="E2882" s="1">
        <v>28.4080264</v>
      </c>
      <c r="F2882" s="1">
        <v>77.8524505</v>
      </c>
      <c r="G2882" s="1" t="s">
        <v>6096</v>
      </c>
      <c r="H2882" s="1" t="s">
        <v>6097</v>
      </c>
      <c r="I2882" s="1" t="s">
        <v>1799</v>
      </c>
      <c r="J2882" s="1" t="s">
        <v>56</v>
      </c>
      <c r="K2882" s="1" t="s">
        <v>2892</v>
      </c>
      <c r="L2882" s="1" t="s">
        <v>27</v>
      </c>
      <c r="N2882" s="1" t="s">
        <v>28</v>
      </c>
      <c r="O2882" s="1" t="s">
        <v>57</v>
      </c>
      <c r="P2882" s="1" t="s">
        <v>6483</v>
      </c>
      <c r="Q2882" s="1" t="s">
        <v>6484</v>
      </c>
      <c r="R2882" s="1">
        <v>0.0</v>
      </c>
      <c r="S2882" s="1" t="str">
        <f>IFERROR(__xludf.DUMMYFUNCTION("""COMPUTED_VALUE"""),"store_003705")</f>
        <v>store_003705</v>
      </c>
    </row>
    <row r="2883" ht="15.75" customHeight="1">
      <c r="A2883" s="1" t="s">
        <v>6563</v>
      </c>
      <c r="B2883" s="1" t="s">
        <v>5635</v>
      </c>
      <c r="C2883" s="1" t="s">
        <v>38</v>
      </c>
      <c r="E2883" s="1">
        <v>29.1063565</v>
      </c>
      <c r="F2883" s="1">
        <v>77.2630533</v>
      </c>
      <c r="G2883" s="1" t="s">
        <v>6096</v>
      </c>
      <c r="H2883" s="1" t="s">
        <v>6097</v>
      </c>
      <c r="I2883" s="1" t="s">
        <v>1799</v>
      </c>
      <c r="J2883" s="1" t="s">
        <v>56</v>
      </c>
      <c r="K2883" s="1" t="s">
        <v>2892</v>
      </c>
      <c r="L2883" s="1" t="s">
        <v>27</v>
      </c>
      <c r="N2883" s="1" t="s">
        <v>28</v>
      </c>
      <c r="O2883" s="1" t="s">
        <v>57</v>
      </c>
      <c r="P2883" s="1" t="s">
        <v>6483</v>
      </c>
      <c r="Q2883" s="1" t="s">
        <v>6484</v>
      </c>
      <c r="R2883" s="1">
        <v>0.0</v>
      </c>
      <c r="S2883" s="1" t="str">
        <f>IFERROR(__xludf.DUMMYFUNCTION("""COMPUTED_VALUE"""),"store_003706")</f>
        <v>store_003706</v>
      </c>
    </row>
    <row r="2884" ht="15.75" customHeight="1">
      <c r="A2884" s="1" t="s">
        <v>6564</v>
      </c>
      <c r="B2884" s="1" t="s">
        <v>5637</v>
      </c>
      <c r="C2884" s="1" t="s">
        <v>38</v>
      </c>
      <c r="E2884" s="1">
        <v>29.30894</v>
      </c>
      <c r="F2884" s="1">
        <v>78.4956737</v>
      </c>
      <c r="G2884" s="1" t="s">
        <v>6096</v>
      </c>
      <c r="H2884" s="1" t="s">
        <v>6097</v>
      </c>
      <c r="I2884" s="1" t="s">
        <v>1799</v>
      </c>
      <c r="J2884" s="1" t="s">
        <v>56</v>
      </c>
      <c r="K2884" s="1" t="s">
        <v>2892</v>
      </c>
      <c r="L2884" s="1" t="s">
        <v>27</v>
      </c>
      <c r="N2884" s="1" t="s">
        <v>28</v>
      </c>
      <c r="O2884" s="1" t="s">
        <v>57</v>
      </c>
      <c r="P2884" s="1" t="s">
        <v>6483</v>
      </c>
      <c r="Q2884" s="1" t="s">
        <v>6484</v>
      </c>
      <c r="R2884" s="1">
        <v>0.0</v>
      </c>
      <c r="S2884" s="1" t="str">
        <f>IFERROR(__xludf.DUMMYFUNCTION("""COMPUTED_VALUE"""),"store_003707")</f>
        <v>store_003707</v>
      </c>
    </row>
    <row r="2885" ht="15.75" customHeight="1">
      <c r="A2885" s="1" t="s">
        <v>6565</v>
      </c>
      <c r="B2885" s="1" t="s">
        <v>5639</v>
      </c>
      <c r="C2885" s="1" t="s">
        <v>38</v>
      </c>
      <c r="E2885" s="1">
        <v>28.5867878</v>
      </c>
      <c r="F2885" s="1">
        <v>77.7911488</v>
      </c>
      <c r="G2885" s="1" t="s">
        <v>6096</v>
      </c>
      <c r="H2885" s="1" t="s">
        <v>6097</v>
      </c>
      <c r="I2885" s="1" t="s">
        <v>1799</v>
      </c>
      <c r="J2885" s="1" t="s">
        <v>56</v>
      </c>
      <c r="K2885" s="1" t="s">
        <v>2892</v>
      </c>
      <c r="L2885" s="1" t="s">
        <v>27</v>
      </c>
      <c r="N2885" s="1" t="s">
        <v>28</v>
      </c>
      <c r="O2885" s="1" t="s">
        <v>57</v>
      </c>
      <c r="P2885" s="1" t="s">
        <v>6483</v>
      </c>
      <c r="Q2885" s="1" t="s">
        <v>6484</v>
      </c>
      <c r="R2885" s="1">
        <v>0.0</v>
      </c>
      <c r="S2885" s="1" t="str">
        <f>IFERROR(__xludf.DUMMYFUNCTION("""COMPUTED_VALUE"""),"store_003708")</f>
        <v>store_003708</v>
      </c>
    </row>
    <row r="2886" ht="15.75" customHeight="1">
      <c r="A2886" s="1" t="s">
        <v>6566</v>
      </c>
      <c r="B2886" s="1" t="s">
        <v>5641</v>
      </c>
      <c r="C2886" s="1" t="s">
        <v>38</v>
      </c>
      <c r="E2886" s="1">
        <v>28.553601</v>
      </c>
      <c r="F2886" s="1">
        <v>77.55388099999999</v>
      </c>
      <c r="G2886" s="1" t="s">
        <v>6096</v>
      </c>
      <c r="H2886" s="1" t="s">
        <v>6097</v>
      </c>
      <c r="I2886" s="1" t="s">
        <v>1799</v>
      </c>
      <c r="J2886" s="1" t="s">
        <v>56</v>
      </c>
      <c r="K2886" s="1" t="s">
        <v>2892</v>
      </c>
      <c r="L2886" s="1" t="s">
        <v>27</v>
      </c>
      <c r="N2886" s="1" t="s">
        <v>28</v>
      </c>
      <c r="O2886" s="1" t="s">
        <v>57</v>
      </c>
      <c r="P2886" s="1" t="s">
        <v>6483</v>
      </c>
      <c r="Q2886" s="1" t="s">
        <v>6484</v>
      </c>
      <c r="R2886" s="1">
        <v>0.0</v>
      </c>
      <c r="S2886" s="1" t="str">
        <f>IFERROR(__xludf.DUMMYFUNCTION("""COMPUTED_VALUE"""),"store_003709")</f>
        <v>store_003709</v>
      </c>
    </row>
    <row r="2887" ht="15.75" customHeight="1">
      <c r="A2887" s="1" t="s">
        <v>6567</v>
      </c>
      <c r="B2887" s="1" t="s">
        <v>5643</v>
      </c>
      <c r="C2887" s="1" t="s">
        <v>38</v>
      </c>
      <c r="E2887" s="1">
        <v>24.4054876</v>
      </c>
      <c r="F2887" s="1">
        <v>75.8214371</v>
      </c>
      <c r="G2887" s="1" t="s">
        <v>6096</v>
      </c>
      <c r="H2887" s="1" t="s">
        <v>6097</v>
      </c>
      <c r="I2887" s="1" t="s">
        <v>1799</v>
      </c>
      <c r="J2887" s="1" t="s">
        <v>56</v>
      </c>
      <c r="K2887" s="1" t="s">
        <v>2892</v>
      </c>
      <c r="L2887" s="1" t="s">
        <v>27</v>
      </c>
      <c r="N2887" s="1" t="s">
        <v>28</v>
      </c>
      <c r="O2887" s="1" t="s">
        <v>57</v>
      </c>
      <c r="P2887" s="1" t="s">
        <v>6483</v>
      </c>
      <c r="Q2887" s="1" t="s">
        <v>6484</v>
      </c>
      <c r="R2887" s="1">
        <v>0.0</v>
      </c>
      <c r="S2887" s="1" t="str">
        <f>IFERROR(__xludf.DUMMYFUNCTION("""COMPUTED_VALUE"""),"store_003710")</f>
        <v>store_003710</v>
      </c>
    </row>
    <row r="2888" ht="15.75" customHeight="1">
      <c r="A2888" s="1" t="s">
        <v>6568</v>
      </c>
      <c r="B2888" s="1" t="s">
        <v>5645</v>
      </c>
      <c r="C2888" s="1" t="s">
        <v>38</v>
      </c>
      <c r="E2888" s="1">
        <v>26.5846739</v>
      </c>
      <c r="F2888" s="1">
        <v>74.8512111</v>
      </c>
      <c r="G2888" s="1" t="s">
        <v>6096</v>
      </c>
      <c r="H2888" s="1" t="s">
        <v>6097</v>
      </c>
      <c r="I2888" s="1" t="s">
        <v>1799</v>
      </c>
      <c r="J2888" s="1" t="s">
        <v>56</v>
      </c>
      <c r="K2888" s="1" t="s">
        <v>2892</v>
      </c>
      <c r="L2888" s="1" t="s">
        <v>27</v>
      </c>
      <c r="N2888" s="1" t="s">
        <v>28</v>
      </c>
      <c r="O2888" s="1" t="s">
        <v>57</v>
      </c>
      <c r="P2888" s="1" t="s">
        <v>6483</v>
      </c>
      <c r="Q2888" s="1" t="s">
        <v>6484</v>
      </c>
      <c r="R2888" s="1">
        <v>0.0</v>
      </c>
      <c r="S2888" s="1" t="str">
        <f>IFERROR(__xludf.DUMMYFUNCTION("""COMPUTED_VALUE"""),"store_003711")</f>
        <v>store_003711</v>
      </c>
    </row>
    <row r="2889" ht="15.75" customHeight="1">
      <c r="A2889" s="1" t="s">
        <v>6569</v>
      </c>
      <c r="B2889" s="1" t="s">
        <v>5647</v>
      </c>
      <c r="C2889" s="1" t="s">
        <v>38</v>
      </c>
      <c r="E2889" s="1">
        <v>26.736517</v>
      </c>
      <c r="F2889" s="1">
        <v>77.03426</v>
      </c>
      <c r="G2889" s="1" t="s">
        <v>6096</v>
      </c>
      <c r="H2889" s="1" t="s">
        <v>6097</v>
      </c>
      <c r="I2889" s="1" t="s">
        <v>1799</v>
      </c>
      <c r="J2889" s="1" t="s">
        <v>56</v>
      </c>
      <c r="K2889" s="1" t="s">
        <v>2892</v>
      </c>
      <c r="L2889" s="1" t="s">
        <v>27</v>
      </c>
      <c r="N2889" s="1" t="s">
        <v>28</v>
      </c>
      <c r="O2889" s="1" t="s">
        <v>57</v>
      </c>
      <c r="P2889" s="1" t="s">
        <v>6483</v>
      </c>
      <c r="Q2889" s="1" t="s">
        <v>6484</v>
      </c>
      <c r="R2889" s="1">
        <v>0.0</v>
      </c>
      <c r="S2889" s="1" t="str">
        <f>IFERROR(__xludf.DUMMYFUNCTION("""COMPUTED_VALUE"""),"store_003712")</f>
        <v>store_003712</v>
      </c>
    </row>
    <row r="2890" ht="15.75" customHeight="1">
      <c r="A2890" s="1" t="s">
        <v>6570</v>
      </c>
      <c r="B2890" s="1" t="s">
        <v>5649</v>
      </c>
      <c r="C2890" s="1" t="s">
        <v>38</v>
      </c>
      <c r="E2890" s="1">
        <v>27.2110419</v>
      </c>
      <c r="F2890" s="1">
        <v>77.4966784</v>
      </c>
      <c r="G2890" s="1" t="s">
        <v>6096</v>
      </c>
      <c r="H2890" s="1" t="s">
        <v>6097</v>
      </c>
      <c r="I2890" s="1" t="s">
        <v>1799</v>
      </c>
      <c r="J2890" s="1" t="s">
        <v>56</v>
      </c>
      <c r="K2890" s="1" t="s">
        <v>2892</v>
      </c>
      <c r="L2890" s="1" t="s">
        <v>27</v>
      </c>
      <c r="N2890" s="1" t="s">
        <v>28</v>
      </c>
      <c r="O2890" s="1" t="s">
        <v>57</v>
      </c>
      <c r="P2890" s="1" t="s">
        <v>6483</v>
      </c>
      <c r="Q2890" s="1" t="s">
        <v>6484</v>
      </c>
      <c r="R2890" s="1">
        <v>0.0</v>
      </c>
      <c r="S2890" s="1" t="str">
        <f>IFERROR(__xludf.DUMMYFUNCTION("""COMPUTED_VALUE"""),"store_003713")</f>
        <v>store_003713</v>
      </c>
    </row>
    <row r="2891" ht="15.75" customHeight="1">
      <c r="A2891" s="1" t="s">
        <v>6571</v>
      </c>
      <c r="B2891" s="1" t="s">
        <v>5651</v>
      </c>
      <c r="C2891" s="1" t="s">
        <v>38</v>
      </c>
      <c r="E2891" s="1">
        <v>27.8799935</v>
      </c>
      <c r="F2891" s="1">
        <v>76.2799983</v>
      </c>
      <c r="G2891" s="1" t="s">
        <v>6096</v>
      </c>
      <c r="H2891" s="1" t="s">
        <v>6097</v>
      </c>
      <c r="I2891" s="1" t="s">
        <v>1799</v>
      </c>
      <c r="J2891" s="1" t="s">
        <v>56</v>
      </c>
      <c r="K2891" s="1" t="s">
        <v>2892</v>
      </c>
      <c r="L2891" s="1" t="s">
        <v>27</v>
      </c>
      <c r="N2891" s="1" t="s">
        <v>28</v>
      </c>
      <c r="O2891" s="1" t="s">
        <v>57</v>
      </c>
      <c r="P2891" s="1" t="s">
        <v>6483</v>
      </c>
      <c r="Q2891" s="1" t="s">
        <v>6484</v>
      </c>
      <c r="R2891" s="1">
        <v>0.0</v>
      </c>
      <c r="S2891" s="1" t="str">
        <f>IFERROR(__xludf.DUMMYFUNCTION("""COMPUTED_VALUE"""),"store_003714")</f>
        <v>store_003714</v>
      </c>
    </row>
    <row r="2892" ht="15.75" customHeight="1">
      <c r="A2892" s="1" t="s">
        <v>6572</v>
      </c>
      <c r="B2892" s="1" t="s">
        <v>5653</v>
      </c>
      <c r="C2892" s="1" t="s">
        <v>38</v>
      </c>
      <c r="E2892" s="1">
        <v>26.4891334</v>
      </c>
      <c r="F2892" s="1">
        <v>74.62738089999999</v>
      </c>
      <c r="G2892" s="1" t="s">
        <v>6096</v>
      </c>
      <c r="H2892" s="1" t="s">
        <v>6097</v>
      </c>
      <c r="I2892" s="1" t="s">
        <v>1799</v>
      </c>
      <c r="J2892" s="1" t="s">
        <v>56</v>
      </c>
      <c r="K2892" s="1" t="s">
        <v>2892</v>
      </c>
      <c r="L2892" s="1" t="s">
        <v>27</v>
      </c>
      <c r="N2892" s="1" t="s">
        <v>28</v>
      </c>
      <c r="O2892" s="1" t="s">
        <v>57</v>
      </c>
      <c r="P2892" s="1" t="s">
        <v>6483</v>
      </c>
      <c r="Q2892" s="1" t="s">
        <v>6484</v>
      </c>
      <c r="R2892" s="1">
        <v>0.0</v>
      </c>
      <c r="S2892" s="1" t="str">
        <f>IFERROR(__xludf.DUMMYFUNCTION("""COMPUTED_VALUE"""),"store_003715")</f>
        <v>store_003715</v>
      </c>
    </row>
    <row r="2893" ht="15.75" customHeight="1">
      <c r="A2893" s="1" t="s">
        <v>6573</v>
      </c>
      <c r="B2893" s="1" t="s">
        <v>5655</v>
      </c>
      <c r="C2893" s="1" t="s">
        <v>38</v>
      </c>
      <c r="E2893" s="1">
        <v>30.3672933</v>
      </c>
      <c r="F2893" s="1">
        <v>76.7883859</v>
      </c>
      <c r="G2893" s="1" t="s">
        <v>6096</v>
      </c>
      <c r="H2893" s="1" t="s">
        <v>6097</v>
      </c>
      <c r="I2893" s="1" t="s">
        <v>1799</v>
      </c>
      <c r="J2893" s="1" t="s">
        <v>56</v>
      </c>
      <c r="K2893" s="1" t="s">
        <v>2892</v>
      </c>
      <c r="L2893" s="1" t="s">
        <v>27</v>
      </c>
      <c r="N2893" s="1" t="s">
        <v>28</v>
      </c>
      <c r="O2893" s="1" t="s">
        <v>57</v>
      </c>
      <c r="P2893" s="1" t="s">
        <v>6483</v>
      </c>
      <c r="Q2893" s="1" t="s">
        <v>6484</v>
      </c>
      <c r="R2893" s="1">
        <v>0.0</v>
      </c>
      <c r="S2893" s="1" t="str">
        <f>IFERROR(__xludf.DUMMYFUNCTION("""COMPUTED_VALUE"""),"store_003716")</f>
        <v>store_003716</v>
      </c>
    </row>
    <row r="2894" ht="15.75" customHeight="1">
      <c r="A2894" s="1" t="s">
        <v>6574</v>
      </c>
      <c r="B2894" s="1" t="s">
        <v>5659</v>
      </c>
      <c r="C2894" s="1" t="s">
        <v>38</v>
      </c>
      <c r="E2894" s="1">
        <v>27.2110811</v>
      </c>
      <c r="F2894" s="1">
        <v>77.4967204</v>
      </c>
      <c r="G2894" s="1" t="s">
        <v>6096</v>
      </c>
      <c r="H2894" s="1" t="s">
        <v>6097</v>
      </c>
      <c r="I2894" s="1" t="s">
        <v>1799</v>
      </c>
      <c r="J2894" s="1" t="s">
        <v>56</v>
      </c>
      <c r="K2894" s="1" t="s">
        <v>2892</v>
      </c>
      <c r="L2894" s="1" t="s">
        <v>27</v>
      </c>
      <c r="N2894" s="1" t="s">
        <v>28</v>
      </c>
      <c r="O2894" s="1" t="s">
        <v>57</v>
      </c>
      <c r="P2894" s="1" t="s">
        <v>6483</v>
      </c>
      <c r="Q2894" s="1" t="s">
        <v>6484</v>
      </c>
      <c r="R2894" s="1">
        <v>0.0</v>
      </c>
      <c r="S2894" s="1" t="str">
        <f>IFERROR(__xludf.DUMMYFUNCTION("""COMPUTED_VALUE"""),"store_003717")</f>
        <v>store_003717</v>
      </c>
    </row>
    <row r="2895" ht="15.75" customHeight="1">
      <c r="A2895" s="1" t="s">
        <v>6575</v>
      </c>
      <c r="B2895" s="1" t="s">
        <v>5661</v>
      </c>
      <c r="C2895" s="1" t="s">
        <v>38</v>
      </c>
      <c r="E2895" s="1">
        <v>25.9762872</v>
      </c>
      <c r="F2895" s="1">
        <v>75.1544887</v>
      </c>
      <c r="G2895" s="1" t="s">
        <v>6096</v>
      </c>
      <c r="H2895" s="1" t="s">
        <v>6097</v>
      </c>
      <c r="I2895" s="1" t="s">
        <v>1799</v>
      </c>
      <c r="J2895" s="1" t="s">
        <v>56</v>
      </c>
      <c r="K2895" s="1" t="s">
        <v>2892</v>
      </c>
      <c r="L2895" s="1" t="s">
        <v>27</v>
      </c>
      <c r="N2895" s="1" t="s">
        <v>28</v>
      </c>
      <c r="O2895" s="1" t="s">
        <v>57</v>
      </c>
      <c r="P2895" s="1" t="s">
        <v>6483</v>
      </c>
      <c r="Q2895" s="1" t="s">
        <v>6484</v>
      </c>
      <c r="R2895" s="1">
        <v>0.0</v>
      </c>
      <c r="S2895" s="1" t="str">
        <f>IFERROR(__xludf.DUMMYFUNCTION("""COMPUTED_VALUE"""),"store_003718")</f>
        <v>store_003718</v>
      </c>
    </row>
    <row r="2896" ht="15.75" customHeight="1">
      <c r="A2896" s="1" t="s">
        <v>6576</v>
      </c>
      <c r="B2896" s="1" t="s">
        <v>6577</v>
      </c>
      <c r="C2896" s="1" t="s">
        <v>38</v>
      </c>
      <c r="E2896" s="1">
        <v>26.7232894</v>
      </c>
      <c r="F2896" s="1">
        <v>88.384194</v>
      </c>
      <c r="G2896" s="1" t="s">
        <v>6096</v>
      </c>
      <c r="H2896" s="1" t="s">
        <v>6097</v>
      </c>
      <c r="I2896" s="1" t="s">
        <v>1799</v>
      </c>
      <c r="J2896" s="1" t="s">
        <v>56</v>
      </c>
      <c r="P2896" s="1" t="s">
        <v>6483</v>
      </c>
      <c r="Q2896" s="1" t="s">
        <v>6484</v>
      </c>
      <c r="R2896" s="1">
        <v>0.0</v>
      </c>
      <c r="S2896" s="1"/>
    </row>
    <row r="2897" ht="15.75" customHeight="1">
      <c r="A2897" s="1" t="s">
        <v>6578</v>
      </c>
      <c r="B2897" s="1" t="s">
        <v>5663</v>
      </c>
      <c r="C2897" s="1" t="s">
        <v>38</v>
      </c>
      <c r="E2897" s="1">
        <v>26.7091346</v>
      </c>
      <c r="F2897" s="1">
        <v>88.4170316</v>
      </c>
      <c r="G2897" s="1" t="s">
        <v>6096</v>
      </c>
      <c r="H2897" s="1" t="s">
        <v>6097</v>
      </c>
      <c r="I2897" s="1" t="s">
        <v>1799</v>
      </c>
      <c r="J2897" s="1" t="s">
        <v>56</v>
      </c>
      <c r="K2897" s="1" t="s">
        <v>2892</v>
      </c>
      <c r="L2897" s="1" t="s">
        <v>27</v>
      </c>
      <c r="N2897" s="1" t="s">
        <v>28</v>
      </c>
      <c r="O2897" s="1" t="s">
        <v>57</v>
      </c>
      <c r="P2897" s="1" t="s">
        <v>6483</v>
      </c>
      <c r="Q2897" s="1" t="s">
        <v>6484</v>
      </c>
      <c r="R2897" s="1">
        <v>0.0</v>
      </c>
      <c r="S2897" s="1" t="str">
        <f>IFERROR(__xludf.DUMMYFUNCTION("""COMPUTED_VALUE"""),"store_003719")</f>
        <v>store_003719</v>
      </c>
    </row>
    <row r="2898" ht="15.75" customHeight="1">
      <c r="A2898" s="1" t="s">
        <v>6579</v>
      </c>
      <c r="B2898" s="1" t="s">
        <v>5665</v>
      </c>
      <c r="C2898" s="1" t="s">
        <v>38</v>
      </c>
      <c r="E2898" s="1">
        <v>26.7521443</v>
      </c>
      <c r="F2898" s="1">
        <v>88.4171642</v>
      </c>
      <c r="G2898" s="1" t="s">
        <v>6096</v>
      </c>
      <c r="H2898" s="1" t="s">
        <v>6097</v>
      </c>
      <c r="I2898" s="1" t="s">
        <v>1799</v>
      </c>
      <c r="J2898" s="1" t="s">
        <v>56</v>
      </c>
      <c r="K2898" s="1" t="s">
        <v>2892</v>
      </c>
      <c r="L2898" s="1" t="s">
        <v>27</v>
      </c>
      <c r="N2898" s="1" t="s">
        <v>28</v>
      </c>
      <c r="O2898" s="1" t="s">
        <v>57</v>
      </c>
      <c r="P2898" s="1" t="s">
        <v>6483</v>
      </c>
      <c r="Q2898" s="1" t="s">
        <v>6484</v>
      </c>
      <c r="R2898" s="1">
        <v>0.0</v>
      </c>
      <c r="S2898" s="1" t="str">
        <f>IFERROR(__xludf.DUMMYFUNCTION("""COMPUTED_VALUE"""),"store_003720")</f>
        <v>store_003720</v>
      </c>
    </row>
    <row r="2899" ht="15.75" customHeight="1">
      <c r="A2899" s="1" t="s">
        <v>6580</v>
      </c>
      <c r="B2899" s="1" t="s">
        <v>5669</v>
      </c>
      <c r="C2899" s="1" t="s">
        <v>38</v>
      </c>
      <c r="E2899" s="1">
        <v>26.7097324</v>
      </c>
      <c r="F2899" s="1">
        <v>89.13993990000002</v>
      </c>
      <c r="G2899" s="1" t="s">
        <v>6096</v>
      </c>
      <c r="H2899" s="1" t="s">
        <v>6097</v>
      </c>
      <c r="I2899" s="1" t="s">
        <v>1799</v>
      </c>
      <c r="J2899" s="1" t="s">
        <v>56</v>
      </c>
      <c r="K2899" s="1" t="s">
        <v>2892</v>
      </c>
      <c r="L2899" s="1" t="s">
        <v>27</v>
      </c>
      <c r="N2899" s="1" t="s">
        <v>28</v>
      </c>
      <c r="O2899" s="1" t="s">
        <v>57</v>
      </c>
      <c r="P2899" s="1" t="s">
        <v>6483</v>
      </c>
      <c r="Q2899" s="1" t="s">
        <v>6484</v>
      </c>
      <c r="R2899" s="1">
        <v>0.0</v>
      </c>
      <c r="S2899" s="1" t="str">
        <f>IFERROR(__xludf.DUMMYFUNCTION("""COMPUTED_VALUE"""),"store_003722")</f>
        <v>store_003722</v>
      </c>
    </row>
    <row r="2900" ht="15.75" customHeight="1">
      <c r="A2900" s="1" t="s">
        <v>6581</v>
      </c>
      <c r="B2900" s="1" t="s">
        <v>5671</v>
      </c>
      <c r="C2900" s="1" t="s">
        <v>38</v>
      </c>
      <c r="E2900" s="1">
        <v>27.1645006</v>
      </c>
      <c r="F2900" s="1">
        <v>88.3608809</v>
      </c>
      <c r="G2900" s="1" t="s">
        <v>6096</v>
      </c>
      <c r="H2900" s="1" t="s">
        <v>6097</v>
      </c>
      <c r="I2900" s="1" t="s">
        <v>1799</v>
      </c>
      <c r="J2900" s="1" t="s">
        <v>56</v>
      </c>
      <c r="K2900" s="1" t="s">
        <v>2892</v>
      </c>
      <c r="L2900" s="1" t="s">
        <v>27</v>
      </c>
      <c r="N2900" s="1" t="s">
        <v>28</v>
      </c>
      <c r="O2900" s="1" t="s">
        <v>57</v>
      </c>
      <c r="P2900" s="1" t="s">
        <v>6483</v>
      </c>
      <c r="Q2900" s="1" t="s">
        <v>6484</v>
      </c>
      <c r="R2900" s="1">
        <v>0.0</v>
      </c>
      <c r="S2900" s="1" t="str">
        <f>IFERROR(__xludf.DUMMYFUNCTION("""COMPUTED_VALUE"""),"store_003723")</f>
        <v>store_003723</v>
      </c>
    </row>
    <row r="2901" ht="15.75" customHeight="1">
      <c r="A2901" s="1" t="s">
        <v>6582</v>
      </c>
      <c r="B2901" s="1" t="s">
        <v>5673</v>
      </c>
      <c r="C2901" s="1" t="s">
        <v>38</v>
      </c>
      <c r="E2901" s="1">
        <v>26.5662026</v>
      </c>
      <c r="F2901" s="1">
        <v>88.8208288</v>
      </c>
      <c r="G2901" s="1" t="s">
        <v>6096</v>
      </c>
      <c r="H2901" s="1" t="s">
        <v>6097</v>
      </c>
      <c r="I2901" s="1" t="s">
        <v>1799</v>
      </c>
      <c r="J2901" s="1" t="s">
        <v>56</v>
      </c>
      <c r="K2901" s="1" t="s">
        <v>2892</v>
      </c>
      <c r="L2901" s="1" t="s">
        <v>27</v>
      </c>
      <c r="N2901" s="1" t="s">
        <v>28</v>
      </c>
      <c r="O2901" s="1" t="s">
        <v>57</v>
      </c>
      <c r="P2901" s="1" t="s">
        <v>6483</v>
      </c>
      <c r="Q2901" s="1" t="s">
        <v>6484</v>
      </c>
      <c r="R2901" s="1">
        <v>0.0</v>
      </c>
      <c r="S2901" s="1" t="str">
        <f>IFERROR(__xludf.DUMMYFUNCTION("""COMPUTED_VALUE"""),"store_003724")</f>
        <v>store_003724</v>
      </c>
    </row>
    <row r="2902" ht="15.75" customHeight="1">
      <c r="A2902" s="1" t="s">
        <v>6583</v>
      </c>
      <c r="B2902" s="1" t="s">
        <v>5677</v>
      </c>
      <c r="C2902" s="1" t="s">
        <v>38</v>
      </c>
      <c r="E2902" s="1">
        <v>27.131674</v>
      </c>
      <c r="F2902" s="1">
        <v>88.2796884</v>
      </c>
      <c r="G2902" s="1" t="s">
        <v>6096</v>
      </c>
      <c r="H2902" s="1" t="s">
        <v>6097</v>
      </c>
      <c r="I2902" s="1" t="s">
        <v>1799</v>
      </c>
      <c r="J2902" s="1" t="s">
        <v>56</v>
      </c>
      <c r="K2902" s="1" t="s">
        <v>2892</v>
      </c>
      <c r="L2902" s="1" t="s">
        <v>27</v>
      </c>
      <c r="N2902" s="1" t="s">
        <v>28</v>
      </c>
      <c r="O2902" s="1" t="s">
        <v>57</v>
      </c>
      <c r="P2902" s="1" t="s">
        <v>6483</v>
      </c>
      <c r="Q2902" s="1" t="s">
        <v>6484</v>
      </c>
      <c r="R2902" s="1">
        <v>0.0</v>
      </c>
      <c r="S2902" s="1" t="str">
        <f>IFERROR(__xludf.DUMMYFUNCTION("""COMPUTED_VALUE"""),"store_003726")</f>
        <v>store_003726</v>
      </c>
    </row>
    <row r="2903" ht="15.75" customHeight="1">
      <c r="A2903" s="1" t="s">
        <v>6584</v>
      </c>
      <c r="B2903" s="1" t="s">
        <v>5679</v>
      </c>
      <c r="C2903" s="1" t="s">
        <v>38</v>
      </c>
      <c r="E2903" s="1">
        <v>27.3195078</v>
      </c>
      <c r="F2903" s="1">
        <v>88.6038964</v>
      </c>
      <c r="G2903" s="1" t="s">
        <v>6096</v>
      </c>
      <c r="H2903" s="1" t="s">
        <v>6097</v>
      </c>
      <c r="I2903" s="1" t="s">
        <v>1799</v>
      </c>
      <c r="J2903" s="1" t="s">
        <v>56</v>
      </c>
      <c r="K2903" s="1" t="s">
        <v>2892</v>
      </c>
      <c r="L2903" s="1" t="s">
        <v>27</v>
      </c>
      <c r="N2903" s="1" t="s">
        <v>28</v>
      </c>
      <c r="O2903" s="1" t="s">
        <v>57</v>
      </c>
      <c r="P2903" s="1" t="s">
        <v>6483</v>
      </c>
      <c r="Q2903" s="1" t="s">
        <v>6484</v>
      </c>
      <c r="R2903" s="1">
        <v>0.0</v>
      </c>
      <c r="S2903" s="1" t="str">
        <f>IFERROR(__xludf.DUMMYFUNCTION("""COMPUTED_VALUE"""),"store_003727")</f>
        <v>store_003727</v>
      </c>
    </row>
    <row r="2904" ht="15.75" customHeight="1">
      <c r="A2904" s="1" t="s">
        <v>6585</v>
      </c>
      <c r="B2904" s="1" t="s">
        <v>5681</v>
      </c>
      <c r="C2904" s="1" t="s">
        <v>38</v>
      </c>
      <c r="E2904" s="1">
        <v>26.5919565</v>
      </c>
      <c r="F2904" s="1">
        <v>88.5889462</v>
      </c>
      <c r="G2904" s="1" t="s">
        <v>6096</v>
      </c>
      <c r="H2904" s="1" t="s">
        <v>6097</v>
      </c>
      <c r="I2904" s="1" t="s">
        <v>1799</v>
      </c>
      <c r="J2904" s="1" t="s">
        <v>56</v>
      </c>
      <c r="K2904" s="1" t="s">
        <v>2892</v>
      </c>
      <c r="L2904" s="1" t="s">
        <v>27</v>
      </c>
      <c r="N2904" s="1" t="s">
        <v>28</v>
      </c>
      <c r="O2904" s="1" t="s">
        <v>57</v>
      </c>
      <c r="P2904" s="1" t="s">
        <v>6483</v>
      </c>
      <c r="Q2904" s="1" t="s">
        <v>6484</v>
      </c>
      <c r="R2904" s="1">
        <v>0.0</v>
      </c>
      <c r="S2904" s="1" t="str">
        <f>IFERROR(__xludf.DUMMYFUNCTION("""COMPUTED_VALUE"""),"store_003728")</f>
        <v>store_003728</v>
      </c>
    </row>
    <row r="2905" ht="15.75" customHeight="1">
      <c r="A2905" s="1" t="s">
        <v>6586</v>
      </c>
      <c r="B2905" s="1" t="s">
        <v>5683</v>
      </c>
      <c r="C2905" s="1" t="s">
        <v>38</v>
      </c>
      <c r="E2905" s="1">
        <v>26.4227025</v>
      </c>
      <c r="F2905" s="1">
        <v>88.1321262</v>
      </c>
      <c r="G2905" s="1" t="s">
        <v>6096</v>
      </c>
      <c r="H2905" s="1" t="s">
        <v>6097</v>
      </c>
      <c r="I2905" s="1" t="s">
        <v>1799</v>
      </c>
      <c r="J2905" s="1" t="s">
        <v>56</v>
      </c>
      <c r="K2905" s="1" t="s">
        <v>2892</v>
      </c>
      <c r="L2905" s="1" t="s">
        <v>27</v>
      </c>
      <c r="N2905" s="1" t="s">
        <v>28</v>
      </c>
      <c r="O2905" s="1" t="s">
        <v>57</v>
      </c>
      <c r="P2905" s="1" t="s">
        <v>6483</v>
      </c>
      <c r="Q2905" s="1" t="s">
        <v>6484</v>
      </c>
      <c r="R2905" s="1">
        <v>0.0</v>
      </c>
      <c r="S2905" s="1" t="str">
        <f>IFERROR(__xludf.DUMMYFUNCTION("""COMPUTED_VALUE"""),"store_003729")</f>
        <v>store_003729</v>
      </c>
    </row>
    <row r="2906" ht="15.75" customHeight="1">
      <c r="A2906" s="1" t="s">
        <v>6587</v>
      </c>
      <c r="B2906" s="1" t="s">
        <v>5685</v>
      </c>
      <c r="C2906" s="1" t="s">
        <v>38</v>
      </c>
      <c r="E2906" s="1">
        <v>26.10409</v>
      </c>
      <c r="F2906" s="1">
        <v>87.95124799999999</v>
      </c>
      <c r="G2906" s="1" t="s">
        <v>6096</v>
      </c>
      <c r="H2906" s="1" t="s">
        <v>6097</v>
      </c>
      <c r="I2906" s="1" t="s">
        <v>1799</v>
      </c>
      <c r="J2906" s="1" t="s">
        <v>56</v>
      </c>
      <c r="K2906" s="1" t="s">
        <v>2892</v>
      </c>
      <c r="L2906" s="1" t="s">
        <v>27</v>
      </c>
      <c r="N2906" s="1" t="s">
        <v>28</v>
      </c>
      <c r="O2906" s="1" t="s">
        <v>57</v>
      </c>
      <c r="P2906" s="1" t="s">
        <v>6483</v>
      </c>
      <c r="Q2906" s="1" t="s">
        <v>6484</v>
      </c>
      <c r="R2906" s="1">
        <v>0.0</v>
      </c>
      <c r="S2906" s="1" t="str">
        <f>IFERROR(__xludf.DUMMYFUNCTION("""COMPUTED_VALUE"""),"store_003730")</f>
        <v>store_003730</v>
      </c>
    </row>
    <row r="2907" ht="15.75" customHeight="1">
      <c r="A2907" s="1" t="s">
        <v>6588</v>
      </c>
      <c r="B2907" s="1" t="s">
        <v>5689</v>
      </c>
      <c r="C2907" s="1" t="s">
        <v>746</v>
      </c>
      <c r="E2907" s="1">
        <v>25.2813818</v>
      </c>
      <c r="F2907" s="1">
        <v>82.985919</v>
      </c>
      <c r="G2907" s="1" t="s">
        <v>6096</v>
      </c>
      <c r="H2907" s="1" t="s">
        <v>6097</v>
      </c>
      <c r="I2907" s="1" t="s">
        <v>1799</v>
      </c>
      <c r="J2907" s="1" t="s">
        <v>56</v>
      </c>
      <c r="K2907" s="1" t="s">
        <v>2892</v>
      </c>
      <c r="L2907" s="1" t="s">
        <v>27</v>
      </c>
      <c r="N2907" s="1" t="s">
        <v>28</v>
      </c>
      <c r="O2907" s="1" t="s">
        <v>57</v>
      </c>
      <c r="P2907" s="1" t="s">
        <v>6504</v>
      </c>
      <c r="Q2907" s="1" t="s">
        <v>6505</v>
      </c>
      <c r="R2907" s="1">
        <v>0.0</v>
      </c>
      <c r="S2907" s="1" t="str">
        <f>IFERROR(__xludf.DUMMYFUNCTION("""COMPUTED_VALUE"""),"store_003732")</f>
        <v>store_003732</v>
      </c>
    </row>
    <row r="2908" ht="15.75" customHeight="1">
      <c r="A2908" s="1" t="s">
        <v>6589</v>
      </c>
      <c r="B2908" s="1" t="s">
        <v>5691</v>
      </c>
      <c r="C2908" s="1" t="s">
        <v>746</v>
      </c>
      <c r="E2908" s="1">
        <v>28.622669</v>
      </c>
      <c r="F2908" s="1">
        <v>77.390365</v>
      </c>
      <c r="G2908" s="1" t="s">
        <v>6096</v>
      </c>
      <c r="H2908" s="1" t="s">
        <v>6097</v>
      </c>
      <c r="I2908" s="1" t="s">
        <v>1799</v>
      </c>
      <c r="J2908" s="1" t="s">
        <v>56</v>
      </c>
      <c r="K2908" s="1" t="s">
        <v>2892</v>
      </c>
      <c r="L2908" s="1" t="s">
        <v>27</v>
      </c>
      <c r="N2908" s="1" t="s">
        <v>28</v>
      </c>
      <c r="O2908" s="1" t="s">
        <v>57</v>
      </c>
      <c r="P2908" s="1" t="s">
        <v>6504</v>
      </c>
      <c r="Q2908" s="1" t="s">
        <v>6505</v>
      </c>
      <c r="R2908" s="1">
        <v>0.0</v>
      </c>
      <c r="S2908" s="1" t="str">
        <f>IFERROR(__xludf.DUMMYFUNCTION("""COMPUTED_VALUE"""),"store_003733")</f>
        <v>store_003733</v>
      </c>
    </row>
    <row r="2909" ht="15.75" customHeight="1">
      <c r="A2909" s="1" t="s">
        <v>6590</v>
      </c>
      <c r="B2909" s="1" t="s">
        <v>5696</v>
      </c>
      <c r="C2909" s="1" t="s">
        <v>746</v>
      </c>
      <c r="E2909" s="1">
        <v>25.7260501</v>
      </c>
      <c r="F2909" s="1">
        <v>82.6974893</v>
      </c>
      <c r="G2909" s="1" t="s">
        <v>6096</v>
      </c>
      <c r="H2909" s="1" t="s">
        <v>6097</v>
      </c>
      <c r="I2909" s="1" t="s">
        <v>1799</v>
      </c>
      <c r="J2909" s="1" t="s">
        <v>56</v>
      </c>
      <c r="K2909" s="1" t="s">
        <v>2892</v>
      </c>
      <c r="L2909" s="1" t="s">
        <v>27</v>
      </c>
      <c r="N2909" s="1" t="s">
        <v>28</v>
      </c>
      <c r="O2909" s="1" t="s">
        <v>57</v>
      </c>
      <c r="P2909" s="1" t="s">
        <v>6504</v>
      </c>
      <c r="Q2909" s="1" t="s">
        <v>6505</v>
      </c>
      <c r="R2909" s="1">
        <v>0.0</v>
      </c>
      <c r="S2909" s="1" t="str">
        <f>IFERROR(__xludf.DUMMYFUNCTION("""COMPUTED_VALUE"""),"store_003735")</f>
        <v>store_003735</v>
      </c>
    </row>
    <row r="2910" ht="15.75" customHeight="1">
      <c r="A2910" s="1" t="s">
        <v>6591</v>
      </c>
      <c r="B2910" s="1" t="s">
        <v>5698</v>
      </c>
      <c r="C2910" s="1" t="s">
        <v>746</v>
      </c>
      <c r="E2910" s="1">
        <v>25.3370111</v>
      </c>
      <c r="F2910" s="1">
        <v>82.9835252</v>
      </c>
      <c r="G2910" s="1" t="s">
        <v>6096</v>
      </c>
      <c r="H2910" s="1" t="s">
        <v>6097</v>
      </c>
      <c r="I2910" s="1" t="s">
        <v>1799</v>
      </c>
      <c r="J2910" s="1" t="s">
        <v>56</v>
      </c>
      <c r="K2910" s="1" t="s">
        <v>2892</v>
      </c>
      <c r="L2910" s="1" t="s">
        <v>27</v>
      </c>
      <c r="N2910" s="1" t="s">
        <v>28</v>
      </c>
      <c r="O2910" s="1" t="s">
        <v>57</v>
      </c>
      <c r="P2910" s="1" t="s">
        <v>6504</v>
      </c>
      <c r="Q2910" s="1" t="s">
        <v>6505</v>
      </c>
      <c r="R2910" s="1">
        <v>0.0</v>
      </c>
      <c r="S2910" s="1" t="str">
        <f>IFERROR(__xludf.DUMMYFUNCTION("""COMPUTED_VALUE"""),"store_003736")</f>
        <v>store_003736</v>
      </c>
    </row>
    <row r="2911" ht="15.75" customHeight="1">
      <c r="A2911" s="1" t="s">
        <v>6592</v>
      </c>
      <c r="B2911" s="1" t="s">
        <v>5700</v>
      </c>
      <c r="C2911" s="1" t="s">
        <v>746</v>
      </c>
      <c r="E2911" s="1">
        <v>25.2813818</v>
      </c>
      <c r="F2911" s="1">
        <v>82.985919</v>
      </c>
      <c r="G2911" s="1" t="s">
        <v>6096</v>
      </c>
      <c r="H2911" s="1" t="s">
        <v>6097</v>
      </c>
      <c r="I2911" s="1" t="s">
        <v>1799</v>
      </c>
      <c r="K2911" s="1" t="s">
        <v>2892</v>
      </c>
      <c r="L2911" s="1" t="s">
        <v>27</v>
      </c>
      <c r="N2911" s="1" t="s">
        <v>28</v>
      </c>
      <c r="O2911" s="1" t="s">
        <v>57</v>
      </c>
      <c r="P2911" s="1" t="s">
        <v>6504</v>
      </c>
      <c r="Q2911" s="1" t="s">
        <v>6505</v>
      </c>
      <c r="R2911" s="1">
        <v>1.0</v>
      </c>
      <c r="S2911" s="1" t="str">
        <f>IFERROR(__xludf.DUMMYFUNCTION("""COMPUTED_VALUE"""),"store_003737")</f>
        <v>store_003737</v>
      </c>
    </row>
    <row r="2912" ht="15.75" customHeight="1">
      <c r="A2912" s="1" t="s">
        <v>6593</v>
      </c>
      <c r="B2912" s="1" t="s">
        <v>5702</v>
      </c>
      <c r="C2912" s="1" t="s">
        <v>38</v>
      </c>
      <c r="E2912" s="1">
        <v>26.0508707</v>
      </c>
      <c r="F2912" s="1">
        <v>83.16924449999999</v>
      </c>
      <c r="G2912" s="1" t="s">
        <v>6096</v>
      </c>
      <c r="H2912" s="1" t="s">
        <v>6097</v>
      </c>
      <c r="I2912" s="1" t="s">
        <v>1799</v>
      </c>
      <c r="J2912" s="1" t="s">
        <v>56</v>
      </c>
      <c r="K2912" s="1" t="s">
        <v>2892</v>
      </c>
      <c r="L2912" s="1" t="s">
        <v>27</v>
      </c>
      <c r="N2912" s="1" t="s">
        <v>28</v>
      </c>
      <c r="O2912" s="1" t="s">
        <v>57</v>
      </c>
      <c r="P2912" s="1" t="s">
        <v>6483</v>
      </c>
      <c r="Q2912" s="1" t="s">
        <v>6484</v>
      </c>
      <c r="R2912" s="1">
        <v>0.0</v>
      </c>
      <c r="S2912" s="1" t="str">
        <f>IFERROR(__xludf.DUMMYFUNCTION("""COMPUTED_VALUE"""),"store_003738")</f>
        <v>store_003738</v>
      </c>
    </row>
    <row r="2913" ht="15.75" customHeight="1">
      <c r="A2913" s="1" t="s">
        <v>6594</v>
      </c>
      <c r="B2913" s="1" t="s">
        <v>5704</v>
      </c>
      <c r="C2913" s="1" t="s">
        <v>38</v>
      </c>
      <c r="E2913" s="1">
        <v>28.6982672</v>
      </c>
      <c r="F2913" s="1">
        <v>77.4250102</v>
      </c>
      <c r="G2913" s="1" t="s">
        <v>6096</v>
      </c>
      <c r="H2913" s="1" t="s">
        <v>6097</v>
      </c>
      <c r="I2913" s="1" t="s">
        <v>1799</v>
      </c>
      <c r="J2913" s="1" t="s">
        <v>56</v>
      </c>
      <c r="K2913" s="1" t="s">
        <v>2892</v>
      </c>
      <c r="L2913" s="1" t="s">
        <v>27</v>
      </c>
      <c r="N2913" s="1" t="s">
        <v>28</v>
      </c>
      <c r="O2913" s="1" t="s">
        <v>57</v>
      </c>
      <c r="P2913" s="1" t="s">
        <v>6483</v>
      </c>
      <c r="Q2913" s="1" t="s">
        <v>6484</v>
      </c>
      <c r="R2913" s="1">
        <v>0.0</v>
      </c>
      <c r="S2913" s="1" t="str">
        <f>IFERROR(__xludf.DUMMYFUNCTION("""COMPUTED_VALUE"""),"store_003739")</f>
        <v>store_003739</v>
      </c>
    </row>
    <row r="2914" ht="15.75" customHeight="1">
      <c r="A2914" s="1" t="s">
        <v>6595</v>
      </c>
      <c r="B2914" s="1" t="s">
        <v>5459</v>
      </c>
      <c r="C2914" s="1" t="s">
        <v>5460</v>
      </c>
      <c r="E2914" s="1">
        <v>25.8950857</v>
      </c>
      <c r="F2914" s="1">
        <v>81.9851832</v>
      </c>
      <c r="G2914" s="1" t="s">
        <v>6096</v>
      </c>
      <c r="H2914" s="1" t="s">
        <v>6097</v>
      </c>
      <c r="I2914" s="1" t="s">
        <v>1799</v>
      </c>
      <c r="J2914" s="1" t="s">
        <v>56</v>
      </c>
      <c r="K2914" s="1" t="s">
        <v>2892</v>
      </c>
      <c r="L2914" s="1" t="s">
        <v>27</v>
      </c>
      <c r="N2914" s="1" t="s">
        <v>28</v>
      </c>
      <c r="O2914" s="1" t="s">
        <v>57</v>
      </c>
      <c r="P2914" s="1" t="s">
        <v>6483</v>
      </c>
      <c r="Q2914" s="1" t="s">
        <v>6484</v>
      </c>
      <c r="R2914" s="1">
        <v>0.0</v>
      </c>
      <c r="S2914" s="1" t="str">
        <f>IFERROR(__xludf.DUMMYFUNCTION("""COMPUTED_VALUE"""),"store_003624")</f>
        <v>store_003624</v>
      </c>
    </row>
    <row r="2915" ht="15.75" customHeight="1">
      <c r="A2915" s="1" t="s">
        <v>6596</v>
      </c>
      <c r="B2915" s="1" t="s">
        <v>6339</v>
      </c>
      <c r="C2915" s="1" t="s">
        <v>746</v>
      </c>
      <c r="E2915" s="1">
        <v>28.6064339</v>
      </c>
      <c r="F2915" s="1">
        <v>77.43959</v>
      </c>
      <c r="G2915" s="1" t="s">
        <v>6096</v>
      </c>
      <c r="H2915" s="1" t="s">
        <v>6097</v>
      </c>
      <c r="I2915" s="1" t="s">
        <v>1799</v>
      </c>
      <c r="J2915" s="1" t="s">
        <v>56</v>
      </c>
      <c r="K2915" s="1" t="s">
        <v>2892</v>
      </c>
      <c r="L2915" s="1" t="s">
        <v>27</v>
      </c>
      <c r="N2915" s="1" t="s">
        <v>28</v>
      </c>
      <c r="O2915" s="1" t="s">
        <v>57</v>
      </c>
      <c r="P2915" s="1" t="s">
        <v>6483</v>
      </c>
      <c r="Q2915" s="1" t="s">
        <v>6484</v>
      </c>
      <c r="R2915" s="1">
        <v>0.0</v>
      </c>
      <c r="S2915" s="1" t="str">
        <f>IFERROR(__xludf.DUMMYFUNCTION("""COMPUTED_VALUE"""),"store_004057")</f>
        <v>store_004057</v>
      </c>
    </row>
    <row r="2916" ht="15.75" customHeight="1">
      <c r="A2916" s="1" t="s">
        <v>6597</v>
      </c>
      <c r="B2916" s="1" t="s">
        <v>5706</v>
      </c>
      <c r="C2916" s="1" t="s">
        <v>38</v>
      </c>
      <c r="E2916" s="1">
        <v>25.5932914</v>
      </c>
      <c r="F2916" s="1">
        <v>83.57779339999999</v>
      </c>
      <c r="G2916" s="1" t="s">
        <v>6096</v>
      </c>
      <c r="H2916" s="1" t="s">
        <v>6097</v>
      </c>
      <c r="I2916" s="1" t="s">
        <v>1799</v>
      </c>
      <c r="J2916" s="1" t="s">
        <v>56</v>
      </c>
      <c r="K2916" s="1" t="s">
        <v>2892</v>
      </c>
      <c r="L2916" s="1" t="s">
        <v>27</v>
      </c>
      <c r="N2916" s="1" t="s">
        <v>28</v>
      </c>
      <c r="O2916" s="1" t="s">
        <v>57</v>
      </c>
      <c r="P2916" s="1" t="s">
        <v>6483</v>
      </c>
      <c r="Q2916" s="1" t="s">
        <v>6484</v>
      </c>
      <c r="R2916" s="1">
        <v>0.0</v>
      </c>
      <c r="S2916" s="1" t="str">
        <f>IFERROR(__xludf.DUMMYFUNCTION("""COMPUTED_VALUE"""),"store_003740")</f>
        <v>store_003740</v>
      </c>
    </row>
    <row r="2917" ht="15.75" customHeight="1">
      <c r="A2917" s="1" t="s">
        <v>6598</v>
      </c>
      <c r="B2917" s="1" t="s">
        <v>6341</v>
      </c>
      <c r="C2917" s="1" t="s">
        <v>38</v>
      </c>
      <c r="E2917" s="1">
        <v>26.0508707</v>
      </c>
      <c r="F2917" s="1">
        <v>83.16924449999999</v>
      </c>
      <c r="G2917" s="1" t="s">
        <v>6096</v>
      </c>
      <c r="H2917" s="1" t="s">
        <v>6097</v>
      </c>
      <c r="I2917" s="1" t="s">
        <v>1799</v>
      </c>
      <c r="J2917" s="1" t="s">
        <v>56</v>
      </c>
      <c r="K2917" s="1" t="s">
        <v>2892</v>
      </c>
      <c r="L2917" s="1" t="s">
        <v>27</v>
      </c>
      <c r="N2917" s="1" t="s">
        <v>28</v>
      </c>
      <c r="O2917" s="1" t="s">
        <v>57</v>
      </c>
      <c r="P2917" s="1" t="s">
        <v>6483</v>
      </c>
      <c r="Q2917" s="1" t="s">
        <v>6484</v>
      </c>
      <c r="R2917" s="1">
        <v>0.0</v>
      </c>
      <c r="S2917" s="1" t="str">
        <f>IFERROR(__xludf.DUMMYFUNCTION("""COMPUTED_VALUE"""),"store_004059")</f>
        <v>store_004059</v>
      </c>
    </row>
    <row r="2918" ht="15.75" customHeight="1">
      <c r="A2918" s="1" t="s">
        <v>6599</v>
      </c>
      <c r="B2918" s="1" t="s">
        <v>5462</v>
      </c>
      <c r="C2918" s="1" t="s">
        <v>5463</v>
      </c>
      <c r="E2918" s="1">
        <v>25.1389741</v>
      </c>
      <c r="F2918" s="1">
        <v>82.5603812</v>
      </c>
      <c r="G2918" s="1" t="s">
        <v>6096</v>
      </c>
      <c r="H2918" s="1" t="s">
        <v>6097</v>
      </c>
      <c r="I2918" s="1" t="s">
        <v>1799</v>
      </c>
      <c r="J2918" s="1" t="s">
        <v>56</v>
      </c>
      <c r="K2918" s="1" t="s">
        <v>2892</v>
      </c>
      <c r="L2918" s="1" t="s">
        <v>27</v>
      </c>
      <c r="N2918" s="1" t="s">
        <v>28</v>
      </c>
      <c r="O2918" s="1" t="s">
        <v>57</v>
      </c>
      <c r="P2918" s="1" t="s">
        <v>6483</v>
      </c>
      <c r="Q2918" s="1" t="s">
        <v>6484</v>
      </c>
      <c r="R2918" s="1">
        <v>0.0</v>
      </c>
      <c r="S2918" s="1" t="str">
        <f>IFERROR(__xludf.DUMMYFUNCTION("""COMPUTED_VALUE"""),"store_003625")</f>
        <v>store_003625</v>
      </c>
    </row>
    <row r="2919" ht="15.75" customHeight="1">
      <c r="A2919" s="1" t="s">
        <v>6600</v>
      </c>
      <c r="B2919" s="1" t="s">
        <v>5708</v>
      </c>
      <c r="C2919" s="1" t="s">
        <v>38</v>
      </c>
      <c r="E2919" s="1">
        <v>24.2136839</v>
      </c>
      <c r="F2919" s="1">
        <v>83.03419720000001</v>
      </c>
      <c r="G2919" s="1" t="s">
        <v>6096</v>
      </c>
      <c r="H2919" s="1" t="s">
        <v>6097</v>
      </c>
      <c r="I2919" s="1" t="s">
        <v>1799</v>
      </c>
      <c r="J2919" s="1" t="s">
        <v>56</v>
      </c>
      <c r="K2919" s="1" t="s">
        <v>2892</v>
      </c>
      <c r="L2919" s="1" t="s">
        <v>27</v>
      </c>
      <c r="N2919" s="1" t="s">
        <v>28</v>
      </c>
      <c r="O2919" s="1" t="s">
        <v>57</v>
      </c>
      <c r="P2919" s="1" t="s">
        <v>6483</v>
      </c>
      <c r="Q2919" s="1" t="s">
        <v>6484</v>
      </c>
      <c r="R2919" s="1">
        <v>0.0</v>
      </c>
      <c r="S2919" s="1" t="str">
        <f>IFERROR(__xludf.DUMMYFUNCTION("""COMPUTED_VALUE"""),"store_003741")</f>
        <v>store_003741</v>
      </c>
    </row>
    <row r="2920" ht="15.75" customHeight="1">
      <c r="A2920" s="1" t="s">
        <v>6601</v>
      </c>
      <c r="B2920" s="1" t="s">
        <v>5710</v>
      </c>
      <c r="C2920" s="1" t="s">
        <v>38</v>
      </c>
      <c r="E2920" s="1">
        <v>26.1153138</v>
      </c>
      <c r="F2920" s="1">
        <v>83.83803999999999</v>
      </c>
      <c r="G2920" s="1" t="s">
        <v>6096</v>
      </c>
      <c r="H2920" s="1" t="s">
        <v>6097</v>
      </c>
      <c r="I2920" s="1" t="s">
        <v>1799</v>
      </c>
      <c r="J2920" s="1" t="s">
        <v>56</v>
      </c>
      <c r="K2920" s="1" t="s">
        <v>2892</v>
      </c>
      <c r="L2920" s="1" t="s">
        <v>27</v>
      </c>
      <c r="N2920" s="1" t="s">
        <v>28</v>
      </c>
      <c r="O2920" s="1" t="s">
        <v>57</v>
      </c>
      <c r="P2920" s="1" t="s">
        <v>6483</v>
      </c>
      <c r="Q2920" s="1" t="s">
        <v>6484</v>
      </c>
      <c r="R2920" s="1">
        <v>0.0</v>
      </c>
      <c r="S2920" s="1" t="str">
        <f>IFERROR(__xludf.DUMMYFUNCTION("""COMPUTED_VALUE"""),"store_003742")</f>
        <v>store_003742</v>
      </c>
    </row>
    <row r="2921" ht="15.75" customHeight="1">
      <c r="A2921" s="1" t="s">
        <v>6602</v>
      </c>
      <c r="B2921" s="1" t="s">
        <v>5465</v>
      </c>
      <c r="C2921" s="1" t="s">
        <v>5466</v>
      </c>
      <c r="E2921" s="1">
        <v>25.8591042</v>
      </c>
      <c r="F2921" s="1">
        <v>83.8554822</v>
      </c>
      <c r="G2921" s="1" t="s">
        <v>6096</v>
      </c>
      <c r="H2921" s="1" t="s">
        <v>6097</v>
      </c>
      <c r="I2921" s="1" t="s">
        <v>1799</v>
      </c>
      <c r="J2921" s="1" t="s">
        <v>56</v>
      </c>
      <c r="K2921" s="1" t="s">
        <v>2892</v>
      </c>
      <c r="L2921" s="1" t="s">
        <v>27</v>
      </c>
      <c r="N2921" s="1" t="s">
        <v>28</v>
      </c>
      <c r="O2921" s="1" t="s">
        <v>57</v>
      </c>
      <c r="P2921" s="1" t="s">
        <v>6483</v>
      </c>
      <c r="Q2921" s="1" t="s">
        <v>6484</v>
      </c>
      <c r="R2921" s="1">
        <v>0.0</v>
      </c>
      <c r="S2921" s="1" t="str">
        <f>IFERROR(__xludf.DUMMYFUNCTION("""COMPUTED_VALUE"""),"store_003626")</f>
        <v>store_003626</v>
      </c>
    </row>
    <row r="2922" ht="15.75" customHeight="1">
      <c r="A2922" s="1" t="s">
        <v>6603</v>
      </c>
      <c r="B2922" s="1" t="s">
        <v>6604</v>
      </c>
      <c r="C2922" s="1" t="s">
        <v>1716</v>
      </c>
      <c r="E2922" s="1">
        <v>28.5082177</v>
      </c>
      <c r="F2922" s="1">
        <v>77.0309012</v>
      </c>
      <c r="G2922" s="1" t="s">
        <v>2511</v>
      </c>
      <c r="H2922" s="1" t="s">
        <v>2512</v>
      </c>
      <c r="J2922" s="1" t="s">
        <v>118</v>
      </c>
      <c r="P2922" s="1" t="s">
        <v>2163</v>
      </c>
      <c r="Q2922" s="1" t="s">
        <v>2164</v>
      </c>
      <c r="R2922" s="1">
        <v>1.0</v>
      </c>
      <c r="S2922" s="1"/>
    </row>
    <row r="2923" ht="15.75" customHeight="1">
      <c r="A2923" s="1" t="s">
        <v>6605</v>
      </c>
      <c r="B2923" s="1" t="s">
        <v>6606</v>
      </c>
      <c r="C2923" s="1" t="s">
        <v>617</v>
      </c>
      <c r="E2923" s="1">
        <v>26.8268008</v>
      </c>
      <c r="F2923" s="1">
        <v>80.94653629999999</v>
      </c>
      <c r="G2923" s="1" t="s">
        <v>6096</v>
      </c>
      <c r="H2923" s="1" t="s">
        <v>6097</v>
      </c>
      <c r="I2923" s="1" t="s">
        <v>1799</v>
      </c>
      <c r="J2923" s="1" t="s">
        <v>56</v>
      </c>
      <c r="K2923" s="1" t="s">
        <v>2892</v>
      </c>
      <c r="L2923" s="1" t="s">
        <v>27</v>
      </c>
      <c r="N2923" s="1" t="s">
        <v>28</v>
      </c>
      <c r="O2923" s="1" t="s">
        <v>57</v>
      </c>
      <c r="P2923" s="1" t="s">
        <v>1666</v>
      </c>
      <c r="Q2923" s="1" t="s">
        <v>1667</v>
      </c>
      <c r="R2923" s="1">
        <v>19.0</v>
      </c>
      <c r="S2923" s="1"/>
    </row>
    <row r="2924" ht="15.75" customHeight="1">
      <c r="A2924" s="1" t="s">
        <v>6607</v>
      </c>
      <c r="B2924" s="1" t="s">
        <v>6608</v>
      </c>
      <c r="C2924" s="1" t="s">
        <v>151</v>
      </c>
      <c r="E2924" s="1">
        <v>18.479501</v>
      </c>
      <c r="F2924" s="1">
        <v>73.8576254</v>
      </c>
      <c r="G2924" s="1" t="s">
        <v>2511</v>
      </c>
      <c r="H2924" s="1" t="s">
        <v>2512</v>
      </c>
      <c r="J2924" s="1" t="s">
        <v>56</v>
      </c>
      <c r="P2924" s="1" t="s">
        <v>152</v>
      </c>
      <c r="Q2924" s="1" t="s">
        <v>153</v>
      </c>
      <c r="R2924" s="1">
        <v>1.0</v>
      </c>
      <c r="S2924" s="1"/>
    </row>
    <row r="2925" ht="15.75" customHeight="1">
      <c r="A2925" s="1" t="s">
        <v>6609</v>
      </c>
      <c r="B2925" s="1" t="s">
        <v>6610</v>
      </c>
      <c r="C2925" s="1" t="s">
        <v>148</v>
      </c>
      <c r="E2925" s="1">
        <v>19.2287075</v>
      </c>
      <c r="F2925" s="1">
        <v>72.85977609999999</v>
      </c>
      <c r="G2925" s="1" t="s">
        <v>2511</v>
      </c>
      <c r="H2925" s="1" t="s">
        <v>2512</v>
      </c>
      <c r="J2925" s="1" t="s">
        <v>56</v>
      </c>
      <c r="P2925" s="1" t="s">
        <v>144</v>
      </c>
      <c r="Q2925" s="1" t="s">
        <v>145</v>
      </c>
      <c r="R2925" s="1">
        <v>2.0</v>
      </c>
      <c r="S2925" s="1"/>
    </row>
    <row r="2926" ht="15.75" customHeight="1">
      <c r="A2926" s="1" t="s">
        <v>6611</v>
      </c>
      <c r="B2926" s="1" t="s">
        <v>6612</v>
      </c>
      <c r="C2926" s="1" t="s">
        <v>174</v>
      </c>
      <c r="E2926" s="1">
        <v>28.6582515</v>
      </c>
      <c r="F2926" s="1">
        <v>77.2842496</v>
      </c>
      <c r="G2926" s="1" t="s">
        <v>2511</v>
      </c>
      <c r="H2926" s="1" t="s">
        <v>2512</v>
      </c>
      <c r="J2926" s="1" t="s">
        <v>118</v>
      </c>
      <c r="P2926" s="1" t="s">
        <v>6613</v>
      </c>
      <c r="Q2926" s="1" t="s">
        <v>6614</v>
      </c>
      <c r="R2926" s="1">
        <v>3.0</v>
      </c>
      <c r="S2926" s="1"/>
    </row>
    <row r="2927" ht="15.75" customHeight="1">
      <c r="A2927" s="1" t="s">
        <v>6615</v>
      </c>
      <c r="B2927" s="1" t="s">
        <v>6616</v>
      </c>
      <c r="C2927" s="1" t="s">
        <v>174</v>
      </c>
      <c r="E2927" s="1">
        <v>28.8502705</v>
      </c>
      <c r="F2927" s="1">
        <v>77.0874918</v>
      </c>
      <c r="G2927" s="1" t="s">
        <v>2511</v>
      </c>
      <c r="H2927" s="1" t="s">
        <v>2512</v>
      </c>
      <c r="J2927" s="1" t="s">
        <v>118</v>
      </c>
      <c r="K2927" s="1" t="s">
        <v>99</v>
      </c>
      <c r="L2927" s="1" t="s">
        <v>27</v>
      </c>
      <c r="N2927" s="1" t="s">
        <v>174</v>
      </c>
      <c r="O2927" s="1" t="s">
        <v>29</v>
      </c>
      <c r="P2927" s="1" t="s">
        <v>6613</v>
      </c>
      <c r="Q2927" s="1" t="s">
        <v>6614</v>
      </c>
      <c r="R2927" s="1">
        <v>2.0</v>
      </c>
      <c r="S2927" s="1"/>
    </row>
    <row r="2928" ht="15.75" customHeight="1">
      <c r="A2928" s="1" t="s">
        <v>6617</v>
      </c>
      <c r="B2928" s="1" t="s">
        <v>6618</v>
      </c>
      <c r="C2928" s="1" t="s">
        <v>174</v>
      </c>
      <c r="E2928" s="1">
        <v>28.8459748</v>
      </c>
      <c r="F2928" s="1">
        <v>77.0894902</v>
      </c>
      <c r="G2928" s="1" t="s">
        <v>97</v>
      </c>
      <c r="H2928" s="1" t="s">
        <v>98</v>
      </c>
      <c r="P2928" s="1" t="s">
        <v>6613</v>
      </c>
      <c r="Q2928" s="1" t="s">
        <v>6614</v>
      </c>
      <c r="R2928" s="1">
        <v>2.0</v>
      </c>
      <c r="S2928" s="1"/>
    </row>
    <row r="2929" ht="15.75" customHeight="1">
      <c r="A2929" s="1" t="s">
        <v>6619</v>
      </c>
      <c r="B2929" s="1" t="s">
        <v>6620</v>
      </c>
      <c r="C2929" s="1" t="s">
        <v>531</v>
      </c>
      <c r="E2929" s="1">
        <v>22.6308505</v>
      </c>
      <c r="F2929" s="1">
        <v>88.3795007</v>
      </c>
      <c r="G2929" s="1" t="s">
        <v>6419</v>
      </c>
      <c r="H2929" s="1" t="s">
        <v>6420</v>
      </c>
      <c r="P2929" s="1" t="s">
        <v>5231</v>
      </c>
      <c r="Q2929" s="1" t="s">
        <v>5232</v>
      </c>
      <c r="R2929" s="1">
        <v>1.0</v>
      </c>
      <c r="S2929" s="1"/>
    </row>
    <row r="2930" ht="15.75" customHeight="1">
      <c r="A2930" s="1" t="s">
        <v>6621</v>
      </c>
      <c r="B2930" s="1" t="s">
        <v>6622</v>
      </c>
      <c r="C2930" s="1" t="s">
        <v>531</v>
      </c>
      <c r="E2930" s="1">
        <v>22.573972</v>
      </c>
      <c r="F2930" s="1">
        <v>88.389443</v>
      </c>
      <c r="G2930" s="1" t="s">
        <v>6419</v>
      </c>
      <c r="H2930" s="1" t="s">
        <v>6420</v>
      </c>
      <c r="P2930" s="1" t="s">
        <v>5231</v>
      </c>
      <c r="Q2930" s="1" t="s">
        <v>5232</v>
      </c>
      <c r="R2930" s="1">
        <v>1.0</v>
      </c>
      <c r="S2930" s="1"/>
    </row>
    <row r="2931" ht="15.75" customHeight="1">
      <c r="A2931" s="1" t="s">
        <v>6623</v>
      </c>
      <c r="B2931" s="1" t="s">
        <v>6624</v>
      </c>
      <c r="C2931" s="1" t="s">
        <v>531</v>
      </c>
      <c r="E2931" s="1">
        <v>22.6982907</v>
      </c>
      <c r="F2931" s="1">
        <v>88.3881382</v>
      </c>
      <c r="G2931" s="1" t="s">
        <v>6419</v>
      </c>
      <c r="H2931" s="1" t="s">
        <v>6420</v>
      </c>
      <c r="P2931" s="1" t="s">
        <v>5231</v>
      </c>
      <c r="Q2931" s="1" t="s">
        <v>5232</v>
      </c>
      <c r="R2931" s="1">
        <v>1.0</v>
      </c>
      <c r="S2931" s="1"/>
    </row>
    <row r="2932" ht="15.75" customHeight="1">
      <c r="A2932" s="1" t="s">
        <v>6625</v>
      </c>
      <c r="B2932" s="1" t="s">
        <v>6626</v>
      </c>
      <c r="C2932" s="1" t="s">
        <v>6627</v>
      </c>
      <c r="E2932" s="1">
        <v>28.5675446</v>
      </c>
      <c r="F2932" s="1">
        <v>77.3261607</v>
      </c>
      <c r="G2932" s="1" t="s">
        <v>2511</v>
      </c>
      <c r="H2932" s="1" t="s">
        <v>2512</v>
      </c>
      <c r="J2932" s="1" t="s">
        <v>118</v>
      </c>
      <c r="P2932" s="1" t="s">
        <v>3243</v>
      </c>
      <c r="Q2932" s="1" t="s">
        <v>3244</v>
      </c>
      <c r="R2932" s="1">
        <v>4.0</v>
      </c>
      <c r="S2932" s="1"/>
    </row>
    <row r="2933" ht="15.75" customHeight="1">
      <c r="A2933" s="1" t="s">
        <v>6628</v>
      </c>
      <c r="B2933" s="1" t="s">
        <v>6629</v>
      </c>
      <c r="C2933" s="1" t="s">
        <v>617</v>
      </c>
      <c r="E2933" s="1">
        <v>26.8279704</v>
      </c>
      <c r="F2933" s="1">
        <v>80.9429964</v>
      </c>
      <c r="G2933" s="1" t="s">
        <v>2511</v>
      </c>
      <c r="H2933" s="1" t="s">
        <v>2512</v>
      </c>
      <c r="J2933" s="1" t="s">
        <v>118</v>
      </c>
      <c r="K2933" s="1" t="s">
        <v>99</v>
      </c>
      <c r="L2933" s="1" t="s">
        <v>27</v>
      </c>
      <c r="N2933" s="1" t="s">
        <v>28</v>
      </c>
      <c r="O2933" s="1" t="s">
        <v>29</v>
      </c>
      <c r="P2933" s="1" t="s">
        <v>733</v>
      </c>
      <c r="Q2933" s="1" t="s">
        <v>734</v>
      </c>
      <c r="R2933" s="1">
        <v>3.0</v>
      </c>
      <c r="S2933" s="1"/>
    </row>
    <row r="2934" ht="15.75" customHeight="1">
      <c r="A2934" s="1" t="s">
        <v>6630</v>
      </c>
      <c r="B2934" s="1" t="s">
        <v>6631</v>
      </c>
      <c r="C2934" s="1" t="s">
        <v>531</v>
      </c>
      <c r="E2934" s="1">
        <v>22.6473469</v>
      </c>
      <c r="F2934" s="1">
        <v>88.3505826</v>
      </c>
      <c r="G2934" s="1" t="s">
        <v>6419</v>
      </c>
      <c r="H2934" s="1" t="s">
        <v>6420</v>
      </c>
      <c r="P2934" s="1" t="s">
        <v>5231</v>
      </c>
      <c r="Q2934" s="1" t="s">
        <v>5232</v>
      </c>
      <c r="R2934" s="1">
        <v>1.0</v>
      </c>
      <c r="S2934" s="1"/>
    </row>
    <row r="2935" ht="15.75" customHeight="1">
      <c r="A2935" s="1" t="s">
        <v>6632</v>
      </c>
      <c r="B2935" s="1" t="s">
        <v>6633</v>
      </c>
      <c r="C2935" s="1" t="s">
        <v>531</v>
      </c>
      <c r="E2935" s="1">
        <v>22.5278276</v>
      </c>
      <c r="F2935" s="1">
        <v>88.32225009999999</v>
      </c>
      <c r="G2935" s="1" t="s">
        <v>2511</v>
      </c>
      <c r="H2935" s="1" t="s">
        <v>2512</v>
      </c>
      <c r="J2935" s="1" t="s">
        <v>56</v>
      </c>
      <c r="P2935" s="1" t="s">
        <v>5231</v>
      </c>
      <c r="Q2935" s="1" t="s">
        <v>5232</v>
      </c>
      <c r="R2935" s="1">
        <v>1.0</v>
      </c>
      <c r="S2935" s="1"/>
    </row>
    <row r="2936" ht="15.75" customHeight="1">
      <c r="A2936" s="1" t="s">
        <v>6634</v>
      </c>
      <c r="B2936" s="1" t="s">
        <v>6635</v>
      </c>
      <c r="C2936" s="1" t="s">
        <v>148</v>
      </c>
      <c r="E2936" s="1">
        <v>19.0802722</v>
      </c>
      <c r="F2936" s="1">
        <v>72.8458713</v>
      </c>
      <c r="G2936" s="1" t="s">
        <v>2511</v>
      </c>
      <c r="H2936" s="1" t="s">
        <v>2512</v>
      </c>
      <c r="J2936" s="1" t="s">
        <v>56</v>
      </c>
      <c r="P2936" s="1" t="s">
        <v>2300</v>
      </c>
      <c r="Q2936" s="1" t="s">
        <v>2301</v>
      </c>
      <c r="R2936" s="1">
        <v>1.0</v>
      </c>
      <c r="S2936" s="1"/>
    </row>
    <row r="2937" ht="15.75" customHeight="1">
      <c r="A2937" s="1" t="s">
        <v>6636</v>
      </c>
      <c r="B2937" s="1" t="s">
        <v>6637</v>
      </c>
      <c r="C2937" s="1" t="s">
        <v>148</v>
      </c>
      <c r="E2937" s="1">
        <v>19.2289698</v>
      </c>
      <c r="F2937" s="1">
        <v>72.8593463</v>
      </c>
      <c r="G2937" s="1" t="s">
        <v>6419</v>
      </c>
      <c r="H2937" s="1" t="s">
        <v>6420</v>
      </c>
      <c r="P2937" s="1" t="s">
        <v>2300</v>
      </c>
      <c r="Q2937" s="1" t="s">
        <v>2301</v>
      </c>
      <c r="R2937" s="1">
        <v>1.0</v>
      </c>
      <c r="S2937" s="1"/>
    </row>
    <row r="2938" ht="15.75" customHeight="1">
      <c r="A2938" s="1" t="s">
        <v>6638</v>
      </c>
      <c r="B2938" s="1" t="s">
        <v>6639</v>
      </c>
      <c r="C2938" s="1" t="s">
        <v>148</v>
      </c>
      <c r="E2938" s="1">
        <v>18.9794339</v>
      </c>
      <c r="F2938" s="1">
        <v>72.8307348</v>
      </c>
      <c r="G2938" s="1" t="s">
        <v>6419</v>
      </c>
      <c r="H2938" s="1" t="s">
        <v>6420</v>
      </c>
      <c r="P2938" s="1" t="s">
        <v>2300</v>
      </c>
      <c r="Q2938" s="1" t="s">
        <v>2301</v>
      </c>
      <c r="R2938" s="1">
        <v>2.0</v>
      </c>
      <c r="S2938" s="1"/>
    </row>
    <row r="2939" ht="15.75" customHeight="1">
      <c r="A2939" s="1" t="s">
        <v>6640</v>
      </c>
      <c r="B2939" s="1" t="s">
        <v>6641</v>
      </c>
      <c r="C2939" s="1" t="s">
        <v>148</v>
      </c>
      <c r="E2939" s="1">
        <v>19.2382311</v>
      </c>
      <c r="F2939" s="1">
        <v>73.12980100000001</v>
      </c>
      <c r="G2939" s="1" t="s">
        <v>6419</v>
      </c>
      <c r="H2939" s="1" t="s">
        <v>6420</v>
      </c>
      <c r="P2939" s="1" t="s">
        <v>2300</v>
      </c>
      <c r="Q2939" s="1" t="s">
        <v>2301</v>
      </c>
      <c r="R2939" s="1">
        <v>1.0</v>
      </c>
      <c r="S2939" s="1"/>
    </row>
    <row r="2940" ht="15.75" customHeight="1">
      <c r="A2940" s="1" t="s">
        <v>6642</v>
      </c>
      <c r="B2940" s="1" t="s">
        <v>6643</v>
      </c>
      <c r="C2940" s="1" t="s">
        <v>148</v>
      </c>
      <c r="E2940" s="1">
        <v>19.2407398</v>
      </c>
      <c r="F2940" s="1">
        <v>73.1632133</v>
      </c>
      <c r="G2940" s="1" t="s">
        <v>6419</v>
      </c>
      <c r="H2940" s="1" t="s">
        <v>6420</v>
      </c>
      <c r="P2940" s="1" t="s">
        <v>2300</v>
      </c>
      <c r="Q2940" s="1" t="s">
        <v>2301</v>
      </c>
      <c r="R2940" s="1">
        <v>1.0</v>
      </c>
      <c r="S2940" s="1"/>
    </row>
    <row r="2941" ht="15.75" customHeight="1">
      <c r="A2941" s="1" t="s">
        <v>6644</v>
      </c>
      <c r="B2941" s="1" t="s">
        <v>6645</v>
      </c>
      <c r="C2941" s="1" t="s">
        <v>148</v>
      </c>
      <c r="E2941" s="1">
        <v>19.0878236</v>
      </c>
      <c r="F2941" s="1">
        <v>72.90410179999999</v>
      </c>
      <c r="G2941" s="1" t="s">
        <v>6419</v>
      </c>
      <c r="H2941" s="1" t="s">
        <v>6420</v>
      </c>
      <c r="P2941" s="1" t="s">
        <v>2300</v>
      </c>
      <c r="Q2941" s="1" t="s">
        <v>2301</v>
      </c>
      <c r="R2941" s="1">
        <v>6.0</v>
      </c>
      <c r="S2941" s="1"/>
    </row>
    <row r="2942" ht="15.75" customHeight="1">
      <c r="A2942" s="1" t="s">
        <v>6646</v>
      </c>
      <c r="B2942" s="1" t="s">
        <v>6647</v>
      </c>
      <c r="C2942" s="1" t="s">
        <v>1786</v>
      </c>
      <c r="E2942" s="1">
        <v>20.2681649</v>
      </c>
      <c r="F2942" s="1">
        <v>85.8436476</v>
      </c>
      <c r="G2942" s="1" t="s">
        <v>54</v>
      </c>
      <c r="H2942" s="1" t="s">
        <v>55</v>
      </c>
      <c r="K2942" s="1" t="s">
        <v>26</v>
      </c>
      <c r="L2942" s="1" t="s">
        <v>27</v>
      </c>
      <c r="N2942" s="1" t="s">
        <v>1874</v>
      </c>
      <c r="O2942" s="1" t="s">
        <v>57</v>
      </c>
      <c r="P2942" s="1" t="s">
        <v>6648</v>
      </c>
      <c r="Q2942" s="1" t="s">
        <v>6649</v>
      </c>
      <c r="R2942" s="1">
        <v>0.0</v>
      </c>
      <c r="S2942" s="1"/>
    </row>
    <row r="2943" ht="15.75" customHeight="1">
      <c r="A2943" s="1" t="s">
        <v>6650</v>
      </c>
      <c r="B2943" s="1" t="s">
        <v>6651</v>
      </c>
      <c r="C2943" s="1" t="s">
        <v>1786</v>
      </c>
      <c r="E2943" s="1">
        <v>20.2565404</v>
      </c>
      <c r="F2943" s="1">
        <v>85.8331063</v>
      </c>
      <c r="G2943" s="1" t="s">
        <v>54</v>
      </c>
      <c r="H2943" s="1" t="s">
        <v>55</v>
      </c>
      <c r="K2943" s="1" t="s">
        <v>26</v>
      </c>
      <c r="L2943" s="1" t="s">
        <v>27</v>
      </c>
      <c r="N2943" s="1" t="s">
        <v>1874</v>
      </c>
      <c r="O2943" s="1" t="s">
        <v>57</v>
      </c>
      <c r="P2943" s="1" t="s">
        <v>6648</v>
      </c>
      <c r="Q2943" s="1" t="s">
        <v>6649</v>
      </c>
      <c r="R2943" s="1">
        <v>1.0</v>
      </c>
      <c r="S2943" s="1"/>
    </row>
    <row r="2944" ht="15.75" customHeight="1">
      <c r="A2944" s="1" t="s">
        <v>6652</v>
      </c>
      <c r="B2944" s="1" t="s">
        <v>6653</v>
      </c>
      <c r="C2944" s="1" t="s">
        <v>1786</v>
      </c>
      <c r="E2944" s="1">
        <v>20.3510209</v>
      </c>
      <c r="F2944" s="1">
        <v>85.825289</v>
      </c>
      <c r="G2944" s="1" t="s">
        <v>54</v>
      </c>
      <c r="H2944" s="1" t="s">
        <v>55</v>
      </c>
      <c r="K2944" s="1" t="s">
        <v>26</v>
      </c>
      <c r="L2944" s="1" t="s">
        <v>27</v>
      </c>
      <c r="N2944" s="1" t="s">
        <v>1874</v>
      </c>
      <c r="O2944" s="1" t="s">
        <v>57</v>
      </c>
      <c r="P2944" s="1" t="s">
        <v>6648</v>
      </c>
      <c r="Q2944" s="1" t="s">
        <v>6649</v>
      </c>
      <c r="R2944" s="1">
        <v>0.0</v>
      </c>
      <c r="S2944" s="1"/>
    </row>
    <row r="2945" ht="15.75" customHeight="1">
      <c r="A2945" s="1" t="s">
        <v>6654</v>
      </c>
      <c r="B2945" s="1" t="s">
        <v>6655</v>
      </c>
      <c r="C2945" s="1" t="s">
        <v>174</v>
      </c>
      <c r="E2945" s="1">
        <v>28.5403751</v>
      </c>
      <c r="F2945" s="1">
        <v>77.2579877</v>
      </c>
      <c r="G2945" s="1" t="s">
        <v>2511</v>
      </c>
      <c r="H2945" s="1" t="s">
        <v>2512</v>
      </c>
      <c r="J2945" s="1" t="s">
        <v>44</v>
      </c>
      <c r="P2945" s="1" t="s">
        <v>6613</v>
      </c>
      <c r="Q2945" s="1" t="s">
        <v>6614</v>
      </c>
      <c r="R2945" s="1">
        <v>3.0</v>
      </c>
      <c r="S2945" s="1"/>
    </row>
    <row r="2946" ht="15.75" customHeight="1">
      <c r="A2946" s="1" t="s">
        <v>6656</v>
      </c>
      <c r="B2946" s="1" t="s">
        <v>6657</v>
      </c>
      <c r="C2946" s="1" t="s">
        <v>1786</v>
      </c>
      <c r="E2946" s="1">
        <v>20.2915292</v>
      </c>
      <c r="F2946" s="1">
        <v>85.85612189999999</v>
      </c>
      <c r="G2946" s="1" t="s">
        <v>54</v>
      </c>
      <c r="H2946" s="1" t="s">
        <v>55</v>
      </c>
      <c r="K2946" s="1" t="s">
        <v>26</v>
      </c>
      <c r="L2946" s="1" t="s">
        <v>27</v>
      </c>
      <c r="N2946" s="1" t="s">
        <v>1874</v>
      </c>
      <c r="O2946" s="1" t="s">
        <v>57</v>
      </c>
      <c r="P2946" s="1" t="s">
        <v>6648</v>
      </c>
      <c r="Q2946" s="1" t="s">
        <v>6649</v>
      </c>
      <c r="R2946" s="1">
        <v>0.0</v>
      </c>
      <c r="S2946" s="1"/>
    </row>
    <row r="2947" ht="15.75" customHeight="1">
      <c r="A2947" s="1" t="s">
        <v>6658</v>
      </c>
      <c r="B2947" s="1" t="s">
        <v>6659</v>
      </c>
      <c r="C2947" s="1" t="s">
        <v>617</v>
      </c>
      <c r="E2947" s="1">
        <v>26.895717</v>
      </c>
      <c r="F2947" s="1">
        <v>80.955185</v>
      </c>
      <c r="G2947" s="1" t="s">
        <v>2511</v>
      </c>
      <c r="H2947" s="1" t="s">
        <v>2512</v>
      </c>
      <c r="J2947" s="1" t="s">
        <v>56</v>
      </c>
      <c r="P2947" s="1" t="s">
        <v>733</v>
      </c>
      <c r="Q2947" s="1" t="s">
        <v>734</v>
      </c>
      <c r="R2947" s="1">
        <v>1.0</v>
      </c>
      <c r="S2947" s="1"/>
    </row>
    <row r="2948" ht="15.75" customHeight="1">
      <c r="A2948" s="1" t="s">
        <v>6660</v>
      </c>
      <c r="B2948" s="1" t="s">
        <v>6661</v>
      </c>
      <c r="C2948" s="1" t="s">
        <v>1112</v>
      </c>
      <c r="E2948" s="1">
        <v>12.9283938</v>
      </c>
      <c r="F2948" s="1">
        <v>80.1155086</v>
      </c>
      <c r="G2948" s="1" t="s">
        <v>2511</v>
      </c>
      <c r="H2948" s="1" t="s">
        <v>2512</v>
      </c>
      <c r="J2948" s="1" t="s">
        <v>56</v>
      </c>
      <c r="P2948" s="1" t="s">
        <v>1098</v>
      </c>
      <c r="Q2948" s="1" t="s">
        <v>1099</v>
      </c>
      <c r="R2948" s="1">
        <v>0.0</v>
      </c>
      <c r="S2948" s="1"/>
    </row>
    <row r="2949" ht="15.75" customHeight="1">
      <c r="A2949" s="1" t="s">
        <v>6662</v>
      </c>
      <c r="B2949" s="1" t="s">
        <v>6663</v>
      </c>
      <c r="C2949" s="1" t="s">
        <v>215</v>
      </c>
      <c r="E2949" s="1">
        <v>23.0790831</v>
      </c>
      <c r="F2949" s="1">
        <v>72.52686200000001</v>
      </c>
      <c r="G2949" s="1" t="s">
        <v>2511</v>
      </c>
      <c r="H2949" s="1" t="s">
        <v>2512</v>
      </c>
      <c r="J2949" s="1" t="s">
        <v>56</v>
      </c>
      <c r="P2949" s="1" t="s">
        <v>3830</v>
      </c>
      <c r="Q2949" s="1" t="s">
        <v>3831</v>
      </c>
      <c r="R2949" s="1">
        <v>1.0</v>
      </c>
      <c r="S2949" s="1"/>
    </row>
    <row r="2950" ht="15.75" customHeight="1">
      <c r="A2950" s="1" t="s">
        <v>6664</v>
      </c>
      <c r="B2950" s="1" t="s">
        <v>6665</v>
      </c>
      <c r="C2950" s="1" t="s">
        <v>174</v>
      </c>
      <c r="E2950" s="1">
        <v>28.7012434</v>
      </c>
      <c r="F2950" s="1">
        <v>77.101164</v>
      </c>
      <c r="G2950" s="1" t="s">
        <v>2511</v>
      </c>
      <c r="H2950" s="1" t="s">
        <v>2512</v>
      </c>
      <c r="J2950" s="1" t="s">
        <v>44</v>
      </c>
      <c r="K2950" s="1" t="s">
        <v>99</v>
      </c>
      <c r="L2950" s="1" t="s">
        <v>27</v>
      </c>
      <c r="N2950" s="1" t="s">
        <v>174</v>
      </c>
      <c r="O2950" s="1" t="s">
        <v>29</v>
      </c>
      <c r="P2950" s="1" t="s">
        <v>6666</v>
      </c>
      <c r="Q2950" s="1" t="s">
        <v>6667</v>
      </c>
      <c r="R2950" s="1">
        <v>3.0</v>
      </c>
      <c r="S2950" s="1"/>
    </row>
    <row r="2951" ht="15.75" customHeight="1">
      <c r="A2951" s="1" t="s">
        <v>6668</v>
      </c>
      <c r="B2951" s="1" t="s">
        <v>6669</v>
      </c>
      <c r="C2951" s="1" t="s">
        <v>1786</v>
      </c>
      <c r="E2951" s="1">
        <v>20.2256395</v>
      </c>
      <c r="F2951" s="1">
        <v>86.0083093</v>
      </c>
      <c r="G2951" s="1" t="s">
        <v>2511</v>
      </c>
      <c r="H2951" s="1" t="s">
        <v>2512</v>
      </c>
      <c r="J2951" s="1" t="s">
        <v>118</v>
      </c>
      <c r="P2951" s="1" t="s">
        <v>6454</v>
      </c>
      <c r="Q2951" s="1" t="s">
        <v>6455</v>
      </c>
      <c r="R2951" s="1">
        <v>1.0</v>
      </c>
      <c r="S2951" s="1"/>
    </row>
    <row r="2952" ht="15.75" customHeight="1">
      <c r="A2952" s="1" t="s">
        <v>6670</v>
      </c>
      <c r="B2952" s="1" t="s">
        <v>6671</v>
      </c>
      <c r="C2952" s="1" t="s">
        <v>1786</v>
      </c>
      <c r="E2952" s="1">
        <v>20.4729532</v>
      </c>
      <c r="F2952" s="1">
        <v>85.84585299999999</v>
      </c>
      <c r="G2952" s="1" t="s">
        <v>6096</v>
      </c>
      <c r="H2952" s="1" t="s">
        <v>6097</v>
      </c>
      <c r="I2952" s="1" t="s">
        <v>1799</v>
      </c>
      <c r="J2952" s="1" t="s">
        <v>56</v>
      </c>
      <c r="P2952" s="1" t="s">
        <v>6454</v>
      </c>
      <c r="Q2952" s="1" t="s">
        <v>6455</v>
      </c>
      <c r="R2952" s="1">
        <v>1.0</v>
      </c>
      <c r="S2952" s="1"/>
    </row>
    <row r="2953" ht="15.75" customHeight="1">
      <c r="A2953" s="1" t="s">
        <v>6672</v>
      </c>
      <c r="B2953" s="1" t="s">
        <v>6673</v>
      </c>
      <c r="C2953" s="1" t="s">
        <v>1786</v>
      </c>
      <c r="E2953" s="1">
        <v>20.289543</v>
      </c>
      <c r="F2953" s="1">
        <v>85.8459682</v>
      </c>
      <c r="G2953" s="1" t="s">
        <v>2511</v>
      </c>
      <c r="H2953" s="1" t="s">
        <v>2512</v>
      </c>
      <c r="J2953" s="1" t="s">
        <v>118</v>
      </c>
      <c r="P2953" s="1" t="s">
        <v>6454</v>
      </c>
      <c r="Q2953" s="1" t="s">
        <v>6455</v>
      </c>
      <c r="R2953" s="1">
        <v>4.0</v>
      </c>
      <c r="S2953" s="1"/>
    </row>
    <row r="2954" ht="15.75" customHeight="1">
      <c r="A2954" s="1" t="s">
        <v>6674</v>
      </c>
      <c r="B2954" s="1" t="s">
        <v>6675</v>
      </c>
      <c r="C2954" s="1" t="s">
        <v>1786</v>
      </c>
      <c r="E2954" s="1">
        <v>20.3484221</v>
      </c>
      <c r="F2954" s="1">
        <v>85.82458129999999</v>
      </c>
      <c r="G2954" s="1" t="s">
        <v>4799</v>
      </c>
      <c r="H2954" s="1" t="s">
        <v>4800</v>
      </c>
      <c r="I2954" s="1" t="s">
        <v>24</v>
      </c>
      <c r="J2954" s="1" t="s">
        <v>2565</v>
      </c>
      <c r="P2954" s="1" t="s">
        <v>6676</v>
      </c>
      <c r="Q2954" s="1" t="s">
        <v>6677</v>
      </c>
      <c r="R2954" s="1">
        <v>5.0</v>
      </c>
      <c r="S2954" s="1"/>
    </row>
    <row r="2955" ht="15.75" customHeight="1">
      <c r="A2955" s="1" t="s">
        <v>6678</v>
      </c>
      <c r="B2955" s="1" t="s">
        <v>6679</v>
      </c>
      <c r="C2955" s="1" t="s">
        <v>1716</v>
      </c>
      <c r="E2955" s="1">
        <v>28.4000075</v>
      </c>
      <c r="F2955" s="1">
        <v>77.304153</v>
      </c>
      <c r="G2955" s="1" t="s">
        <v>2511</v>
      </c>
      <c r="H2955" s="1" t="s">
        <v>2512</v>
      </c>
      <c r="J2955" s="1" t="s">
        <v>44</v>
      </c>
      <c r="P2955" s="1" t="s">
        <v>2163</v>
      </c>
      <c r="Q2955" s="1" t="s">
        <v>2164</v>
      </c>
      <c r="R2955" s="1">
        <v>2.0</v>
      </c>
      <c r="S2955" s="1"/>
    </row>
    <row r="2956" ht="15.75" customHeight="1">
      <c r="A2956" s="1" t="s">
        <v>6680</v>
      </c>
      <c r="B2956" s="1" t="s">
        <v>6681</v>
      </c>
      <c r="C2956" s="1" t="s">
        <v>174</v>
      </c>
      <c r="E2956" s="1">
        <v>28.6896077</v>
      </c>
      <c r="F2956" s="1">
        <v>77.29755759999999</v>
      </c>
      <c r="G2956" s="1" t="s">
        <v>2511</v>
      </c>
      <c r="H2956" s="1" t="s">
        <v>2512</v>
      </c>
      <c r="J2956" s="1" t="s">
        <v>44</v>
      </c>
      <c r="P2956" s="1" t="s">
        <v>175</v>
      </c>
      <c r="Q2956" s="1" t="s">
        <v>176</v>
      </c>
      <c r="R2956" s="1">
        <v>4.0</v>
      </c>
      <c r="S2956" s="1"/>
    </row>
    <row r="2957" ht="15.75" customHeight="1">
      <c r="A2957" s="1" t="s">
        <v>6682</v>
      </c>
      <c r="B2957" s="1" t="s">
        <v>6683</v>
      </c>
      <c r="C2957" s="1" t="s">
        <v>174</v>
      </c>
      <c r="E2957" s="1">
        <v>28.6108196</v>
      </c>
      <c r="F2957" s="1">
        <v>77.3351301</v>
      </c>
      <c r="G2957" s="1" t="s">
        <v>4799</v>
      </c>
      <c r="H2957" s="1" t="s">
        <v>4800</v>
      </c>
      <c r="I2957" s="1" t="s">
        <v>24</v>
      </c>
      <c r="J2957" s="1" t="s">
        <v>1773</v>
      </c>
      <c r="K2957" s="1" t="s">
        <v>99</v>
      </c>
      <c r="L2957" s="1" t="s">
        <v>27</v>
      </c>
      <c r="N2957" s="1" t="s">
        <v>174</v>
      </c>
      <c r="O2957" s="1" t="s">
        <v>29</v>
      </c>
      <c r="P2957" s="1" t="s">
        <v>6684</v>
      </c>
      <c r="Q2957" s="1" t="s">
        <v>6685</v>
      </c>
      <c r="R2957" s="1">
        <v>6.0</v>
      </c>
      <c r="S2957" s="1"/>
    </row>
    <row r="2958" ht="15.75" customHeight="1">
      <c r="A2958" s="1" t="s">
        <v>6686</v>
      </c>
      <c r="B2958" s="1" t="s">
        <v>6687</v>
      </c>
      <c r="C2958" s="1" t="s">
        <v>174</v>
      </c>
      <c r="E2958" s="1">
        <v>28.6507275</v>
      </c>
      <c r="F2958" s="1">
        <v>77.1593573</v>
      </c>
      <c r="G2958" s="1" t="s">
        <v>2511</v>
      </c>
      <c r="H2958" s="1" t="s">
        <v>2512</v>
      </c>
      <c r="J2958" s="1" t="s">
        <v>118</v>
      </c>
      <c r="P2958" s="1" t="s">
        <v>6666</v>
      </c>
      <c r="Q2958" s="1" t="s">
        <v>6667</v>
      </c>
      <c r="R2958" s="1">
        <v>1.0</v>
      </c>
      <c r="S2958" s="1"/>
    </row>
    <row r="2959" ht="15.75" customHeight="1">
      <c r="A2959" s="1" t="s">
        <v>6688</v>
      </c>
      <c r="B2959" s="1" t="s">
        <v>6689</v>
      </c>
      <c r="C2959" s="1" t="s">
        <v>174</v>
      </c>
      <c r="E2959" s="1">
        <v>28.53852</v>
      </c>
      <c r="F2959" s="1">
        <v>77.25976600000001</v>
      </c>
      <c r="G2959" s="1" t="s">
        <v>2511</v>
      </c>
      <c r="H2959" s="1" t="s">
        <v>2512</v>
      </c>
      <c r="J2959" s="1" t="s">
        <v>44</v>
      </c>
      <c r="P2959" s="1" t="s">
        <v>175</v>
      </c>
      <c r="Q2959" s="1" t="s">
        <v>176</v>
      </c>
      <c r="R2959" s="1">
        <v>2.0</v>
      </c>
      <c r="S2959" s="1"/>
    </row>
    <row r="2960" ht="15.75" customHeight="1">
      <c r="A2960" s="1" t="s">
        <v>6690</v>
      </c>
      <c r="B2960" s="1" t="s">
        <v>6691</v>
      </c>
      <c r="C2960" s="1" t="s">
        <v>174</v>
      </c>
      <c r="E2960" s="1">
        <v>28.5933179</v>
      </c>
      <c r="F2960" s="1">
        <v>77.3331925</v>
      </c>
      <c r="G2960" s="1" t="s">
        <v>2511</v>
      </c>
      <c r="H2960" s="1" t="s">
        <v>2512</v>
      </c>
      <c r="J2960" s="1" t="s">
        <v>44</v>
      </c>
      <c r="P2960" s="1" t="s">
        <v>175</v>
      </c>
      <c r="Q2960" s="1" t="s">
        <v>176</v>
      </c>
      <c r="R2960" s="1">
        <v>1.0</v>
      </c>
      <c r="S2960" s="1"/>
    </row>
    <row r="2961" ht="15.75" customHeight="1">
      <c r="A2961" s="1" t="s">
        <v>1885</v>
      </c>
      <c r="B2961" s="1" t="s">
        <v>1882</v>
      </c>
      <c r="C2961" s="1" t="s">
        <v>1883</v>
      </c>
      <c r="E2961" s="1">
        <v>28.5354626</v>
      </c>
      <c r="F2961" s="1">
        <v>77.2807938</v>
      </c>
      <c r="G2961" s="1" t="s">
        <v>4799</v>
      </c>
      <c r="H2961" s="1" t="s">
        <v>4800</v>
      </c>
      <c r="I2961" s="1" t="s">
        <v>24</v>
      </c>
      <c r="J2961" s="1" t="s">
        <v>1773</v>
      </c>
      <c r="K2961" s="1" t="s">
        <v>99</v>
      </c>
      <c r="L2961" s="1" t="s">
        <v>27</v>
      </c>
      <c r="N2961" s="1" t="s">
        <v>123</v>
      </c>
      <c r="O2961" s="1" t="s">
        <v>29</v>
      </c>
      <c r="P2961" s="1" t="s">
        <v>6684</v>
      </c>
      <c r="Q2961" s="1" t="s">
        <v>6685</v>
      </c>
      <c r="R2961" s="1">
        <v>4.0</v>
      </c>
      <c r="S2961" s="1" t="str">
        <f>IFERROR(__xludf.DUMMYFUNCTION("""COMPUTED_VALUE"""),"store_004034")</f>
        <v>store_004034</v>
      </c>
    </row>
    <row r="2962" ht="15.75" customHeight="1">
      <c r="A2962" s="1" t="s">
        <v>6692</v>
      </c>
      <c r="B2962" s="1" t="s">
        <v>6693</v>
      </c>
      <c r="C2962" s="1" t="s">
        <v>1716</v>
      </c>
      <c r="E2962" s="1">
        <v>28.3481362</v>
      </c>
      <c r="F2962" s="1">
        <v>77.2995669</v>
      </c>
      <c r="G2962" s="1" t="s">
        <v>2511</v>
      </c>
      <c r="H2962" s="1" t="s">
        <v>2512</v>
      </c>
      <c r="J2962" s="1" t="s">
        <v>44</v>
      </c>
      <c r="P2962" s="1" t="s">
        <v>2163</v>
      </c>
      <c r="Q2962" s="1" t="s">
        <v>2164</v>
      </c>
      <c r="R2962" s="1">
        <v>1.0</v>
      </c>
      <c r="S2962" s="1" t="str">
        <f>IFERROR(__xludf.DUMMYFUNCTION("""COMPUTED_VALUE"""),"")</f>
        <v/>
      </c>
    </row>
    <row r="2963" ht="15.75" customHeight="1">
      <c r="A2963" s="1" t="s">
        <v>6694</v>
      </c>
      <c r="B2963" s="1" t="s">
        <v>6695</v>
      </c>
      <c r="C2963" s="1" t="s">
        <v>174</v>
      </c>
      <c r="E2963" s="1">
        <v>28.5684282</v>
      </c>
      <c r="F2963" s="1">
        <v>77.2177086</v>
      </c>
      <c r="G2963" s="1" t="s">
        <v>2511</v>
      </c>
      <c r="H2963" s="1" t="s">
        <v>2512</v>
      </c>
      <c r="J2963" s="1" t="s">
        <v>56</v>
      </c>
      <c r="P2963" s="1" t="s">
        <v>175</v>
      </c>
      <c r="Q2963" s="1" t="s">
        <v>176</v>
      </c>
      <c r="R2963" s="1">
        <v>1.0</v>
      </c>
      <c r="S2963" s="1"/>
    </row>
    <row r="2964" ht="15.75" customHeight="1">
      <c r="A2964" s="1" t="s">
        <v>6696</v>
      </c>
      <c r="B2964" s="1" t="s">
        <v>6697</v>
      </c>
      <c r="C2964" s="1" t="s">
        <v>1716</v>
      </c>
      <c r="E2964" s="1">
        <v>28.3661243</v>
      </c>
      <c r="F2964" s="1">
        <v>77.2894754</v>
      </c>
      <c r="G2964" s="1" t="s">
        <v>2511</v>
      </c>
      <c r="H2964" s="1" t="s">
        <v>2512</v>
      </c>
      <c r="J2964" s="1" t="s">
        <v>44</v>
      </c>
      <c r="P2964" s="1" t="s">
        <v>2163</v>
      </c>
      <c r="Q2964" s="1" t="s">
        <v>2164</v>
      </c>
      <c r="R2964" s="1">
        <v>2.0</v>
      </c>
      <c r="S2964" s="1"/>
    </row>
    <row r="2965" ht="15.75" customHeight="1">
      <c r="A2965" s="1" t="s">
        <v>6698</v>
      </c>
      <c r="B2965" s="1" t="s">
        <v>6699</v>
      </c>
      <c r="C2965" s="1" t="s">
        <v>38</v>
      </c>
      <c r="E2965" s="1">
        <v>28.6980041</v>
      </c>
      <c r="F2965" s="1">
        <v>77.4236975</v>
      </c>
      <c r="G2965" s="1" t="s">
        <v>2511</v>
      </c>
      <c r="H2965" s="1" t="s">
        <v>2512</v>
      </c>
      <c r="J2965" s="1" t="s">
        <v>44</v>
      </c>
      <c r="P2965" s="1" t="s">
        <v>39</v>
      </c>
      <c r="Q2965" s="1" t="s">
        <v>40</v>
      </c>
      <c r="R2965" s="1">
        <v>3.0</v>
      </c>
      <c r="S2965" s="1"/>
    </row>
    <row r="2966" ht="15.75" customHeight="1">
      <c r="A2966" s="1" t="s">
        <v>6700</v>
      </c>
      <c r="B2966" s="1" t="s">
        <v>6701</v>
      </c>
      <c r="C2966" s="1" t="s">
        <v>174</v>
      </c>
      <c r="E2966" s="1">
        <v>28.635747</v>
      </c>
      <c r="F2966" s="1">
        <v>77.2849549</v>
      </c>
      <c r="G2966" s="1" t="s">
        <v>2511</v>
      </c>
      <c r="H2966" s="1" t="s">
        <v>2512</v>
      </c>
      <c r="J2966" s="1" t="s">
        <v>44</v>
      </c>
      <c r="P2966" s="1" t="s">
        <v>6666</v>
      </c>
      <c r="Q2966" s="1" t="s">
        <v>6667</v>
      </c>
      <c r="R2966" s="1">
        <v>9.0</v>
      </c>
      <c r="S2966" s="1"/>
    </row>
    <row r="2967" ht="15.75" customHeight="1">
      <c r="A2967" s="1" t="s">
        <v>1873</v>
      </c>
      <c r="B2967" s="1" t="s">
        <v>1871</v>
      </c>
      <c r="C2967" s="1" t="s">
        <v>174</v>
      </c>
      <c r="E2967" s="1">
        <v>28.6342727</v>
      </c>
      <c r="F2967" s="1">
        <v>77.3103766</v>
      </c>
      <c r="G2967" s="1" t="s">
        <v>4799</v>
      </c>
      <c r="H2967" s="1" t="s">
        <v>4800</v>
      </c>
      <c r="I2967" s="1" t="s">
        <v>24</v>
      </c>
      <c r="J2967" s="1" t="s">
        <v>1773</v>
      </c>
      <c r="K2967" s="1" t="s">
        <v>99</v>
      </c>
      <c r="L2967" s="1" t="s">
        <v>27</v>
      </c>
      <c r="N2967" s="1" t="s">
        <v>174</v>
      </c>
      <c r="O2967" s="1" t="s">
        <v>29</v>
      </c>
      <c r="P2967" s="1" t="s">
        <v>6702</v>
      </c>
      <c r="Q2967" s="1" t="s">
        <v>6703</v>
      </c>
      <c r="R2967" s="1">
        <v>3.0</v>
      </c>
      <c r="S2967" s="1" t="str">
        <f>IFERROR(__xludf.DUMMYFUNCTION("""COMPUTED_VALUE"""),"store_004033")</f>
        <v>store_004033</v>
      </c>
    </row>
    <row r="2968" ht="15.75" customHeight="1">
      <c r="A2968" s="1" t="s">
        <v>6704</v>
      </c>
      <c r="B2968" s="1" t="s">
        <v>6705</v>
      </c>
      <c r="C2968" s="1" t="s">
        <v>1716</v>
      </c>
      <c r="E2968" s="1">
        <v>28.3137888</v>
      </c>
      <c r="F2968" s="1">
        <v>76.87737150000001</v>
      </c>
      <c r="G2968" s="1" t="s">
        <v>2511</v>
      </c>
      <c r="H2968" s="1" t="s">
        <v>2512</v>
      </c>
      <c r="J2968" s="1" t="s">
        <v>44</v>
      </c>
      <c r="P2968" s="1" t="s">
        <v>2163</v>
      </c>
      <c r="Q2968" s="1" t="s">
        <v>2164</v>
      </c>
      <c r="R2968" s="1">
        <v>1.0</v>
      </c>
      <c r="S2968" s="1"/>
    </row>
    <row r="2969" ht="15.75" customHeight="1">
      <c r="A2969" s="1" t="s">
        <v>6706</v>
      </c>
      <c r="B2969" s="1" t="s">
        <v>6707</v>
      </c>
      <c r="C2969" s="1" t="s">
        <v>38</v>
      </c>
      <c r="E2969" s="1">
        <v>28.5752256</v>
      </c>
      <c r="F2969" s="1">
        <v>77.4466159</v>
      </c>
      <c r="G2969" s="1" t="s">
        <v>2511</v>
      </c>
      <c r="H2969" s="1" t="s">
        <v>2512</v>
      </c>
      <c r="J2969" s="1" t="s">
        <v>44</v>
      </c>
      <c r="K2969" s="1" t="s">
        <v>99</v>
      </c>
      <c r="L2969" s="1" t="s">
        <v>27</v>
      </c>
      <c r="N2969" s="1" t="s">
        <v>28</v>
      </c>
      <c r="O2969" s="1" t="s">
        <v>29</v>
      </c>
      <c r="P2969" s="1" t="s">
        <v>39</v>
      </c>
      <c r="Q2969" s="1" t="s">
        <v>40</v>
      </c>
      <c r="R2969" s="1">
        <v>3.0</v>
      </c>
      <c r="S2969" s="1"/>
    </row>
    <row r="2970" ht="15.75" customHeight="1">
      <c r="A2970" s="1" t="s">
        <v>6708</v>
      </c>
      <c r="B2970" s="1" t="s">
        <v>6709</v>
      </c>
      <c r="C2970" s="1" t="s">
        <v>617</v>
      </c>
      <c r="E2970" s="1">
        <v>26.8985032</v>
      </c>
      <c r="F2970" s="1">
        <v>80.93332389999999</v>
      </c>
      <c r="G2970" s="1" t="s">
        <v>2511</v>
      </c>
      <c r="H2970" s="1" t="s">
        <v>2512</v>
      </c>
      <c r="J2970" s="1" t="s">
        <v>118</v>
      </c>
      <c r="K2970" s="1" t="s">
        <v>99</v>
      </c>
      <c r="L2970" s="1" t="s">
        <v>27</v>
      </c>
      <c r="N2970" s="1" t="s">
        <v>28</v>
      </c>
      <c r="O2970" s="1" t="s">
        <v>29</v>
      </c>
      <c r="P2970" s="1" t="s">
        <v>733</v>
      </c>
      <c r="Q2970" s="1" t="s">
        <v>734</v>
      </c>
      <c r="R2970" s="1">
        <v>1.0</v>
      </c>
      <c r="S2970" s="1"/>
    </row>
    <row r="2971" ht="15.75" customHeight="1">
      <c r="A2971" s="1" t="s">
        <v>6710</v>
      </c>
      <c r="B2971" s="1" t="s">
        <v>6711</v>
      </c>
      <c r="C2971" s="1" t="s">
        <v>1786</v>
      </c>
      <c r="E2971" s="1">
        <v>20.2772344</v>
      </c>
      <c r="F2971" s="1">
        <v>85.7959111</v>
      </c>
      <c r="G2971" s="1" t="s">
        <v>6096</v>
      </c>
      <c r="H2971" s="1" t="s">
        <v>6097</v>
      </c>
      <c r="I2971" s="1" t="s">
        <v>1799</v>
      </c>
      <c r="J2971" s="1" t="s">
        <v>56</v>
      </c>
      <c r="P2971" s="1" t="s">
        <v>6454</v>
      </c>
      <c r="Q2971" s="1" t="s">
        <v>6455</v>
      </c>
      <c r="R2971" s="1">
        <v>1.0</v>
      </c>
      <c r="S2971" s="1"/>
    </row>
    <row r="2972" ht="15.75" customHeight="1">
      <c r="A2972" s="1" t="s">
        <v>6712</v>
      </c>
      <c r="B2972" s="1" t="s">
        <v>6713</v>
      </c>
      <c r="C2972" s="1" t="s">
        <v>1716</v>
      </c>
      <c r="E2972" s="1">
        <v>28.3429264</v>
      </c>
      <c r="F2972" s="1">
        <v>77.3210757</v>
      </c>
      <c r="G2972" s="1" t="s">
        <v>2511</v>
      </c>
      <c r="H2972" s="1" t="s">
        <v>2512</v>
      </c>
      <c r="J2972" s="1" t="s">
        <v>44</v>
      </c>
      <c r="P2972" s="1" t="s">
        <v>2163</v>
      </c>
      <c r="Q2972" s="1" t="s">
        <v>2164</v>
      </c>
      <c r="R2972" s="1">
        <v>2.0</v>
      </c>
      <c r="S2972" s="1"/>
    </row>
    <row r="2973" ht="15.75" customHeight="1">
      <c r="A2973" s="1" t="s">
        <v>6714</v>
      </c>
      <c r="B2973" s="1" t="s">
        <v>6715</v>
      </c>
      <c r="C2973" s="1" t="s">
        <v>174</v>
      </c>
      <c r="E2973" s="1">
        <v>28.581515</v>
      </c>
      <c r="F2973" s="1">
        <v>77.1786454</v>
      </c>
      <c r="G2973" s="1" t="s">
        <v>2511</v>
      </c>
      <c r="H2973" s="1" t="s">
        <v>2512</v>
      </c>
      <c r="J2973" s="1" t="s">
        <v>44</v>
      </c>
      <c r="K2973" s="1" t="s">
        <v>99</v>
      </c>
      <c r="L2973" s="1" t="s">
        <v>27</v>
      </c>
      <c r="N2973" s="1" t="s">
        <v>174</v>
      </c>
      <c r="O2973" s="1" t="s">
        <v>29</v>
      </c>
      <c r="P2973" s="1" t="s">
        <v>175</v>
      </c>
      <c r="Q2973" s="1" t="s">
        <v>176</v>
      </c>
      <c r="R2973" s="1">
        <v>1.0</v>
      </c>
      <c r="S2973" s="1"/>
    </row>
    <row r="2974" ht="15.75" customHeight="1">
      <c r="A2974" s="1" t="s">
        <v>6716</v>
      </c>
      <c r="B2974" s="1" t="s">
        <v>6717</v>
      </c>
      <c r="C2974" s="1" t="s">
        <v>174</v>
      </c>
      <c r="E2974" s="1">
        <v>28.5267279</v>
      </c>
      <c r="F2974" s="1">
        <v>77.1524646</v>
      </c>
      <c r="G2974" s="1" t="s">
        <v>2511</v>
      </c>
      <c r="H2974" s="1" t="s">
        <v>2512</v>
      </c>
      <c r="J2974" s="1" t="s">
        <v>44</v>
      </c>
      <c r="K2974" s="1" t="s">
        <v>99</v>
      </c>
      <c r="L2974" s="1" t="s">
        <v>27</v>
      </c>
      <c r="N2974" s="1" t="s">
        <v>174</v>
      </c>
      <c r="O2974" s="1" t="s">
        <v>29</v>
      </c>
      <c r="P2974" s="1" t="s">
        <v>175</v>
      </c>
      <c r="Q2974" s="1" t="s">
        <v>176</v>
      </c>
      <c r="R2974" s="1">
        <v>2.0</v>
      </c>
      <c r="S2974" s="1"/>
    </row>
    <row r="2975" ht="15.75" customHeight="1">
      <c r="A2975" s="1" t="s">
        <v>6718</v>
      </c>
      <c r="B2975" s="1" t="s">
        <v>6719</v>
      </c>
      <c r="C2975" s="1" t="s">
        <v>174</v>
      </c>
      <c r="E2975" s="1">
        <v>28.558376</v>
      </c>
      <c r="F2975" s="1">
        <v>77.2070391</v>
      </c>
      <c r="G2975" s="1" t="s">
        <v>2511</v>
      </c>
      <c r="H2975" s="1" t="s">
        <v>2512</v>
      </c>
      <c r="J2975" s="1" t="s">
        <v>44</v>
      </c>
      <c r="P2975" s="1" t="s">
        <v>175</v>
      </c>
      <c r="Q2975" s="1" t="s">
        <v>176</v>
      </c>
      <c r="R2975" s="1">
        <v>5.0</v>
      </c>
      <c r="S2975" s="1"/>
    </row>
    <row r="2976" ht="15.75" customHeight="1">
      <c r="A2976" s="1" t="s">
        <v>6720</v>
      </c>
      <c r="B2976" s="1" t="s">
        <v>6721</v>
      </c>
      <c r="C2976" s="1" t="s">
        <v>1786</v>
      </c>
      <c r="E2976" s="1">
        <v>20.2780945</v>
      </c>
      <c r="F2976" s="1">
        <v>85.7943477</v>
      </c>
      <c r="G2976" s="1" t="s">
        <v>2511</v>
      </c>
      <c r="H2976" s="1" t="s">
        <v>2512</v>
      </c>
      <c r="J2976" s="1" t="s">
        <v>118</v>
      </c>
      <c r="P2976" s="1" t="s">
        <v>6454</v>
      </c>
      <c r="Q2976" s="1" t="s">
        <v>6455</v>
      </c>
      <c r="R2976" s="1">
        <v>11.0</v>
      </c>
      <c r="S2976" s="1"/>
    </row>
    <row r="2977" ht="15.75" customHeight="1">
      <c r="A2977" s="1" t="s">
        <v>6722</v>
      </c>
      <c r="B2977" s="1" t="s">
        <v>6723</v>
      </c>
      <c r="C2977" s="1" t="s">
        <v>617</v>
      </c>
      <c r="E2977" s="1">
        <v>26.818768</v>
      </c>
      <c r="F2977" s="1">
        <v>80.9629884</v>
      </c>
      <c r="G2977" s="1" t="s">
        <v>6096</v>
      </c>
      <c r="H2977" s="1" t="s">
        <v>6097</v>
      </c>
      <c r="I2977" s="1" t="s">
        <v>1799</v>
      </c>
      <c r="J2977" s="1" t="s">
        <v>118</v>
      </c>
      <c r="K2977" s="1" t="s">
        <v>99</v>
      </c>
      <c r="L2977" s="1" t="s">
        <v>27</v>
      </c>
      <c r="N2977" s="1" t="s">
        <v>28</v>
      </c>
      <c r="O2977" s="1" t="s">
        <v>29</v>
      </c>
      <c r="P2977" s="1" t="s">
        <v>733</v>
      </c>
      <c r="Q2977" s="1" t="s">
        <v>734</v>
      </c>
      <c r="R2977" s="1">
        <v>6.0</v>
      </c>
      <c r="S2977" s="1"/>
    </row>
    <row r="2978" ht="15.75" customHeight="1">
      <c r="A2978" s="1" t="s">
        <v>6724</v>
      </c>
      <c r="B2978" s="1" t="s">
        <v>6725</v>
      </c>
      <c r="C2978" s="1" t="s">
        <v>38</v>
      </c>
      <c r="E2978" s="1">
        <v>28.5393497</v>
      </c>
      <c r="F2978" s="1">
        <v>77.36761419999999</v>
      </c>
      <c r="G2978" s="1" t="s">
        <v>2511</v>
      </c>
      <c r="H2978" s="1" t="s">
        <v>2512</v>
      </c>
      <c r="J2978" s="1" t="s">
        <v>44</v>
      </c>
      <c r="K2978" s="1" t="s">
        <v>99</v>
      </c>
      <c r="L2978" s="1" t="s">
        <v>27</v>
      </c>
      <c r="N2978" s="1" t="s">
        <v>28</v>
      </c>
      <c r="O2978" s="1" t="s">
        <v>29</v>
      </c>
      <c r="P2978" s="1" t="s">
        <v>39</v>
      </c>
      <c r="Q2978" s="1" t="s">
        <v>40</v>
      </c>
      <c r="R2978" s="1">
        <v>2.0</v>
      </c>
      <c r="S2978" s="1"/>
    </row>
    <row r="2979" ht="15.75" customHeight="1">
      <c r="A2979" s="1" t="s">
        <v>6726</v>
      </c>
      <c r="B2979" s="1" t="s">
        <v>6727</v>
      </c>
      <c r="C2979" s="1" t="s">
        <v>174</v>
      </c>
      <c r="E2979" s="1">
        <v>28.5665215</v>
      </c>
      <c r="F2979" s="1">
        <v>77.27807659999999</v>
      </c>
      <c r="G2979" s="1" t="s">
        <v>2511</v>
      </c>
      <c r="H2979" s="1" t="s">
        <v>2512</v>
      </c>
      <c r="J2979" s="1" t="s">
        <v>44</v>
      </c>
      <c r="K2979" s="1" t="s">
        <v>99</v>
      </c>
      <c r="L2979" s="1" t="s">
        <v>27</v>
      </c>
      <c r="N2979" s="1" t="s">
        <v>174</v>
      </c>
      <c r="O2979" s="1" t="s">
        <v>29</v>
      </c>
      <c r="P2979" s="1" t="s">
        <v>175</v>
      </c>
      <c r="Q2979" s="1" t="s">
        <v>176</v>
      </c>
      <c r="R2979" s="1">
        <v>2.0</v>
      </c>
      <c r="S2979" s="1"/>
    </row>
    <row r="2980" ht="15.75" customHeight="1">
      <c r="A2980" s="1" t="s">
        <v>6728</v>
      </c>
      <c r="B2980" s="1" t="s">
        <v>6729</v>
      </c>
      <c r="C2980" s="1" t="s">
        <v>38</v>
      </c>
      <c r="E2980" s="1">
        <v>28.539582</v>
      </c>
      <c r="F2980" s="1">
        <v>77.3671197</v>
      </c>
      <c r="G2980" s="1" t="s">
        <v>2511</v>
      </c>
      <c r="H2980" s="1" t="s">
        <v>2512</v>
      </c>
      <c r="J2980" s="1" t="s">
        <v>44</v>
      </c>
      <c r="P2980" s="1" t="s">
        <v>39</v>
      </c>
      <c r="Q2980" s="1" t="s">
        <v>40</v>
      </c>
      <c r="R2980" s="1">
        <v>2.0</v>
      </c>
      <c r="S2980" s="1"/>
    </row>
    <row r="2981" ht="15.75" customHeight="1">
      <c r="A2981" s="1" t="s">
        <v>6730</v>
      </c>
      <c r="B2981" s="1" t="s">
        <v>6731</v>
      </c>
      <c r="C2981" s="1" t="s">
        <v>1786</v>
      </c>
      <c r="E2981" s="1">
        <v>20.2603793</v>
      </c>
      <c r="F2981" s="1">
        <v>85.83612769999999</v>
      </c>
      <c r="G2981" s="1" t="s">
        <v>2511</v>
      </c>
      <c r="H2981" s="1" t="s">
        <v>2512</v>
      </c>
      <c r="J2981" s="1" t="s">
        <v>56</v>
      </c>
      <c r="P2981" s="1" t="s">
        <v>6454</v>
      </c>
      <c r="Q2981" s="1" t="s">
        <v>6455</v>
      </c>
      <c r="R2981" s="1">
        <v>1.0</v>
      </c>
      <c r="S2981" s="1"/>
    </row>
    <row r="2982" ht="15.75" customHeight="1">
      <c r="A2982" s="1" t="s">
        <v>6732</v>
      </c>
      <c r="B2982" s="1" t="s">
        <v>6733</v>
      </c>
      <c r="C2982" s="1" t="s">
        <v>174</v>
      </c>
      <c r="E2982" s="1">
        <v>28.6310988</v>
      </c>
      <c r="F2982" s="1">
        <v>77.0837505</v>
      </c>
      <c r="G2982" s="1" t="s">
        <v>2511</v>
      </c>
      <c r="H2982" s="1" t="s">
        <v>2512</v>
      </c>
      <c r="J2982" s="1" t="s">
        <v>44</v>
      </c>
      <c r="K2982" s="1" t="s">
        <v>99</v>
      </c>
      <c r="L2982" s="1" t="s">
        <v>27</v>
      </c>
      <c r="N2982" s="1" t="s">
        <v>174</v>
      </c>
      <c r="O2982" s="1" t="s">
        <v>29</v>
      </c>
      <c r="P2982" s="1" t="s">
        <v>175</v>
      </c>
      <c r="Q2982" s="1" t="s">
        <v>176</v>
      </c>
      <c r="R2982" s="1">
        <v>1.0</v>
      </c>
      <c r="S2982" s="1"/>
    </row>
    <row r="2983" ht="15.75" customHeight="1">
      <c r="A2983" s="1" t="s">
        <v>6734</v>
      </c>
      <c r="B2983" s="1" t="s">
        <v>6735</v>
      </c>
      <c r="C2983" s="1" t="s">
        <v>174</v>
      </c>
      <c r="E2983" s="1">
        <v>28.5844923</v>
      </c>
      <c r="F2983" s="1">
        <v>77.2203203</v>
      </c>
      <c r="G2983" s="1" t="s">
        <v>2511</v>
      </c>
      <c r="H2983" s="1" t="s">
        <v>2512</v>
      </c>
      <c r="J2983" s="1" t="s">
        <v>44</v>
      </c>
      <c r="K2983" s="1" t="s">
        <v>5789</v>
      </c>
      <c r="L2983" s="1" t="s">
        <v>27</v>
      </c>
      <c r="N2983" s="1" t="s">
        <v>174</v>
      </c>
      <c r="O2983" s="1" t="s">
        <v>29</v>
      </c>
      <c r="P2983" s="1" t="s">
        <v>175</v>
      </c>
      <c r="Q2983" s="1" t="s">
        <v>176</v>
      </c>
      <c r="R2983" s="1">
        <v>1.0</v>
      </c>
      <c r="S2983" s="1"/>
    </row>
    <row r="2984" ht="15.75" customHeight="1">
      <c r="A2984" s="1" t="s">
        <v>6736</v>
      </c>
      <c r="B2984" s="1" t="s">
        <v>6737</v>
      </c>
      <c r="C2984" s="1" t="s">
        <v>174</v>
      </c>
      <c r="E2984" s="1">
        <v>28.6034592</v>
      </c>
      <c r="F2984" s="1">
        <v>77.33531099999999</v>
      </c>
      <c r="G2984" s="1" t="s">
        <v>2511</v>
      </c>
      <c r="H2984" s="1" t="s">
        <v>2512</v>
      </c>
      <c r="J2984" s="1" t="s">
        <v>44</v>
      </c>
      <c r="K2984" s="1" t="s">
        <v>5789</v>
      </c>
      <c r="L2984" s="1" t="s">
        <v>27</v>
      </c>
      <c r="N2984" s="1" t="s">
        <v>174</v>
      </c>
      <c r="O2984" s="1" t="s">
        <v>29</v>
      </c>
      <c r="P2984" s="1" t="s">
        <v>6666</v>
      </c>
      <c r="Q2984" s="1" t="s">
        <v>6667</v>
      </c>
      <c r="R2984" s="1">
        <v>6.0</v>
      </c>
      <c r="S2984" s="1"/>
    </row>
    <row r="2985" ht="15.75" customHeight="1">
      <c r="A2985" s="1" t="s">
        <v>6738</v>
      </c>
      <c r="B2985" s="1" t="s">
        <v>6739</v>
      </c>
      <c r="C2985" s="1" t="s">
        <v>1716</v>
      </c>
      <c r="E2985" s="1">
        <v>28.4777062</v>
      </c>
      <c r="F2985" s="1">
        <v>77.0736589</v>
      </c>
      <c r="G2985" s="1" t="s">
        <v>2511</v>
      </c>
      <c r="H2985" s="1" t="s">
        <v>2512</v>
      </c>
      <c r="J2985" s="1" t="s">
        <v>44</v>
      </c>
      <c r="K2985" s="1" t="s">
        <v>5789</v>
      </c>
      <c r="L2985" s="1" t="s">
        <v>27</v>
      </c>
      <c r="N2985" s="1" t="s">
        <v>163</v>
      </c>
      <c r="O2985" s="1" t="s">
        <v>29</v>
      </c>
      <c r="P2985" s="1" t="s">
        <v>2163</v>
      </c>
      <c r="Q2985" s="1" t="s">
        <v>2164</v>
      </c>
      <c r="R2985" s="1">
        <v>1.0</v>
      </c>
      <c r="S2985" s="1"/>
    </row>
    <row r="2986" ht="15.75" customHeight="1">
      <c r="A2986" s="1" t="s">
        <v>6740</v>
      </c>
      <c r="B2986" s="1" t="s">
        <v>6741</v>
      </c>
      <c r="C2986" s="1" t="s">
        <v>174</v>
      </c>
      <c r="E2986" s="1">
        <v>28.5558694</v>
      </c>
      <c r="F2986" s="1">
        <v>77.2508024</v>
      </c>
      <c r="G2986" s="1" t="s">
        <v>2511</v>
      </c>
      <c r="H2986" s="1" t="s">
        <v>2512</v>
      </c>
      <c r="J2986" s="1" t="s">
        <v>44</v>
      </c>
      <c r="K2986" s="1" t="s">
        <v>99</v>
      </c>
      <c r="L2986" s="1" t="s">
        <v>27</v>
      </c>
      <c r="N2986" s="1" t="s">
        <v>174</v>
      </c>
      <c r="O2986" s="1" t="s">
        <v>29</v>
      </c>
      <c r="P2986" s="1" t="s">
        <v>175</v>
      </c>
      <c r="Q2986" s="1" t="s">
        <v>176</v>
      </c>
      <c r="R2986" s="1">
        <v>2.0</v>
      </c>
      <c r="S2986" s="1"/>
    </row>
    <row r="2987" ht="15.75" customHeight="1">
      <c r="A2987" s="1" t="s">
        <v>6742</v>
      </c>
      <c r="B2987" s="1" t="s">
        <v>6743</v>
      </c>
      <c r="C2987" s="1" t="s">
        <v>174</v>
      </c>
      <c r="E2987" s="1">
        <v>28.6441478</v>
      </c>
      <c r="F2987" s="1">
        <v>77.3155931</v>
      </c>
      <c r="G2987" s="1" t="s">
        <v>2511</v>
      </c>
      <c r="H2987" s="1" t="s">
        <v>2512</v>
      </c>
      <c r="J2987" s="1" t="s">
        <v>44</v>
      </c>
      <c r="K2987" s="1" t="s">
        <v>99</v>
      </c>
      <c r="L2987" s="1" t="s">
        <v>27</v>
      </c>
      <c r="N2987" s="1" t="s">
        <v>174</v>
      </c>
      <c r="O2987" s="1" t="s">
        <v>29</v>
      </c>
      <c r="P2987" s="1" t="s">
        <v>175</v>
      </c>
      <c r="Q2987" s="1" t="s">
        <v>176</v>
      </c>
      <c r="R2987" s="1">
        <v>1.0</v>
      </c>
      <c r="S2987" s="1"/>
    </row>
    <row r="2988" ht="15.75" customHeight="1">
      <c r="A2988" s="1" t="s">
        <v>6744</v>
      </c>
      <c r="B2988" s="1" t="s">
        <v>6745</v>
      </c>
      <c r="C2988" s="1" t="s">
        <v>174</v>
      </c>
      <c r="E2988" s="1">
        <v>28.6393713</v>
      </c>
      <c r="F2988" s="1">
        <v>77.0822695</v>
      </c>
      <c r="G2988" s="1" t="s">
        <v>2511</v>
      </c>
      <c r="H2988" s="1" t="s">
        <v>2512</v>
      </c>
      <c r="J2988" s="1" t="s">
        <v>44</v>
      </c>
      <c r="K2988" s="1" t="s">
        <v>1910</v>
      </c>
      <c r="L2988" s="1" t="s">
        <v>1911</v>
      </c>
      <c r="N2988" s="1" t="s">
        <v>174</v>
      </c>
      <c r="O2988" s="1" t="s">
        <v>29</v>
      </c>
      <c r="P2988" s="1" t="s">
        <v>175</v>
      </c>
      <c r="Q2988" s="1" t="s">
        <v>176</v>
      </c>
      <c r="R2988" s="1">
        <v>6.0</v>
      </c>
      <c r="S2988" s="1"/>
    </row>
    <row r="2989" ht="15.75" customHeight="1">
      <c r="A2989" s="1" t="s">
        <v>6746</v>
      </c>
      <c r="B2989" s="1" t="s">
        <v>6747</v>
      </c>
      <c r="C2989" s="1" t="s">
        <v>174</v>
      </c>
      <c r="E2989" s="1">
        <v>28.5770752</v>
      </c>
      <c r="F2989" s="1">
        <v>77.1965026</v>
      </c>
      <c r="G2989" s="1" t="s">
        <v>2511</v>
      </c>
      <c r="H2989" s="1" t="s">
        <v>2512</v>
      </c>
      <c r="J2989" s="1" t="s">
        <v>44</v>
      </c>
      <c r="K2989" s="1" t="s">
        <v>99</v>
      </c>
      <c r="L2989" s="1" t="s">
        <v>27</v>
      </c>
      <c r="N2989" s="1" t="s">
        <v>174</v>
      </c>
      <c r="O2989" s="1" t="s">
        <v>29</v>
      </c>
      <c r="P2989" s="1" t="s">
        <v>175</v>
      </c>
      <c r="Q2989" s="1" t="s">
        <v>176</v>
      </c>
      <c r="R2989" s="1">
        <v>1.0</v>
      </c>
      <c r="S2989" s="1"/>
    </row>
    <row r="2990" ht="15.75" customHeight="1">
      <c r="A2990" s="1" t="s">
        <v>6748</v>
      </c>
      <c r="B2990" s="1" t="s">
        <v>6749</v>
      </c>
      <c r="C2990" s="1" t="s">
        <v>174</v>
      </c>
      <c r="E2990" s="1">
        <v>28.7118689</v>
      </c>
      <c r="F2990" s="1">
        <v>77.1158497</v>
      </c>
      <c r="G2990" s="1" t="s">
        <v>2511</v>
      </c>
      <c r="H2990" s="1" t="s">
        <v>2512</v>
      </c>
      <c r="J2990" s="1" t="s">
        <v>44</v>
      </c>
      <c r="P2990" s="1" t="s">
        <v>175</v>
      </c>
      <c r="Q2990" s="1" t="s">
        <v>176</v>
      </c>
      <c r="R2990" s="1">
        <v>2.0</v>
      </c>
      <c r="S2990" s="1"/>
    </row>
    <row r="2991" ht="15.75" customHeight="1">
      <c r="A2991" s="1" t="s">
        <v>6750</v>
      </c>
      <c r="B2991" s="1" t="s">
        <v>6751</v>
      </c>
      <c r="C2991" s="1" t="s">
        <v>174</v>
      </c>
      <c r="E2991" s="1">
        <v>28.634026</v>
      </c>
      <c r="F2991" s="1">
        <v>77.088201</v>
      </c>
      <c r="G2991" s="1" t="s">
        <v>2511</v>
      </c>
      <c r="H2991" s="1" t="s">
        <v>2512</v>
      </c>
      <c r="J2991" s="1" t="s">
        <v>44</v>
      </c>
      <c r="K2991" s="1" t="s">
        <v>99</v>
      </c>
      <c r="L2991" s="1" t="s">
        <v>27</v>
      </c>
      <c r="N2991" s="1" t="s">
        <v>174</v>
      </c>
      <c r="O2991" s="1" t="s">
        <v>29</v>
      </c>
      <c r="P2991" s="1" t="s">
        <v>175</v>
      </c>
      <c r="Q2991" s="1" t="s">
        <v>176</v>
      </c>
      <c r="R2991" s="1">
        <v>1.0</v>
      </c>
      <c r="S2991" s="1"/>
    </row>
    <row r="2992" ht="15.75" customHeight="1">
      <c r="A2992" s="1" t="s">
        <v>6752</v>
      </c>
      <c r="B2992" s="1" t="s">
        <v>6753</v>
      </c>
      <c r="C2992" s="1" t="s">
        <v>174</v>
      </c>
      <c r="E2992" s="1">
        <v>28.5349239</v>
      </c>
      <c r="F2992" s="1">
        <v>77.2096978</v>
      </c>
      <c r="G2992" s="1" t="s">
        <v>2511</v>
      </c>
      <c r="H2992" s="1" t="s">
        <v>2512</v>
      </c>
      <c r="J2992" s="1" t="s">
        <v>44</v>
      </c>
      <c r="K2992" s="1" t="s">
        <v>99</v>
      </c>
      <c r="L2992" s="1" t="s">
        <v>27</v>
      </c>
      <c r="N2992" s="1" t="s">
        <v>174</v>
      </c>
      <c r="O2992" s="1" t="s">
        <v>29</v>
      </c>
      <c r="P2992" s="1" t="s">
        <v>175</v>
      </c>
      <c r="Q2992" s="1" t="s">
        <v>176</v>
      </c>
      <c r="R2992" s="1">
        <v>2.0</v>
      </c>
      <c r="S2992" s="1"/>
    </row>
    <row r="2993" ht="15.75" customHeight="1">
      <c r="A2993" s="1" t="s">
        <v>6754</v>
      </c>
      <c r="B2993" s="1" t="s">
        <v>6755</v>
      </c>
      <c r="C2993" s="1" t="s">
        <v>1716</v>
      </c>
      <c r="E2993" s="1">
        <v>28.4642513</v>
      </c>
      <c r="F2993" s="1">
        <v>77.01944569999999</v>
      </c>
      <c r="G2993" s="1" t="s">
        <v>2511</v>
      </c>
      <c r="H2993" s="1" t="s">
        <v>2512</v>
      </c>
      <c r="J2993" s="1" t="s">
        <v>44</v>
      </c>
      <c r="K2993" s="1" t="s">
        <v>99</v>
      </c>
      <c r="L2993" s="1" t="s">
        <v>27</v>
      </c>
      <c r="N2993" s="1" t="s">
        <v>163</v>
      </c>
      <c r="O2993" s="1" t="s">
        <v>29</v>
      </c>
      <c r="P2993" s="1" t="s">
        <v>2163</v>
      </c>
      <c r="Q2993" s="1" t="s">
        <v>2164</v>
      </c>
      <c r="R2993" s="1">
        <v>1.0</v>
      </c>
      <c r="S2993" s="1"/>
    </row>
    <row r="2994" ht="15.75" customHeight="1">
      <c r="A2994" s="1" t="s">
        <v>6756</v>
      </c>
      <c r="B2994" s="1" t="s">
        <v>6757</v>
      </c>
      <c r="C2994" s="1" t="s">
        <v>617</v>
      </c>
      <c r="E2994" s="1">
        <v>26.8942044</v>
      </c>
      <c r="F2994" s="1">
        <v>80.94238</v>
      </c>
      <c r="G2994" s="1" t="s">
        <v>2511</v>
      </c>
      <c r="H2994" s="1" t="s">
        <v>2512</v>
      </c>
      <c r="J2994" s="1" t="s">
        <v>118</v>
      </c>
      <c r="P2994" s="1" t="s">
        <v>733</v>
      </c>
      <c r="Q2994" s="1" t="s">
        <v>734</v>
      </c>
      <c r="R2994" s="1">
        <v>3.0</v>
      </c>
      <c r="S2994" s="1"/>
    </row>
    <row r="2995" ht="15.75" customHeight="1">
      <c r="A2995" s="1" t="s">
        <v>6758</v>
      </c>
      <c r="B2995" s="1" t="s">
        <v>6759</v>
      </c>
      <c r="C2995" s="1" t="s">
        <v>174</v>
      </c>
      <c r="E2995" s="1">
        <v>28.6452259</v>
      </c>
      <c r="F2995" s="1">
        <v>77.1184545</v>
      </c>
      <c r="G2995" s="1" t="s">
        <v>2511</v>
      </c>
      <c r="H2995" s="1" t="s">
        <v>2512</v>
      </c>
      <c r="J2995" s="1" t="s">
        <v>44</v>
      </c>
      <c r="K2995" s="1" t="s">
        <v>99</v>
      </c>
      <c r="L2995" s="1" t="s">
        <v>27</v>
      </c>
      <c r="N2995" s="1" t="s">
        <v>174</v>
      </c>
      <c r="O2995" s="1" t="s">
        <v>29</v>
      </c>
      <c r="P2995" s="1" t="s">
        <v>175</v>
      </c>
      <c r="Q2995" s="1" t="s">
        <v>176</v>
      </c>
      <c r="R2995" s="1">
        <v>6.0</v>
      </c>
      <c r="S2995" s="1"/>
    </row>
    <row r="2996" ht="15.75" customHeight="1">
      <c r="A2996" s="1" t="s">
        <v>6760</v>
      </c>
      <c r="B2996" s="1" t="s">
        <v>6761</v>
      </c>
      <c r="C2996" s="1" t="s">
        <v>174</v>
      </c>
      <c r="E2996" s="1">
        <v>28.6872224</v>
      </c>
      <c r="F2996" s="1">
        <v>77.0712818</v>
      </c>
      <c r="G2996" s="1" t="s">
        <v>2511</v>
      </c>
      <c r="H2996" s="1" t="s">
        <v>2512</v>
      </c>
      <c r="J2996" s="1" t="s">
        <v>44</v>
      </c>
      <c r="P2996" s="1" t="s">
        <v>175</v>
      </c>
      <c r="Q2996" s="1" t="s">
        <v>176</v>
      </c>
      <c r="R2996" s="1">
        <v>1.0</v>
      </c>
      <c r="S2996" s="1"/>
    </row>
    <row r="2997" ht="15.75" customHeight="1">
      <c r="A2997" s="1" t="s">
        <v>6762</v>
      </c>
      <c r="B2997" s="1" t="s">
        <v>6763</v>
      </c>
      <c r="C2997" s="1" t="s">
        <v>1716</v>
      </c>
      <c r="E2997" s="1">
        <v>28.4538891</v>
      </c>
      <c r="F2997" s="1">
        <v>77.0830356</v>
      </c>
      <c r="G2997" s="1" t="s">
        <v>2511</v>
      </c>
      <c r="H2997" s="1" t="s">
        <v>2512</v>
      </c>
      <c r="J2997" s="1" t="s">
        <v>44</v>
      </c>
      <c r="K2997" s="1" t="s">
        <v>5789</v>
      </c>
      <c r="L2997" s="1" t="s">
        <v>27</v>
      </c>
      <c r="N2997" s="1" t="s">
        <v>163</v>
      </c>
      <c r="O2997" s="1" t="s">
        <v>29</v>
      </c>
      <c r="P2997" s="1" t="s">
        <v>2163</v>
      </c>
      <c r="Q2997" s="1" t="s">
        <v>2164</v>
      </c>
      <c r="R2997" s="1">
        <v>1.0</v>
      </c>
      <c r="S2997" s="1"/>
    </row>
    <row r="2998" ht="15.75" customHeight="1">
      <c r="A2998" s="1" t="s">
        <v>6764</v>
      </c>
      <c r="B2998" s="1" t="s">
        <v>6765</v>
      </c>
      <c r="C2998" s="1" t="s">
        <v>174</v>
      </c>
      <c r="E2998" s="1">
        <v>28.5909446</v>
      </c>
      <c r="F2998" s="1">
        <v>77.044533</v>
      </c>
      <c r="G2998" s="1" t="s">
        <v>2511</v>
      </c>
      <c r="H2998" s="1" t="s">
        <v>2512</v>
      </c>
      <c r="J2998" s="1" t="s">
        <v>44</v>
      </c>
      <c r="K2998" s="1" t="s">
        <v>99</v>
      </c>
      <c r="L2998" s="1" t="s">
        <v>27</v>
      </c>
      <c r="N2998" s="1" t="s">
        <v>174</v>
      </c>
      <c r="O2998" s="1" t="s">
        <v>29</v>
      </c>
      <c r="P2998" s="1" t="s">
        <v>175</v>
      </c>
      <c r="Q2998" s="1" t="s">
        <v>176</v>
      </c>
      <c r="R2998" s="1">
        <v>4.0</v>
      </c>
      <c r="S2998" s="1"/>
    </row>
    <row r="2999" ht="15.75" customHeight="1">
      <c r="A2999" s="1" t="s">
        <v>6766</v>
      </c>
      <c r="B2999" s="1" t="s">
        <v>6767</v>
      </c>
      <c r="C2999" s="1" t="s">
        <v>174</v>
      </c>
      <c r="E2999" s="1">
        <v>28.6549254</v>
      </c>
      <c r="F2999" s="1">
        <v>77.18901029999999</v>
      </c>
      <c r="G2999" s="1" t="s">
        <v>2511</v>
      </c>
      <c r="H2999" s="1" t="s">
        <v>2512</v>
      </c>
      <c r="J2999" s="1" t="s">
        <v>44</v>
      </c>
      <c r="K2999" s="1" t="s">
        <v>99</v>
      </c>
      <c r="L2999" s="1" t="s">
        <v>27</v>
      </c>
      <c r="N2999" s="1" t="s">
        <v>174</v>
      </c>
      <c r="O2999" s="1" t="s">
        <v>29</v>
      </c>
      <c r="P2999" s="1" t="s">
        <v>6666</v>
      </c>
      <c r="Q2999" s="1" t="s">
        <v>6667</v>
      </c>
      <c r="R2999" s="1">
        <v>5.0</v>
      </c>
      <c r="S2999" s="1"/>
    </row>
    <row r="3000" ht="15.75" customHeight="1">
      <c r="A3000" s="1" t="s">
        <v>6768</v>
      </c>
      <c r="B3000" s="1" t="s">
        <v>6769</v>
      </c>
      <c r="C3000" s="1" t="s">
        <v>630</v>
      </c>
      <c r="E3000" s="1">
        <v>26.4645364</v>
      </c>
      <c r="F3000" s="1">
        <v>80.3103689</v>
      </c>
      <c r="G3000" s="1" t="s">
        <v>6770</v>
      </c>
      <c r="H3000" s="1" t="s">
        <v>6771</v>
      </c>
      <c r="I3000" s="1" t="s">
        <v>24</v>
      </c>
      <c r="J3000" s="1" t="s">
        <v>118</v>
      </c>
      <c r="K3000" s="1" t="s">
        <v>99</v>
      </c>
      <c r="L3000" s="1" t="s">
        <v>27</v>
      </c>
      <c r="N3000" s="1" t="s">
        <v>28</v>
      </c>
      <c r="O3000" s="1" t="s">
        <v>29</v>
      </c>
      <c r="P3000" s="1" t="s">
        <v>733</v>
      </c>
      <c r="Q3000" s="1" t="s">
        <v>734</v>
      </c>
      <c r="R3000" s="1">
        <v>4.0</v>
      </c>
      <c r="S3000" s="1"/>
    </row>
    <row r="3001" ht="15.75" customHeight="1">
      <c r="A3001" s="1" t="s">
        <v>6772</v>
      </c>
      <c r="B3001" s="1" t="s">
        <v>6773</v>
      </c>
      <c r="C3001" s="1" t="s">
        <v>174</v>
      </c>
      <c r="E3001" s="1">
        <v>28.6803845</v>
      </c>
      <c r="F3001" s="1">
        <v>77.2869291</v>
      </c>
      <c r="G3001" s="1" t="s">
        <v>2511</v>
      </c>
      <c r="H3001" s="1" t="s">
        <v>2512</v>
      </c>
      <c r="J3001" s="1" t="s">
        <v>44</v>
      </c>
      <c r="K3001" s="1" t="s">
        <v>99</v>
      </c>
      <c r="L3001" s="1" t="s">
        <v>27</v>
      </c>
      <c r="N3001" s="1" t="s">
        <v>174</v>
      </c>
      <c r="O3001" s="1" t="s">
        <v>29</v>
      </c>
      <c r="P3001" s="1" t="s">
        <v>175</v>
      </c>
      <c r="Q3001" s="1" t="s">
        <v>176</v>
      </c>
      <c r="R3001" s="1">
        <v>4.0</v>
      </c>
      <c r="S3001" s="1"/>
    </row>
    <row r="3002" ht="15.75" customHeight="1">
      <c r="A3002" s="1" t="s">
        <v>6774</v>
      </c>
      <c r="B3002" s="1" t="s">
        <v>6775</v>
      </c>
      <c r="C3002" s="1" t="s">
        <v>1716</v>
      </c>
      <c r="E3002" s="1">
        <v>28.3692501</v>
      </c>
      <c r="F3002" s="1">
        <v>77.3265152</v>
      </c>
      <c r="G3002" s="1" t="s">
        <v>2511</v>
      </c>
      <c r="H3002" s="1" t="s">
        <v>2512</v>
      </c>
      <c r="J3002" s="1" t="s">
        <v>44</v>
      </c>
      <c r="K3002" s="1" t="s">
        <v>99</v>
      </c>
      <c r="L3002" s="1" t="s">
        <v>27</v>
      </c>
      <c r="N3002" s="1" t="s">
        <v>163</v>
      </c>
      <c r="O3002" s="1" t="s">
        <v>29</v>
      </c>
      <c r="P3002" s="1" t="s">
        <v>2163</v>
      </c>
      <c r="Q3002" s="1" t="s">
        <v>2164</v>
      </c>
      <c r="R3002" s="1">
        <v>2.0</v>
      </c>
      <c r="S3002" s="1"/>
    </row>
    <row r="3003" ht="15.75" customHeight="1">
      <c r="A3003" s="1" t="s">
        <v>6776</v>
      </c>
      <c r="B3003" s="1" t="s">
        <v>6777</v>
      </c>
      <c r="C3003" s="1" t="s">
        <v>174</v>
      </c>
      <c r="E3003" s="1">
        <v>28.6507275</v>
      </c>
      <c r="F3003" s="1">
        <v>77.1593573</v>
      </c>
      <c r="G3003" s="1" t="s">
        <v>2511</v>
      </c>
      <c r="H3003" s="1" t="s">
        <v>2512</v>
      </c>
      <c r="J3003" s="1" t="s">
        <v>44</v>
      </c>
      <c r="K3003" s="1" t="s">
        <v>99</v>
      </c>
      <c r="L3003" s="1" t="s">
        <v>27</v>
      </c>
      <c r="N3003" s="1" t="s">
        <v>174</v>
      </c>
      <c r="O3003" s="1" t="s">
        <v>29</v>
      </c>
      <c r="P3003" s="1" t="s">
        <v>6666</v>
      </c>
      <c r="Q3003" s="1" t="s">
        <v>6667</v>
      </c>
      <c r="R3003" s="1">
        <v>1.0</v>
      </c>
      <c r="S3003" s="1"/>
    </row>
    <row r="3004" ht="15.75" customHeight="1">
      <c r="A3004" s="1" t="s">
        <v>6778</v>
      </c>
      <c r="B3004" s="1" t="s">
        <v>6779</v>
      </c>
      <c r="C3004" s="1" t="s">
        <v>174</v>
      </c>
      <c r="E3004" s="1">
        <v>28.5667113</v>
      </c>
      <c r="F3004" s="1">
        <v>77.2780645</v>
      </c>
      <c r="G3004" s="1" t="s">
        <v>2511</v>
      </c>
      <c r="H3004" s="1" t="s">
        <v>2512</v>
      </c>
      <c r="J3004" s="1" t="s">
        <v>44</v>
      </c>
      <c r="K3004" s="1" t="s">
        <v>99</v>
      </c>
      <c r="L3004" s="1" t="s">
        <v>27</v>
      </c>
      <c r="N3004" s="1" t="s">
        <v>174</v>
      </c>
      <c r="O3004" s="1" t="s">
        <v>29</v>
      </c>
      <c r="P3004" s="1" t="s">
        <v>175</v>
      </c>
      <c r="Q3004" s="1" t="s">
        <v>176</v>
      </c>
      <c r="R3004" s="1">
        <v>4.0</v>
      </c>
      <c r="S3004" s="1"/>
    </row>
    <row r="3005" ht="15.75" customHeight="1">
      <c r="A3005" s="1" t="s">
        <v>6780</v>
      </c>
      <c r="B3005" s="1" t="s">
        <v>6781</v>
      </c>
      <c r="C3005" s="1" t="s">
        <v>174</v>
      </c>
      <c r="E3005" s="1">
        <v>28.6281402</v>
      </c>
      <c r="F3005" s="1">
        <v>77.0999078</v>
      </c>
      <c r="G3005" s="1" t="s">
        <v>2511</v>
      </c>
      <c r="H3005" s="1" t="s">
        <v>2512</v>
      </c>
      <c r="J3005" s="1" t="s">
        <v>44</v>
      </c>
      <c r="P3005" s="1" t="s">
        <v>175</v>
      </c>
      <c r="Q3005" s="1" t="s">
        <v>176</v>
      </c>
      <c r="R3005" s="1">
        <v>1.0</v>
      </c>
      <c r="S3005" s="1"/>
    </row>
    <row r="3006" ht="15.75" customHeight="1">
      <c r="A3006" s="1" t="s">
        <v>6782</v>
      </c>
      <c r="B3006" s="1" t="s">
        <v>6783</v>
      </c>
      <c r="C3006" s="1" t="s">
        <v>174</v>
      </c>
      <c r="E3006" s="1">
        <v>28.566285</v>
      </c>
      <c r="F3006" s="1">
        <v>77.1762548</v>
      </c>
      <c r="G3006" s="1" t="s">
        <v>2511</v>
      </c>
      <c r="H3006" s="1" t="s">
        <v>2512</v>
      </c>
      <c r="J3006" s="1" t="s">
        <v>44</v>
      </c>
      <c r="P3006" s="1" t="s">
        <v>175</v>
      </c>
      <c r="Q3006" s="1" t="s">
        <v>176</v>
      </c>
      <c r="R3006" s="1">
        <v>1.0</v>
      </c>
      <c r="S3006" s="1"/>
    </row>
    <row r="3007" ht="15.75" customHeight="1">
      <c r="A3007" s="1" t="s">
        <v>6784</v>
      </c>
      <c r="B3007" s="1" t="s">
        <v>6785</v>
      </c>
      <c r="C3007" s="1" t="s">
        <v>174</v>
      </c>
      <c r="E3007" s="1">
        <v>28.7412963</v>
      </c>
      <c r="F3007" s="1">
        <v>77.1199874</v>
      </c>
      <c r="G3007" s="1" t="s">
        <v>2511</v>
      </c>
      <c r="H3007" s="1" t="s">
        <v>2512</v>
      </c>
      <c r="J3007" s="1" t="s">
        <v>44</v>
      </c>
      <c r="K3007" s="1" t="s">
        <v>99</v>
      </c>
      <c r="L3007" s="1" t="s">
        <v>27</v>
      </c>
      <c r="N3007" s="1" t="s">
        <v>174</v>
      </c>
      <c r="O3007" s="1" t="s">
        <v>29</v>
      </c>
      <c r="P3007" s="1" t="s">
        <v>175</v>
      </c>
      <c r="Q3007" s="1" t="s">
        <v>176</v>
      </c>
      <c r="R3007" s="1">
        <v>1.0</v>
      </c>
      <c r="S3007" s="1"/>
    </row>
    <row r="3008" ht="15.75" customHeight="1">
      <c r="A3008" s="1" t="s">
        <v>6786</v>
      </c>
      <c r="B3008" s="1" t="s">
        <v>6787</v>
      </c>
      <c r="C3008" s="1" t="s">
        <v>174</v>
      </c>
      <c r="E3008" s="1">
        <v>28.594389</v>
      </c>
      <c r="F3008" s="1">
        <v>77.122243</v>
      </c>
      <c r="G3008" s="1" t="s">
        <v>2511</v>
      </c>
      <c r="H3008" s="1" t="s">
        <v>2512</v>
      </c>
      <c r="J3008" s="1" t="s">
        <v>44</v>
      </c>
      <c r="P3008" s="1" t="s">
        <v>175</v>
      </c>
      <c r="Q3008" s="1" t="s">
        <v>176</v>
      </c>
      <c r="R3008" s="1">
        <v>1.0</v>
      </c>
      <c r="S3008" s="1"/>
    </row>
    <row r="3009" ht="15.75" customHeight="1">
      <c r="A3009" s="1" t="s">
        <v>6788</v>
      </c>
      <c r="B3009" s="1" t="s">
        <v>6789</v>
      </c>
      <c r="C3009" s="1" t="s">
        <v>174</v>
      </c>
      <c r="E3009" s="1">
        <v>28.4997379</v>
      </c>
      <c r="F3009" s="1">
        <v>77.2909742</v>
      </c>
      <c r="G3009" s="1" t="s">
        <v>2511</v>
      </c>
      <c r="H3009" s="1" t="s">
        <v>2512</v>
      </c>
      <c r="J3009" s="1" t="s">
        <v>44</v>
      </c>
      <c r="P3009" s="1" t="s">
        <v>175</v>
      </c>
      <c r="Q3009" s="1" t="s">
        <v>176</v>
      </c>
      <c r="R3009" s="1">
        <v>1.0</v>
      </c>
      <c r="S3009" s="1"/>
    </row>
    <row r="3010" ht="15.75" customHeight="1">
      <c r="A3010" s="1" t="s">
        <v>6790</v>
      </c>
      <c r="B3010" s="1" t="s">
        <v>6791</v>
      </c>
      <c r="C3010" s="1" t="s">
        <v>174</v>
      </c>
      <c r="E3010" s="1">
        <v>28.6596335</v>
      </c>
      <c r="F3010" s="1">
        <v>77.26727389999999</v>
      </c>
      <c r="G3010" s="1" t="s">
        <v>2511</v>
      </c>
      <c r="H3010" s="1" t="s">
        <v>2512</v>
      </c>
      <c r="J3010" s="1" t="s">
        <v>44</v>
      </c>
      <c r="K3010" s="1" t="s">
        <v>99</v>
      </c>
      <c r="L3010" s="1" t="s">
        <v>27</v>
      </c>
      <c r="N3010" s="1" t="s">
        <v>174</v>
      </c>
      <c r="O3010" s="1" t="s">
        <v>29</v>
      </c>
      <c r="P3010" s="1" t="s">
        <v>175</v>
      </c>
      <c r="Q3010" s="1" t="s">
        <v>176</v>
      </c>
      <c r="R3010" s="1">
        <v>1.0</v>
      </c>
      <c r="S3010" s="1"/>
    </row>
    <row r="3011" ht="15.75" customHeight="1">
      <c r="A3011" s="1" t="s">
        <v>6792</v>
      </c>
      <c r="B3011" s="1" t="s">
        <v>6793</v>
      </c>
      <c r="C3011" s="1" t="s">
        <v>174</v>
      </c>
      <c r="E3011" s="1">
        <v>28.6608665</v>
      </c>
      <c r="F3011" s="1">
        <v>77.297375</v>
      </c>
      <c r="G3011" s="1" t="s">
        <v>2511</v>
      </c>
      <c r="H3011" s="1" t="s">
        <v>2512</v>
      </c>
      <c r="J3011" s="1" t="s">
        <v>118</v>
      </c>
      <c r="K3011" s="1" t="s">
        <v>26</v>
      </c>
      <c r="L3011" s="1" t="s">
        <v>27</v>
      </c>
      <c r="N3011" s="1" t="s">
        <v>174</v>
      </c>
      <c r="O3011" s="1" t="s">
        <v>57</v>
      </c>
      <c r="P3011" s="1" t="s">
        <v>175</v>
      </c>
      <c r="Q3011" s="1" t="s">
        <v>176</v>
      </c>
      <c r="R3011" s="1">
        <v>1.0</v>
      </c>
      <c r="S3011" s="1"/>
    </row>
    <row r="3012" ht="15.75" customHeight="1">
      <c r="A3012" s="1" t="s">
        <v>6794</v>
      </c>
      <c r="B3012" s="1" t="s">
        <v>6795</v>
      </c>
      <c r="C3012" s="1" t="s">
        <v>497</v>
      </c>
      <c r="E3012" s="1">
        <v>25.5982571</v>
      </c>
      <c r="F3012" s="1">
        <v>85.04247149999999</v>
      </c>
      <c r="G3012" s="1" t="s">
        <v>2511</v>
      </c>
      <c r="H3012" s="1" t="s">
        <v>2512</v>
      </c>
      <c r="J3012" s="1" t="s">
        <v>118</v>
      </c>
      <c r="K3012" s="1" t="s">
        <v>5789</v>
      </c>
      <c r="L3012" s="1" t="s">
        <v>27</v>
      </c>
      <c r="N3012" s="1" t="s">
        <v>498</v>
      </c>
      <c r="O3012" s="1" t="s">
        <v>29</v>
      </c>
      <c r="P3012" s="1" t="s">
        <v>499</v>
      </c>
      <c r="Q3012" s="1" t="s">
        <v>500</v>
      </c>
      <c r="R3012" s="1">
        <v>1.0</v>
      </c>
      <c r="S3012" s="1"/>
    </row>
    <row r="3013" ht="15.75" customHeight="1">
      <c r="A3013" s="1" t="s">
        <v>6796</v>
      </c>
      <c r="B3013" s="1" t="s">
        <v>6797</v>
      </c>
      <c r="C3013" s="1" t="s">
        <v>1786</v>
      </c>
      <c r="E3013" s="1">
        <v>20.4630224</v>
      </c>
      <c r="F3013" s="1">
        <v>85.91052859999999</v>
      </c>
      <c r="G3013" s="1" t="s">
        <v>2511</v>
      </c>
      <c r="H3013" s="1" t="s">
        <v>2512</v>
      </c>
      <c r="J3013" s="1" t="s">
        <v>118</v>
      </c>
      <c r="P3013" s="1" t="s">
        <v>6454</v>
      </c>
      <c r="Q3013" s="1" t="s">
        <v>6455</v>
      </c>
      <c r="R3013" s="1">
        <v>1.0</v>
      </c>
      <c r="S3013" s="1"/>
    </row>
    <row r="3014" ht="15.75" customHeight="1">
      <c r="A3014" s="1" t="s">
        <v>6798</v>
      </c>
      <c r="B3014" s="1" t="s">
        <v>6799</v>
      </c>
      <c r="C3014" s="1" t="s">
        <v>1786</v>
      </c>
      <c r="E3014" s="1">
        <v>20.2335138</v>
      </c>
      <c r="F3014" s="1">
        <v>85.81571509999999</v>
      </c>
      <c r="G3014" s="1" t="s">
        <v>2511</v>
      </c>
      <c r="H3014" s="1" t="s">
        <v>2512</v>
      </c>
      <c r="J3014" s="1" t="s">
        <v>118</v>
      </c>
      <c r="P3014" s="1" t="s">
        <v>6454</v>
      </c>
      <c r="Q3014" s="1" t="s">
        <v>6455</v>
      </c>
      <c r="R3014" s="1">
        <v>1.0</v>
      </c>
      <c r="S3014" s="1"/>
    </row>
    <row r="3015" ht="15.75" customHeight="1">
      <c r="A3015" s="1" t="s">
        <v>6800</v>
      </c>
      <c r="B3015" s="1" t="s">
        <v>6801</v>
      </c>
      <c r="C3015" s="1" t="s">
        <v>531</v>
      </c>
      <c r="E3015" s="1">
        <v>22.5658693</v>
      </c>
      <c r="F3015" s="1">
        <v>88.3585227</v>
      </c>
      <c r="G3015" s="1" t="s">
        <v>2511</v>
      </c>
      <c r="H3015" s="1" t="s">
        <v>2512</v>
      </c>
      <c r="J3015" s="1" t="s">
        <v>118</v>
      </c>
      <c r="K3015" s="1" t="s">
        <v>99</v>
      </c>
      <c r="L3015" s="1" t="s">
        <v>27</v>
      </c>
      <c r="N3015" s="1" t="s">
        <v>532</v>
      </c>
      <c r="O3015" s="1" t="s">
        <v>29</v>
      </c>
      <c r="P3015" s="1" t="s">
        <v>6802</v>
      </c>
      <c r="Q3015" s="1" t="s">
        <v>6803</v>
      </c>
      <c r="R3015" s="1">
        <v>6.0</v>
      </c>
      <c r="S3015" s="1"/>
    </row>
    <row r="3016" ht="15.75" customHeight="1">
      <c r="A3016" s="1" t="s">
        <v>6804</v>
      </c>
      <c r="B3016" s="1" t="s">
        <v>6805</v>
      </c>
      <c r="C3016" s="1" t="s">
        <v>531</v>
      </c>
      <c r="E3016" s="1">
        <v>22.5846499</v>
      </c>
      <c r="F3016" s="1">
        <v>88.3772212</v>
      </c>
      <c r="G3016" s="1" t="s">
        <v>2511</v>
      </c>
      <c r="H3016" s="1" t="s">
        <v>2512</v>
      </c>
      <c r="J3016" s="1" t="s">
        <v>118</v>
      </c>
      <c r="P3016" s="1" t="s">
        <v>6802</v>
      </c>
      <c r="Q3016" s="1" t="s">
        <v>6803</v>
      </c>
      <c r="R3016" s="1">
        <v>4.0</v>
      </c>
      <c r="S3016" s="1"/>
    </row>
    <row r="3017" ht="15.75" customHeight="1">
      <c r="A3017" s="1" t="s">
        <v>6806</v>
      </c>
      <c r="B3017" s="1" t="s">
        <v>6807</v>
      </c>
      <c r="C3017" s="1" t="s">
        <v>737</v>
      </c>
      <c r="E3017" s="1">
        <v>22.7175551</v>
      </c>
      <c r="F3017" s="1">
        <v>75.8644075</v>
      </c>
      <c r="G3017" s="1" t="s">
        <v>2511</v>
      </c>
      <c r="H3017" s="1" t="s">
        <v>2512</v>
      </c>
      <c r="J3017" s="1" t="s">
        <v>118</v>
      </c>
      <c r="K3017" s="1" t="s">
        <v>99</v>
      </c>
      <c r="L3017" s="1" t="s">
        <v>27</v>
      </c>
      <c r="N3017" s="1" t="s">
        <v>732</v>
      </c>
      <c r="O3017" s="1" t="s">
        <v>29</v>
      </c>
      <c r="P3017" s="1" t="s">
        <v>738</v>
      </c>
      <c r="Q3017" s="1" t="s">
        <v>739</v>
      </c>
      <c r="R3017" s="1">
        <v>12.0</v>
      </c>
      <c r="S3017" s="1"/>
    </row>
    <row r="3018" ht="15.75" customHeight="1">
      <c r="A3018" s="1" t="s">
        <v>6808</v>
      </c>
      <c r="B3018" s="1" t="s">
        <v>6809</v>
      </c>
      <c r="C3018" s="1" t="s">
        <v>737</v>
      </c>
      <c r="E3018" s="1">
        <v>22.7204729</v>
      </c>
      <c r="F3018" s="1">
        <v>75.861645</v>
      </c>
      <c r="G3018" s="1" t="s">
        <v>2511</v>
      </c>
      <c r="H3018" s="1" t="s">
        <v>2512</v>
      </c>
      <c r="J3018" s="1" t="s">
        <v>118</v>
      </c>
      <c r="K3018" s="1" t="s">
        <v>99</v>
      </c>
      <c r="L3018" s="1" t="s">
        <v>27</v>
      </c>
      <c r="N3018" s="1" t="s">
        <v>732</v>
      </c>
      <c r="O3018" s="1" t="s">
        <v>29</v>
      </c>
      <c r="P3018" s="1" t="s">
        <v>738</v>
      </c>
      <c r="Q3018" s="1" t="s">
        <v>739</v>
      </c>
      <c r="R3018" s="1">
        <v>1.0</v>
      </c>
      <c r="S3018" s="1"/>
    </row>
    <row r="3019" ht="15.75" customHeight="1">
      <c r="A3019" s="1" t="s">
        <v>6810</v>
      </c>
      <c r="B3019" s="1" t="s">
        <v>6811</v>
      </c>
      <c r="C3019" s="1" t="s">
        <v>1112</v>
      </c>
      <c r="E3019" s="1">
        <v>13.0409835</v>
      </c>
      <c r="F3019" s="1">
        <v>80.2393894</v>
      </c>
      <c r="G3019" s="1" t="s">
        <v>2511</v>
      </c>
      <c r="H3019" s="1" t="s">
        <v>2512</v>
      </c>
      <c r="J3019" s="1" t="s">
        <v>56</v>
      </c>
      <c r="P3019" s="1" t="s">
        <v>1098</v>
      </c>
      <c r="Q3019" s="1" t="s">
        <v>1099</v>
      </c>
      <c r="R3019" s="1">
        <v>8.0</v>
      </c>
      <c r="S3019" s="1"/>
    </row>
    <row r="3020" ht="15.75" customHeight="1">
      <c r="A3020" s="1" t="s">
        <v>6812</v>
      </c>
      <c r="B3020" s="1" t="s">
        <v>6813</v>
      </c>
      <c r="C3020" s="1" t="s">
        <v>215</v>
      </c>
      <c r="E3020" s="1">
        <v>23.0255127</v>
      </c>
      <c r="F3020" s="1">
        <v>72.5567786</v>
      </c>
      <c r="G3020" s="1" t="s">
        <v>2511</v>
      </c>
      <c r="H3020" s="1" t="s">
        <v>2512</v>
      </c>
      <c r="J3020" s="1" t="s">
        <v>118</v>
      </c>
      <c r="P3020" s="1" t="s">
        <v>3830</v>
      </c>
      <c r="Q3020" s="1" t="s">
        <v>3831</v>
      </c>
      <c r="R3020" s="1">
        <v>1.0</v>
      </c>
      <c r="S3020" s="1"/>
    </row>
    <row r="3021" ht="15.75" customHeight="1">
      <c r="A3021" s="1" t="s">
        <v>6814</v>
      </c>
      <c r="B3021" s="1" t="s">
        <v>6815</v>
      </c>
      <c r="C3021" s="1" t="s">
        <v>737</v>
      </c>
      <c r="E3021" s="1">
        <v>22.7543507</v>
      </c>
      <c r="F3021" s="1">
        <v>75.8959543</v>
      </c>
      <c r="G3021" s="1" t="s">
        <v>2511</v>
      </c>
      <c r="H3021" s="1" t="s">
        <v>2512</v>
      </c>
      <c r="J3021" s="1" t="s">
        <v>118</v>
      </c>
      <c r="P3021" s="1" t="s">
        <v>738</v>
      </c>
      <c r="Q3021" s="1" t="s">
        <v>739</v>
      </c>
      <c r="R3021" s="1">
        <v>1.0</v>
      </c>
      <c r="S3021" s="1"/>
    </row>
    <row r="3022" ht="15.75" customHeight="1">
      <c r="A3022" s="1" t="s">
        <v>6816</v>
      </c>
      <c r="B3022" s="1" t="s">
        <v>6817</v>
      </c>
      <c r="C3022" s="1" t="s">
        <v>215</v>
      </c>
      <c r="E3022" s="1">
        <v>23.0076131</v>
      </c>
      <c r="F3022" s="1">
        <v>72.6602724</v>
      </c>
      <c r="G3022" s="1" t="s">
        <v>2511</v>
      </c>
      <c r="H3022" s="1" t="s">
        <v>2512</v>
      </c>
      <c r="J3022" s="1" t="s">
        <v>118</v>
      </c>
      <c r="P3022" s="1" t="s">
        <v>3830</v>
      </c>
      <c r="Q3022" s="1" t="s">
        <v>3831</v>
      </c>
      <c r="R3022" s="1">
        <v>1.0</v>
      </c>
      <c r="S3022" s="1"/>
    </row>
    <row r="3023" ht="15.75" customHeight="1">
      <c r="A3023" s="1" t="s">
        <v>6818</v>
      </c>
      <c r="B3023" s="1" t="s">
        <v>6819</v>
      </c>
      <c r="C3023" s="1" t="s">
        <v>148</v>
      </c>
      <c r="E3023" s="1">
        <v>19.1883622</v>
      </c>
      <c r="F3023" s="1">
        <v>72.9724142</v>
      </c>
      <c r="G3023" s="1" t="s">
        <v>2511</v>
      </c>
      <c r="H3023" s="1" t="s">
        <v>2512</v>
      </c>
      <c r="J3023" s="1" t="s">
        <v>118</v>
      </c>
      <c r="P3023" s="1" t="s">
        <v>2300</v>
      </c>
      <c r="Q3023" s="1" t="s">
        <v>2301</v>
      </c>
      <c r="R3023" s="1">
        <v>9.0</v>
      </c>
      <c r="S3023" s="1"/>
    </row>
    <row r="3024" ht="15.75" customHeight="1">
      <c r="A3024" s="1" t="s">
        <v>6820</v>
      </c>
      <c r="B3024" s="1" t="s">
        <v>6821</v>
      </c>
      <c r="C3024" s="1" t="s">
        <v>148</v>
      </c>
      <c r="E3024" s="1">
        <v>19.2319961</v>
      </c>
      <c r="F3024" s="1">
        <v>72.97613369999999</v>
      </c>
      <c r="G3024" s="1" t="s">
        <v>2511</v>
      </c>
      <c r="H3024" s="1" t="s">
        <v>2512</v>
      </c>
      <c r="J3024" s="1" t="s">
        <v>118</v>
      </c>
      <c r="P3024" s="1" t="s">
        <v>2300</v>
      </c>
      <c r="Q3024" s="1" t="s">
        <v>2301</v>
      </c>
      <c r="R3024" s="1">
        <v>2.0</v>
      </c>
      <c r="S3024" s="1"/>
    </row>
    <row r="3025" ht="15.75" customHeight="1">
      <c r="A3025" s="1" t="s">
        <v>6822</v>
      </c>
      <c r="B3025" s="1" t="s">
        <v>6823</v>
      </c>
      <c r="C3025" s="1" t="s">
        <v>148</v>
      </c>
      <c r="E3025" s="1">
        <v>19.2075469</v>
      </c>
      <c r="F3025" s="1">
        <v>72.9645208</v>
      </c>
      <c r="G3025" s="1" t="s">
        <v>2511</v>
      </c>
      <c r="H3025" s="1" t="s">
        <v>2512</v>
      </c>
      <c r="J3025" s="1" t="s">
        <v>118</v>
      </c>
      <c r="P3025" s="1" t="s">
        <v>2300</v>
      </c>
      <c r="Q3025" s="1" t="s">
        <v>2301</v>
      </c>
      <c r="R3025" s="1">
        <v>7.0</v>
      </c>
      <c r="S3025" s="1"/>
    </row>
    <row r="3026" ht="15.75" customHeight="1">
      <c r="A3026" s="1" t="s">
        <v>6824</v>
      </c>
      <c r="B3026" s="1" t="s">
        <v>6825</v>
      </c>
      <c r="C3026" s="1" t="s">
        <v>242</v>
      </c>
      <c r="E3026" s="1">
        <v>21.1861246</v>
      </c>
      <c r="F3026" s="1">
        <v>72.779054</v>
      </c>
      <c r="G3026" s="1" t="s">
        <v>2511</v>
      </c>
      <c r="H3026" s="1" t="s">
        <v>2512</v>
      </c>
      <c r="J3026" s="1" t="s">
        <v>118</v>
      </c>
      <c r="P3026" s="1" t="s">
        <v>243</v>
      </c>
      <c r="Q3026" s="1" t="s">
        <v>244</v>
      </c>
      <c r="R3026" s="1">
        <v>1.0</v>
      </c>
      <c r="S3026" s="1"/>
    </row>
    <row r="3027" ht="15.75" customHeight="1">
      <c r="A3027" s="1" t="s">
        <v>6826</v>
      </c>
      <c r="B3027" s="1" t="s">
        <v>6381</v>
      </c>
      <c r="C3027" s="1" t="s">
        <v>1112</v>
      </c>
      <c r="E3027" s="1">
        <v>13.0327115</v>
      </c>
      <c r="F3027" s="1">
        <v>80.23040739999999</v>
      </c>
      <c r="G3027" s="1" t="s">
        <v>2511</v>
      </c>
      <c r="H3027" s="1" t="s">
        <v>2512</v>
      </c>
      <c r="J3027" s="1" t="s">
        <v>56</v>
      </c>
      <c r="P3027" s="1" t="s">
        <v>1098</v>
      </c>
      <c r="Q3027" s="1" t="s">
        <v>1099</v>
      </c>
      <c r="R3027" s="1">
        <v>0.0</v>
      </c>
      <c r="S3027" s="1" t="str">
        <f>IFERROR(__xludf.DUMMYFUNCTION("""COMPUTED_VALUE"""),"store_004432, store_007031")</f>
        <v>store_004432, store_007031</v>
      </c>
    </row>
    <row r="3028" ht="15.75" customHeight="1">
      <c r="A3028" s="1" t="s">
        <v>6827</v>
      </c>
      <c r="B3028" s="1" t="s">
        <v>6828</v>
      </c>
      <c r="C3028" s="1" t="s">
        <v>242</v>
      </c>
      <c r="E3028" s="1">
        <v>21.168878</v>
      </c>
      <c r="F3028" s="1">
        <v>72.8206991</v>
      </c>
      <c r="G3028" s="1" t="s">
        <v>2511</v>
      </c>
      <c r="H3028" s="1" t="s">
        <v>2512</v>
      </c>
      <c r="J3028" s="1" t="s">
        <v>56</v>
      </c>
      <c r="P3028" s="1" t="s">
        <v>243</v>
      </c>
      <c r="Q3028" s="1" t="s">
        <v>244</v>
      </c>
      <c r="R3028" s="1">
        <v>1.0</v>
      </c>
      <c r="S3028" s="1"/>
    </row>
    <row r="3029" ht="15.75" customHeight="1">
      <c r="A3029" s="1" t="s">
        <v>6829</v>
      </c>
      <c r="B3029" s="1" t="s">
        <v>6830</v>
      </c>
      <c r="C3029" s="1" t="s">
        <v>215</v>
      </c>
      <c r="E3029" s="1">
        <v>23.0298842</v>
      </c>
      <c r="F3029" s="1">
        <v>72.5701857</v>
      </c>
      <c r="G3029" s="1" t="s">
        <v>2511</v>
      </c>
      <c r="H3029" s="1" t="s">
        <v>2512</v>
      </c>
      <c r="J3029" s="1" t="s">
        <v>56</v>
      </c>
      <c r="P3029" s="1" t="s">
        <v>3830</v>
      </c>
      <c r="Q3029" s="1" t="s">
        <v>3831</v>
      </c>
      <c r="R3029" s="1">
        <v>1.0</v>
      </c>
      <c r="S3029" s="1"/>
    </row>
    <row r="3030" ht="15.75" customHeight="1">
      <c r="A3030" s="1" t="s">
        <v>6831</v>
      </c>
      <c r="B3030" s="1" t="s">
        <v>6381</v>
      </c>
      <c r="C3030" s="1" t="s">
        <v>1138</v>
      </c>
      <c r="E3030" s="1">
        <v>11.0172735</v>
      </c>
      <c r="F3030" s="1">
        <v>76.968608</v>
      </c>
      <c r="G3030" s="1" t="s">
        <v>2511</v>
      </c>
      <c r="H3030" s="1" t="s">
        <v>2512</v>
      </c>
      <c r="J3030" s="1" t="s">
        <v>56</v>
      </c>
      <c r="P3030" s="1" t="s">
        <v>1098</v>
      </c>
      <c r="Q3030" s="1" t="s">
        <v>1099</v>
      </c>
      <c r="R3030" s="1">
        <v>0.0</v>
      </c>
      <c r="S3030" s="1" t="str">
        <f>IFERROR(__xludf.DUMMYFUNCTION("""COMPUTED_VALUE"""),"store_004432, store_006925")</f>
        <v>store_004432, store_006925</v>
      </c>
    </row>
    <row r="3031" ht="15.75" customHeight="1">
      <c r="A3031" s="1" t="s">
        <v>6832</v>
      </c>
      <c r="B3031" s="1" t="s">
        <v>6833</v>
      </c>
      <c r="C3031" s="1" t="s">
        <v>1138</v>
      </c>
      <c r="E3031" s="1">
        <v>11.0007151</v>
      </c>
      <c r="F3031" s="1">
        <v>77.0289675</v>
      </c>
      <c r="G3031" s="1" t="s">
        <v>2511</v>
      </c>
      <c r="H3031" s="1" t="s">
        <v>2512</v>
      </c>
      <c r="J3031" s="1" t="s">
        <v>56</v>
      </c>
      <c r="P3031" s="1" t="s">
        <v>1098</v>
      </c>
      <c r="Q3031" s="1" t="s">
        <v>1099</v>
      </c>
      <c r="R3031" s="1">
        <v>0.0</v>
      </c>
      <c r="S3031" s="1"/>
    </row>
    <row r="3032" ht="15.75" customHeight="1">
      <c r="A3032" s="1" t="s">
        <v>6834</v>
      </c>
      <c r="B3032" s="1" t="s">
        <v>6835</v>
      </c>
      <c r="C3032" s="1" t="s">
        <v>151</v>
      </c>
      <c r="E3032" s="1">
        <v>18.5267691</v>
      </c>
      <c r="F3032" s="1">
        <v>73.8766981</v>
      </c>
      <c r="G3032" s="1" t="s">
        <v>2511</v>
      </c>
      <c r="H3032" s="1" t="s">
        <v>2512</v>
      </c>
      <c r="J3032" s="1" t="s">
        <v>56</v>
      </c>
      <c r="P3032" s="1" t="s">
        <v>569</v>
      </c>
      <c r="Q3032" s="1" t="s">
        <v>570</v>
      </c>
      <c r="R3032" s="1">
        <v>1.0</v>
      </c>
      <c r="S3032" s="1"/>
    </row>
    <row r="3033" ht="15.75" customHeight="1">
      <c r="A3033" s="1" t="s">
        <v>6836</v>
      </c>
      <c r="B3033" s="1" t="s">
        <v>6837</v>
      </c>
      <c r="C3033" s="1" t="s">
        <v>1138</v>
      </c>
      <c r="E3033" s="1">
        <v>11.0195231</v>
      </c>
      <c r="F3033" s="1">
        <v>76.9623471</v>
      </c>
      <c r="G3033" s="1" t="s">
        <v>2511</v>
      </c>
      <c r="H3033" s="1" t="s">
        <v>2512</v>
      </c>
      <c r="J3033" s="1" t="s">
        <v>56</v>
      </c>
      <c r="P3033" s="1" t="s">
        <v>1098</v>
      </c>
      <c r="Q3033" s="1" t="s">
        <v>1099</v>
      </c>
      <c r="R3033" s="1">
        <v>0.0</v>
      </c>
      <c r="S3033" s="1"/>
    </row>
    <row r="3034" ht="15.75" customHeight="1">
      <c r="A3034" s="1" t="s">
        <v>6838</v>
      </c>
      <c r="B3034" s="1" t="s">
        <v>6839</v>
      </c>
      <c r="C3034" s="1" t="s">
        <v>242</v>
      </c>
      <c r="E3034" s="1">
        <v>21.2375688</v>
      </c>
      <c r="F3034" s="1">
        <v>72.8765741</v>
      </c>
      <c r="G3034" s="1" t="s">
        <v>2511</v>
      </c>
      <c r="H3034" s="1" t="s">
        <v>2512</v>
      </c>
      <c r="J3034" s="1" t="s">
        <v>56</v>
      </c>
      <c r="P3034" s="1" t="s">
        <v>243</v>
      </c>
      <c r="Q3034" s="1" t="s">
        <v>244</v>
      </c>
      <c r="R3034" s="1">
        <v>1.0</v>
      </c>
      <c r="S3034" s="1"/>
    </row>
    <row r="3035" ht="15.75" customHeight="1">
      <c r="A3035" s="1" t="s">
        <v>6840</v>
      </c>
      <c r="B3035" s="1" t="s">
        <v>6841</v>
      </c>
      <c r="C3035" s="1" t="s">
        <v>215</v>
      </c>
      <c r="E3035" s="1">
        <v>23.0015301</v>
      </c>
      <c r="F3035" s="1">
        <v>72.6540868</v>
      </c>
      <c r="G3035" s="1" t="s">
        <v>2511</v>
      </c>
      <c r="H3035" s="1" t="s">
        <v>2512</v>
      </c>
      <c r="J3035" s="1" t="s">
        <v>118</v>
      </c>
      <c r="P3035" s="1" t="s">
        <v>3830</v>
      </c>
      <c r="Q3035" s="1" t="s">
        <v>3831</v>
      </c>
      <c r="R3035" s="1">
        <v>1.0</v>
      </c>
      <c r="S3035" s="1"/>
    </row>
    <row r="3036" ht="15.75" customHeight="1">
      <c r="A3036" s="1" t="s">
        <v>6842</v>
      </c>
      <c r="B3036" s="1" t="s">
        <v>6843</v>
      </c>
      <c r="C3036" s="1" t="s">
        <v>151</v>
      </c>
      <c r="E3036" s="1">
        <v>18.5091944</v>
      </c>
      <c r="F3036" s="1">
        <v>73.8525283</v>
      </c>
      <c r="G3036" s="1" t="s">
        <v>2511</v>
      </c>
      <c r="H3036" s="1" t="s">
        <v>2512</v>
      </c>
      <c r="J3036" s="1" t="s">
        <v>118</v>
      </c>
      <c r="K3036" s="1" t="s">
        <v>99</v>
      </c>
      <c r="L3036" s="1" t="s">
        <v>27</v>
      </c>
      <c r="N3036" s="1" t="s">
        <v>143</v>
      </c>
      <c r="O3036" s="1" t="s">
        <v>29</v>
      </c>
      <c r="P3036" s="1" t="s">
        <v>569</v>
      </c>
      <c r="Q3036" s="1" t="s">
        <v>570</v>
      </c>
      <c r="R3036" s="1">
        <v>3.0</v>
      </c>
      <c r="S3036" s="1"/>
    </row>
    <row r="3037" ht="15.75" customHeight="1">
      <c r="A3037" s="1" t="s">
        <v>6844</v>
      </c>
      <c r="B3037" s="1" t="s">
        <v>6845</v>
      </c>
      <c r="C3037" s="1" t="s">
        <v>242</v>
      </c>
      <c r="E3037" s="1">
        <v>21.1825913</v>
      </c>
      <c r="F3037" s="1">
        <v>72.82834559999999</v>
      </c>
      <c r="G3037" s="1" t="s">
        <v>2511</v>
      </c>
      <c r="H3037" s="1" t="s">
        <v>2512</v>
      </c>
      <c r="J3037" s="1" t="s">
        <v>118</v>
      </c>
      <c r="K3037" s="1" t="s">
        <v>99</v>
      </c>
      <c r="L3037" s="1" t="s">
        <v>27</v>
      </c>
      <c r="N3037" s="1" t="s">
        <v>216</v>
      </c>
      <c r="O3037" s="1" t="s">
        <v>29</v>
      </c>
      <c r="P3037" s="1" t="s">
        <v>243</v>
      </c>
      <c r="Q3037" s="1" t="s">
        <v>244</v>
      </c>
      <c r="R3037" s="1">
        <v>1.0</v>
      </c>
      <c r="S3037" s="1"/>
    </row>
    <row r="3038" ht="15.75" customHeight="1">
      <c r="A3038" s="1" t="s">
        <v>6846</v>
      </c>
      <c r="B3038" s="1" t="s">
        <v>6847</v>
      </c>
      <c r="C3038" s="1" t="s">
        <v>242</v>
      </c>
      <c r="E3038" s="1">
        <v>21.2103803</v>
      </c>
      <c r="F3038" s="1">
        <v>72.8530803</v>
      </c>
      <c r="G3038" s="1" t="s">
        <v>2511</v>
      </c>
      <c r="H3038" s="1" t="s">
        <v>2512</v>
      </c>
      <c r="J3038" s="1" t="s">
        <v>118</v>
      </c>
      <c r="K3038" s="1" t="s">
        <v>99</v>
      </c>
      <c r="L3038" s="1" t="s">
        <v>27</v>
      </c>
      <c r="N3038" s="1" t="s">
        <v>216</v>
      </c>
      <c r="O3038" s="1" t="s">
        <v>29</v>
      </c>
      <c r="P3038" s="1" t="s">
        <v>243</v>
      </c>
      <c r="Q3038" s="1" t="s">
        <v>244</v>
      </c>
      <c r="R3038" s="1">
        <v>1.0</v>
      </c>
      <c r="S3038" s="1"/>
    </row>
    <row r="3039" ht="15.75" customHeight="1">
      <c r="A3039" s="1" t="s">
        <v>6848</v>
      </c>
      <c r="B3039" s="1" t="s">
        <v>6849</v>
      </c>
      <c r="C3039" s="1" t="s">
        <v>1112</v>
      </c>
      <c r="E3039" s="1">
        <v>12.9838174</v>
      </c>
      <c r="F3039" s="1">
        <v>80.18826349999999</v>
      </c>
      <c r="G3039" s="1" t="s">
        <v>2511</v>
      </c>
      <c r="H3039" s="1" t="s">
        <v>2512</v>
      </c>
      <c r="J3039" s="1" t="s">
        <v>56</v>
      </c>
      <c r="P3039" s="1" t="s">
        <v>1098</v>
      </c>
      <c r="Q3039" s="1" t="s">
        <v>1099</v>
      </c>
      <c r="R3039" s="1">
        <v>0.0</v>
      </c>
      <c r="S3039" s="1"/>
    </row>
    <row r="3040" ht="15.75" customHeight="1">
      <c r="A3040" s="1" t="s">
        <v>6850</v>
      </c>
      <c r="B3040" s="1" t="s">
        <v>6851</v>
      </c>
      <c r="C3040" s="1" t="s">
        <v>242</v>
      </c>
      <c r="E3040" s="1">
        <v>21.2347611</v>
      </c>
      <c r="F3040" s="1">
        <v>72.881646</v>
      </c>
      <c r="G3040" s="1" t="s">
        <v>2511</v>
      </c>
      <c r="H3040" s="1" t="s">
        <v>2512</v>
      </c>
      <c r="J3040" s="1" t="s">
        <v>118</v>
      </c>
      <c r="P3040" s="1" t="s">
        <v>243</v>
      </c>
      <c r="Q3040" s="1" t="s">
        <v>244</v>
      </c>
      <c r="R3040" s="1">
        <v>1.0</v>
      </c>
      <c r="S3040" s="1"/>
    </row>
    <row r="3041" ht="15.75" customHeight="1">
      <c r="A3041" s="1" t="s">
        <v>6852</v>
      </c>
      <c r="B3041" s="1" t="s">
        <v>6853</v>
      </c>
      <c r="C3041" s="1" t="s">
        <v>242</v>
      </c>
      <c r="E3041" s="1">
        <v>21.2115461</v>
      </c>
      <c r="F3041" s="1">
        <v>72.86433550000001</v>
      </c>
      <c r="G3041" s="1" t="s">
        <v>2511</v>
      </c>
      <c r="H3041" s="1" t="s">
        <v>2512</v>
      </c>
      <c r="J3041" s="1" t="s">
        <v>118</v>
      </c>
      <c r="P3041" s="1" t="s">
        <v>243</v>
      </c>
      <c r="Q3041" s="1" t="s">
        <v>244</v>
      </c>
      <c r="R3041" s="1">
        <v>1.0</v>
      </c>
      <c r="S3041" s="1"/>
    </row>
    <row r="3042" ht="15.75" customHeight="1">
      <c r="A3042" s="1" t="s">
        <v>6854</v>
      </c>
      <c r="B3042" s="1" t="s">
        <v>6855</v>
      </c>
      <c r="C3042" s="1" t="s">
        <v>1112</v>
      </c>
      <c r="E3042" s="1">
        <v>13.1952804</v>
      </c>
      <c r="F3042" s="1">
        <v>80.1857599</v>
      </c>
      <c r="G3042" s="1" t="s">
        <v>2511</v>
      </c>
      <c r="H3042" s="1" t="s">
        <v>2512</v>
      </c>
      <c r="J3042" s="1" t="s">
        <v>56</v>
      </c>
      <c r="P3042" s="1" t="s">
        <v>1098</v>
      </c>
      <c r="Q3042" s="1" t="s">
        <v>1099</v>
      </c>
      <c r="R3042" s="1">
        <v>0.0</v>
      </c>
      <c r="S3042" s="1"/>
    </row>
    <row r="3043" ht="15.75" customHeight="1">
      <c r="A3043" s="1" t="s">
        <v>6856</v>
      </c>
      <c r="B3043" s="1" t="s">
        <v>6857</v>
      </c>
      <c r="C3043" s="1" t="s">
        <v>1138</v>
      </c>
      <c r="E3043" s="1">
        <v>10.3656344</v>
      </c>
      <c r="F3043" s="1">
        <v>77.973654</v>
      </c>
      <c r="G3043" s="1" t="s">
        <v>2511</v>
      </c>
      <c r="H3043" s="1" t="s">
        <v>2512</v>
      </c>
      <c r="J3043" s="1" t="s">
        <v>56</v>
      </c>
      <c r="P3043" s="1" t="s">
        <v>1098</v>
      </c>
      <c r="Q3043" s="1" t="s">
        <v>1099</v>
      </c>
      <c r="R3043" s="1">
        <v>0.0</v>
      </c>
      <c r="S3043" s="1"/>
    </row>
    <row r="3044" ht="15.75" customHeight="1">
      <c r="A3044" s="1" t="s">
        <v>6858</v>
      </c>
      <c r="B3044" s="1" t="s">
        <v>6859</v>
      </c>
      <c r="C3044" s="1" t="s">
        <v>1138</v>
      </c>
      <c r="E3044" s="1">
        <v>8.182126499999999</v>
      </c>
      <c r="F3044" s="1">
        <v>77.4296327</v>
      </c>
      <c r="G3044" s="1" t="s">
        <v>2511</v>
      </c>
      <c r="H3044" s="1" t="s">
        <v>2512</v>
      </c>
      <c r="J3044" s="1" t="s">
        <v>56</v>
      </c>
      <c r="P3044" s="1" t="s">
        <v>1098</v>
      </c>
      <c r="Q3044" s="1" t="s">
        <v>1099</v>
      </c>
      <c r="R3044" s="1">
        <v>0.0</v>
      </c>
      <c r="S3044" s="1"/>
    </row>
    <row r="3045" ht="15.75" customHeight="1">
      <c r="A3045" s="1" t="s">
        <v>6860</v>
      </c>
      <c r="B3045" s="1" t="s">
        <v>6861</v>
      </c>
      <c r="C3045" s="1" t="s">
        <v>148</v>
      </c>
      <c r="E3045" s="1">
        <v>19.1890513</v>
      </c>
      <c r="F3045" s="1">
        <v>72.9761219</v>
      </c>
      <c r="G3045" s="1" t="s">
        <v>2511</v>
      </c>
      <c r="H3045" s="1" t="s">
        <v>2512</v>
      </c>
      <c r="J3045" s="1" t="s">
        <v>118</v>
      </c>
      <c r="K3045" s="1" t="s">
        <v>99</v>
      </c>
      <c r="L3045" s="1" t="s">
        <v>27</v>
      </c>
      <c r="N3045" s="1" t="s">
        <v>143</v>
      </c>
      <c r="O3045" s="1" t="s">
        <v>29</v>
      </c>
      <c r="P3045" s="1" t="s">
        <v>2300</v>
      </c>
      <c r="Q3045" s="1" t="s">
        <v>2301</v>
      </c>
      <c r="R3045" s="1">
        <v>1.0</v>
      </c>
      <c r="S3045" s="1"/>
    </row>
    <row r="3046" ht="15.75" customHeight="1">
      <c r="A3046" s="1" t="s">
        <v>6862</v>
      </c>
      <c r="B3046" s="1" t="s">
        <v>6863</v>
      </c>
      <c r="C3046" s="1" t="s">
        <v>1138</v>
      </c>
      <c r="E3046" s="1">
        <v>11.2356928</v>
      </c>
      <c r="F3046" s="1">
        <v>78.1656273</v>
      </c>
      <c r="G3046" s="1" t="s">
        <v>2511</v>
      </c>
      <c r="H3046" s="1" t="s">
        <v>2512</v>
      </c>
      <c r="J3046" s="1" t="s">
        <v>56</v>
      </c>
      <c r="P3046" s="1" t="s">
        <v>1098</v>
      </c>
      <c r="Q3046" s="1" t="s">
        <v>1099</v>
      </c>
      <c r="R3046" s="1">
        <v>0.0</v>
      </c>
      <c r="S3046" s="1"/>
    </row>
    <row r="3047" ht="15.75" customHeight="1">
      <c r="A3047" s="1" t="s">
        <v>6864</v>
      </c>
      <c r="B3047" s="1" t="s">
        <v>6865</v>
      </c>
      <c r="C3047" s="1" t="s">
        <v>151</v>
      </c>
      <c r="E3047" s="1">
        <v>18.5539311</v>
      </c>
      <c r="F3047" s="1">
        <v>73.9476257</v>
      </c>
      <c r="G3047" s="1" t="s">
        <v>2511</v>
      </c>
      <c r="H3047" s="1" t="s">
        <v>2512</v>
      </c>
      <c r="J3047" s="1" t="s">
        <v>56</v>
      </c>
      <c r="P3047" s="1" t="s">
        <v>569</v>
      </c>
      <c r="Q3047" s="1" t="s">
        <v>570</v>
      </c>
      <c r="R3047" s="1">
        <v>1.0</v>
      </c>
      <c r="S3047" s="1"/>
    </row>
    <row r="3048" ht="15.75" customHeight="1">
      <c r="A3048" s="1" t="s">
        <v>6866</v>
      </c>
      <c r="B3048" s="1" t="s">
        <v>6867</v>
      </c>
      <c r="C3048" s="1" t="s">
        <v>1112</v>
      </c>
      <c r="E3048" s="1">
        <v>13.0989817</v>
      </c>
      <c r="F3048" s="1">
        <v>80.1842368</v>
      </c>
      <c r="G3048" s="1" t="s">
        <v>2511</v>
      </c>
      <c r="H3048" s="1" t="s">
        <v>2512</v>
      </c>
      <c r="J3048" s="1" t="s">
        <v>56</v>
      </c>
      <c r="P3048" s="1" t="s">
        <v>1098</v>
      </c>
      <c r="Q3048" s="1" t="s">
        <v>1099</v>
      </c>
      <c r="R3048" s="1">
        <v>0.0</v>
      </c>
      <c r="S3048" s="1"/>
    </row>
    <row r="3049" ht="15.75" customHeight="1">
      <c r="A3049" s="1" t="s">
        <v>6868</v>
      </c>
      <c r="B3049" s="1" t="s">
        <v>6869</v>
      </c>
      <c r="C3049" s="1" t="s">
        <v>511</v>
      </c>
      <c r="E3049" s="1">
        <v>22.8019332</v>
      </c>
      <c r="F3049" s="1">
        <v>86.2050343</v>
      </c>
      <c r="G3049" s="1" t="s">
        <v>2511</v>
      </c>
      <c r="H3049" s="1" t="s">
        <v>2512</v>
      </c>
      <c r="J3049" s="1" t="s">
        <v>118</v>
      </c>
      <c r="P3049" s="1" t="s">
        <v>6870</v>
      </c>
      <c r="Q3049" s="1" t="s">
        <v>6871</v>
      </c>
      <c r="R3049" s="1">
        <v>2.0</v>
      </c>
      <c r="S3049" s="1" t="str">
        <f>IFERROR(__xludf.DUMMYFUNCTION("""COMPUTED_VALUE"""),"store_007455")</f>
        <v>store_007455</v>
      </c>
    </row>
    <row r="3050" ht="15.75" customHeight="1">
      <c r="A3050" s="1" t="s">
        <v>6872</v>
      </c>
      <c r="B3050" s="1" t="s">
        <v>6873</v>
      </c>
      <c r="C3050" s="1" t="s">
        <v>497</v>
      </c>
      <c r="E3050" s="1">
        <v>22.7952005</v>
      </c>
      <c r="F3050" s="1">
        <v>86.1821544</v>
      </c>
      <c r="G3050" s="1" t="s">
        <v>2511</v>
      </c>
      <c r="H3050" s="1" t="s">
        <v>2512</v>
      </c>
      <c r="J3050" s="1" t="s">
        <v>118</v>
      </c>
      <c r="K3050" s="1" t="s">
        <v>99</v>
      </c>
      <c r="L3050" s="1" t="s">
        <v>27</v>
      </c>
      <c r="N3050" s="1" t="s">
        <v>498</v>
      </c>
      <c r="O3050" s="1" t="s">
        <v>29</v>
      </c>
      <c r="P3050" s="1" t="s">
        <v>6870</v>
      </c>
      <c r="Q3050" s="1" t="s">
        <v>6871</v>
      </c>
      <c r="R3050" s="1">
        <v>3.0</v>
      </c>
      <c r="S3050" s="1"/>
    </row>
    <row r="3051" ht="15.75" customHeight="1">
      <c r="A3051" s="1" t="s">
        <v>6874</v>
      </c>
      <c r="B3051" s="1" t="s">
        <v>6875</v>
      </c>
      <c r="C3051" s="1" t="s">
        <v>511</v>
      </c>
      <c r="E3051" s="1">
        <v>22.8016527</v>
      </c>
      <c r="F3051" s="1">
        <v>86.2046285</v>
      </c>
      <c r="G3051" s="1" t="s">
        <v>6419</v>
      </c>
      <c r="H3051" s="1" t="s">
        <v>6420</v>
      </c>
      <c r="P3051" s="1" t="s">
        <v>6870</v>
      </c>
      <c r="Q3051" s="1" t="s">
        <v>6871</v>
      </c>
      <c r="R3051" s="1">
        <v>2.0</v>
      </c>
      <c r="S3051" s="1" t="str">
        <f>IFERROR(__xludf.DUMMYFUNCTION("""COMPUTED_VALUE"""),"")</f>
        <v/>
      </c>
    </row>
    <row r="3052" ht="15.75" customHeight="1">
      <c r="A3052" s="1" t="s">
        <v>6876</v>
      </c>
      <c r="B3052" s="1" t="s">
        <v>6875</v>
      </c>
      <c r="C3052" s="1" t="s">
        <v>6877</v>
      </c>
      <c r="E3052" s="1">
        <v>22.7952005</v>
      </c>
      <c r="F3052" s="1">
        <v>86.1821544</v>
      </c>
      <c r="G3052" s="1" t="s">
        <v>6419</v>
      </c>
      <c r="H3052" s="1" t="s">
        <v>6420</v>
      </c>
      <c r="P3052" s="1" t="s">
        <v>6870</v>
      </c>
      <c r="Q3052" s="1" t="s">
        <v>6871</v>
      </c>
      <c r="R3052" s="1">
        <v>3.0</v>
      </c>
      <c r="S3052" s="1" t="str">
        <f>IFERROR(__xludf.DUMMYFUNCTION("""COMPUTED_VALUE"""),"store_007448")</f>
        <v>store_007448</v>
      </c>
    </row>
    <row r="3053" ht="15.75" customHeight="1">
      <c r="A3053" s="1" t="s">
        <v>6878</v>
      </c>
      <c r="B3053" s="1" t="s">
        <v>6879</v>
      </c>
      <c r="C3053" s="1" t="s">
        <v>511</v>
      </c>
      <c r="E3053" s="1">
        <v>22.8074616</v>
      </c>
      <c r="F3053" s="1">
        <v>86.1157207</v>
      </c>
      <c r="G3053" s="1" t="s">
        <v>2511</v>
      </c>
      <c r="H3053" s="1" t="s">
        <v>2512</v>
      </c>
      <c r="J3053" s="1" t="s">
        <v>118</v>
      </c>
      <c r="P3053" s="1" t="s">
        <v>6870</v>
      </c>
      <c r="Q3053" s="1" t="s">
        <v>6871</v>
      </c>
      <c r="R3053" s="1">
        <v>1.0</v>
      </c>
      <c r="S3053" s="1"/>
    </row>
    <row r="3054" ht="15.75" customHeight="1">
      <c r="A3054" s="1" t="s">
        <v>6880</v>
      </c>
      <c r="B3054" s="1" t="s">
        <v>6881</v>
      </c>
      <c r="C3054" s="1" t="s">
        <v>1786</v>
      </c>
      <c r="E3054" s="1">
        <v>20.2779837</v>
      </c>
      <c r="F3054" s="1">
        <v>85.79535469999999</v>
      </c>
      <c r="G3054" s="1" t="s">
        <v>2511</v>
      </c>
      <c r="H3054" s="1" t="s">
        <v>2512</v>
      </c>
      <c r="J3054" s="1" t="s">
        <v>56</v>
      </c>
      <c r="P3054" s="1" t="s">
        <v>6648</v>
      </c>
      <c r="Q3054" s="1" t="s">
        <v>6649</v>
      </c>
      <c r="R3054" s="1">
        <v>3.0</v>
      </c>
      <c r="S3054" s="1"/>
    </row>
    <row r="3055" ht="15.75" customHeight="1">
      <c r="A3055" s="1" t="s">
        <v>6882</v>
      </c>
      <c r="B3055" s="1" t="s">
        <v>6883</v>
      </c>
      <c r="C3055" s="1" t="s">
        <v>1786</v>
      </c>
      <c r="E3055" s="1">
        <v>20.3547521</v>
      </c>
      <c r="F3055" s="1">
        <v>85.82729119999999</v>
      </c>
      <c r="G3055" s="1" t="s">
        <v>2511</v>
      </c>
      <c r="H3055" s="1" t="s">
        <v>2512</v>
      </c>
      <c r="J3055" s="1" t="s">
        <v>56</v>
      </c>
      <c r="P3055" s="1" t="s">
        <v>6648</v>
      </c>
      <c r="Q3055" s="1" t="s">
        <v>6649</v>
      </c>
      <c r="R3055" s="1">
        <v>5.0</v>
      </c>
      <c r="S3055" s="1"/>
    </row>
    <row r="3056" ht="15.75" customHeight="1">
      <c r="A3056" s="1" t="s">
        <v>6884</v>
      </c>
      <c r="B3056" s="1" t="s">
        <v>6885</v>
      </c>
      <c r="C3056" s="1" t="s">
        <v>6886</v>
      </c>
      <c r="E3056" s="1">
        <v>22.8239198</v>
      </c>
      <c r="F3056" s="1">
        <v>86.2207698</v>
      </c>
      <c r="G3056" s="1" t="s">
        <v>2511</v>
      </c>
      <c r="H3056" s="1" t="s">
        <v>2512</v>
      </c>
      <c r="J3056" s="1" t="s">
        <v>118</v>
      </c>
      <c r="P3056" s="1" t="s">
        <v>6870</v>
      </c>
      <c r="Q3056" s="1" t="s">
        <v>6871</v>
      </c>
      <c r="R3056" s="1">
        <v>1.0</v>
      </c>
      <c r="S3056" s="1"/>
    </row>
    <row r="3057" ht="15.75" customHeight="1">
      <c r="A3057" s="1" t="s">
        <v>6887</v>
      </c>
      <c r="B3057" s="1" t="s">
        <v>6888</v>
      </c>
      <c r="C3057" s="1" t="s">
        <v>6886</v>
      </c>
      <c r="E3057" s="1">
        <v>22.8019332</v>
      </c>
      <c r="F3057" s="1">
        <v>86.2050343</v>
      </c>
      <c r="G3057" s="1" t="s">
        <v>2511</v>
      </c>
      <c r="H3057" s="1" t="s">
        <v>2512</v>
      </c>
      <c r="J3057" s="1" t="s">
        <v>118</v>
      </c>
      <c r="P3057" s="1" t="s">
        <v>6870</v>
      </c>
      <c r="Q3057" s="1" t="s">
        <v>6871</v>
      </c>
      <c r="R3057" s="1">
        <v>2.0</v>
      </c>
      <c r="S3057" s="1" t="str">
        <f>IFERROR(__xludf.DUMMYFUNCTION("""COMPUTED_VALUE"""),"store_007444")</f>
        <v>store_007444</v>
      </c>
    </row>
    <row r="3058" ht="15.75" customHeight="1">
      <c r="A3058" s="1" t="s">
        <v>6889</v>
      </c>
      <c r="B3058" s="1" t="s">
        <v>6890</v>
      </c>
      <c r="C3058" s="1" t="s">
        <v>617</v>
      </c>
      <c r="E3058" s="1">
        <v>26.8942044</v>
      </c>
      <c r="F3058" s="1">
        <v>80.94238</v>
      </c>
      <c r="G3058" s="1" t="s">
        <v>6419</v>
      </c>
      <c r="H3058" s="1" t="s">
        <v>6420</v>
      </c>
      <c r="P3058" s="1" t="s">
        <v>733</v>
      </c>
      <c r="Q3058" s="1" t="s">
        <v>734</v>
      </c>
      <c r="R3058" s="1">
        <v>4.0</v>
      </c>
      <c r="S3058" s="1"/>
    </row>
    <row r="3059" ht="15.75" customHeight="1">
      <c r="A3059" s="1" t="s">
        <v>6891</v>
      </c>
      <c r="B3059" s="1" t="s">
        <v>6892</v>
      </c>
      <c r="C3059" s="1" t="s">
        <v>148</v>
      </c>
      <c r="E3059" s="1">
        <v>19.1699547</v>
      </c>
      <c r="F3059" s="1">
        <v>72.86004539999999</v>
      </c>
      <c r="G3059" s="1" t="s">
        <v>54</v>
      </c>
      <c r="H3059" s="1" t="s">
        <v>55</v>
      </c>
      <c r="P3059" s="1" t="s">
        <v>2300</v>
      </c>
      <c r="Q3059" s="1" t="s">
        <v>2301</v>
      </c>
      <c r="R3059" s="1">
        <v>0.0</v>
      </c>
      <c r="S3059" s="1"/>
    </row>
    <row r="3060" ht="15.75" customHeight="1">
      <c r="A3060" s="1" t="s">
        <v>6893</v>
      </c>
      <c r="B3060" s="1" t="s">
        <v>6894</v>
      </c>
      <c r="C3060" s="1" t="s">
        <v>148</v>
      </c>
      <c r="E3060" s="1">
        <v>19.1142318</v>
      </c>
      <c r="F3060" s="1">
        <v>72.8612493</v>
      </c>
      <c r="G3060" s="1" t="s">
        <v>54</v>
      </c>
      <c r="H3060" s="1" t="s">
        <v>55</v>
      </c>
      <c r="P3060" s="1" t="s">
        <v>2300</v>
      </c>
      <c r="Q3060" s="1" t="s">
        <v>2301</v>
      </c>
      <c r="R3060" s="1">
        <v>0.0</v>
      </c>
      <c r="S3060" s="1"/>
    </row>
    <row r="3061" ht="15.75" customHeight="1">
      <c r="A3061" s="1" t="s">
        <v>6895</v>
      </c>
      <c r="B3061" s="1" t="s">
        <v>6896</v>
      </c>
      <c r="C3061" s="1" t="s">
        <v>6877</v>
      </c>
      <c r="E3061" s="1">
        <v>22.7986055</v>
      </c>
      <c r="F3061" s="1">
        <v>86.18359389999999</v>
      </c>
      <c r="G3061" s="1" t="s">
        <v>54</v>
      </c>
      <c r="H3061" s="1" t="s">
        <v>55</v>
      </c>
      <c r="P3061" s="1" t="s">
        <v>6870</v>
      </c>
      <c r="Q3061" s="1" t="s">
        <v>6871</v>
      </c>
      <c r="R3061" s="1">
        <v>1.0</v>
      </c>
      <c r="S3061" s="1"/>
    </row>
    <row r="3062" ht="15.75" customHeight="1">
      <c r="A3062" s="1" t="s">
        <v>6897</v>
      </c>
      <c r="B3062" s="1" t="s">
        <v>6898</v>
      </c>
      <c r="C3062" s="1" t="s">
        <v>6899</v>
      </c>
      <c r="E3062" s="1">
        <v>22.8215643</v>
      </c>
      <c r="F3062" s="1">
        <v>86.21644440000001</v>
      </c>
      <c r="G3062" s="1" t="s">
        <v>6419</v>
      </c>
      <c r="H3062" s="1" t="s">
        <v>6420</v>
      </c>
      <c r="P3062" s="1" t="s">
        <v>6870</v>
      </c>
      <c r="Q3062" s="1" t="s">
        <v>6871</v>
      </c>
      <c r="R3062" s="1">
        <v>1.0</v>
      </c>
      <c r="S3062" s="1" t="str">
        <f>IFERROR(__xludf.DUMMYFUNCTION("""COMPUTED_VALUE"""),"store_007464")</f>
        <v>store_007464</v>
      </c>
    </row>
    <row r="3063" ht="15.75" customHeight="1">
      <c r="A3063" s="1" t="s">
        <v>6900</v>
      </c>
      <c r="B3063" s="1" t="s">
        <v>6898</v>
      </c>
      <c r="C3063" s="1" t="s">
        <v>6901</v>
      </c>
      <c r="E3063" s="1">
        <v>22.834562</v>
      </c>
      <c r="F3063" s="1">
        <v>86.20244</v>
      </c>
      <c r="G3063" s="1" t="s">
        <v>6419</v>
      </c>
      <c r="H3063" s="1" t="s">
        <v>6420</v>
      </c>
      <c r="P3063" s="1" t="s">
        <v>6870</v>
      </c>
      <c r="Q3063" s="1" t="s">
        <v>6871</v>
      </c>
      <c r="R3063" s="1">
        <v>1.0</v>
      </c>
      <c r="S3063" s="1" t="str">
        <f>IFERROR(__xludf.DUMMYFUNCTION("""COMPUTED_VALUE"""),"store_007463")</f>
        <v>store_007463</v>
      </c>
    </row>
    <row r="3064" ht="15.75" customHeight="1">
      <c r="A3064" s="1" t="s">
        <v>6902</v>
      </c>
      <c r="B3064" s="1" t="s">
        <v>6903</v>
      </c>
      <c r="C3064" s="1" t="s">
        <v>511</v>
      </c>
      <c r="E3064" s="1">
        <v>22.8270316</v>
      </c>
      <c r="F3064" s="1">
        <v>86.2012963</v>
      </c>
      <c r="G3064" s="1" t="s">
        <v>2511</v>
      </c>
      <c r="H3064" s="1" t="s">
        <v>2512</v>
      </c>
      <c r="J3064" s="1" t="s">
        <v>118</v>
      </c>
      <c r="P3064" s="1" t="s">
        <v>6870</v>
      </c>
      <c r="Q3064" s="1" t="s">
        <v>6871</v>
      </c>
      <c r="R3064" s="1">
        <v>1.0</v>
      </c>
      <c r="S3064" s="1"/>
    </row>
    <row r="3065" ht="15.75" customHeight="1">
      <c r="A3065" s="1" t="s">
        <v>6904</v>
      </c>
      <c r="B3065" s="1" t="s">
        <v>6905</v>
      </c>
      <c r="C3065" s="1" t="s">
        <v>6906</v>
      </c>
      <c r="E3065" s="1">
        <v>23.0372845</v>
      </c>
      <c r="F3065" s="1">
        <v>72.5616443</v>
      </c>
      <c r="G3065" s="1" t="s">
        <v>2511</v>
      </c>
      <c r="H3065" s="1" t="s">
        <v>2512</v>
      </c>
      <c r="J3065" s="1" t="s">
        <v>56</v>
      </c>
      <c r="P3065" s="1" t="s">
        <v>6907</v>
      </c>
      <c r="Q3065" s="1" t="s">
        <v>6908</v>
      </c>
      <c r="R3065" s="1">
        <v>2.0</v>
      </c>
      <c r="S3065" s="1"/>
    </row>
    <row r="3066" ht="15.75" customHeight="1">
      <c r="A3066" s="1" t="s">
        <v>6909</v>
      </c>
      <c r="B3066" s="1" t="s">
        <v>6910</v>
      </c>
      <c r="C3066" s="1" t="s">
        <v>1078</v>
      </c>
      <c r="E3066" s="1">
        <v>12.956924</v>
      </c>
      <c r="F3066" s="1">
        <v>77.701127</v>
      </c>
      <c r="G3066" s="1" t="s">
        <v>54</v>
      </c>
      <c r="H3066" s="1" t="s">
        <v>55</v>
      </c>
      <c r="K3066" s="1" t="s">
        <v>26</v>
      </c>
      <c r="L3066" s="1" t="s">
        <v>27</v>
      </c>
      <c r="N3066" s="1" t="s">
        <v>743</v>
      </c>
      <c r="O3066" s="1" t="s">
        <v>57</v>
      </c>
      <c r="P3066" s="1" t="s">
        <v>1079</v>
      </c>
      <c r="Q3066" s="1" t="s">
        <v>1080</v>
      </c>
      <c r="R3066" s="1">
        <v>2.0</v>
      </c>
      <c r="S3066" s="1"/>
    </row>
    <row r="3067" ht="15.75" customHeight="1">
      <c r="A3067" s="1" t="s">
        <v>6911</v>
      </c>
      <c r="B3067" s="1" t="s">
        <v>6912</v>
      </c>
      <c r="C3067" s="1" t="s">
        <v>1078</v>
      </c>
      <c r="E3067" s="1">
        <v>12.9259711</v>
      </c>
      <c r="F3067" s="1">
        <v>77.5620022</v>
      </c>
      <c r="G3067" s="1" t="s">
        <v>54</v>
      </c>
      <c r="H3067" s="1" t="s">
        <v>55</v>
      </c>
      <c r="K3067" s="1" t="s">
        <v>26</v>
      </c>
      <c r="L3067" s="1" t="s">
        <v>27</v>
      </c>
      <c r="N3067" s="1" t="s">
        <v>743</v>
      </c>
      <c r="O3067" s="1" t="s">
        <v>57</v>
      </c>
      <c r="P3067" s="1" t="s">
        <v>1079</v>
      </c>
      <c r="Q3067" s="1" t="s">
        <v>1080</v>
      </c>
      <c r="R3067" s="1">
        <v>2.0</v>
      </c>
      <c r="S3067" s="1"/>
    </row>
    <row r="3068" ht="15.75" customHeight="1">
      <c r="A3068" s="1" t="s">
        <v>6913</v>
      </c>
      <c r="B3068" s="1" t="s">
        <v>6914</v>
      </c>
      <c r="C3068" s="1" t="s">
        <v>1786</v>
      </c>
      <c r="E3068" s="1">
        <v>20.290588</v>
      </c>
      <c r="F3068" s="1">
        <v>85.8114624</v>
      </c>
      <c r="G3068" s="1" t="s">
        <v>2511</v>
      </c>
      <c r="H3068" s="1" t="s">
        <v>2512</v>
      </c>
      <c r="J3068" s="1" t="s">
        <v>56</v>
      </c>
      <c r="P3068" s="1" t="s">
        <v>6648</v>
      </c>
      <c r="Q3068" s="1" t="s">
        <v>6649</v>
      </c>
      <c r="R3068" s="1">
        <v>4.0</v>
      </c>
      <c r="S3068" s="1"/>
    </row>
    <row r="3069" ht="15.75" customHeight="1">
      <c r="A3069" s="1" t="s">
        <v>6915</v>
      </c>
      <c r="B3069" s="1" t="s">
        <v>6916</v>
      </c>
      <c r="C3069" s="1" t="s">
        <v>737</v>
      </c>
      <c r="E3069" s="1">
        <v>22.7459367</v>
      </c>
      <c r="F3069" s="1">
        <v>75.8953248</v>
      </c>
      <c r="G3069" s="1" t="s">
        <v>2511</v>
      </c>
      <c r="H3069" s="1" t="s">
        <v>2512</v>
      </c>
      <c r="J3069" s="1" t="s">
        <v>118</v>
      </c>
      <c r="P3069" s="1" t="s">
        <v>3243</v>
      </c>
      <c r="Q3069" s="1" t="s">
        <v>3244</v>
      </c>
      <c r="R3069" s="1">
        <v>2.0</v>
      </c>
      <c r="S3069" s="1"/>
    </row>
    <row r="3070" ht="15.75" customHeight="1">
      <c r="A3070" s="1" t="s">
        <v>6917</v>
      </c>
      <c r="B3070" s="1" t="s">
        <v>6918</v>
      </c>
      <c r="C3070" s="1" t="s">
        <v>1078</v>
      </c>
      <c r="E3070" s="1">
        <v>12.9148603</v>
      </c>
      <c r="F3070" s="1">
        <v>77.5206395</v>
      </c>
      <c r="G3070" s="1" t="s">
        <v>54</v>
      </c>
      <c r="H3070" s="1" t="s">
        <v>55</v>
      </c>
      <c r="K3070" s="1" t="s">
        <v>26</v>
      </c>
      <c r="L3070" s="1" t="s">
        <v>27</v>
      </c>
      <c r="N3070" s="1" t="s">
        <v>743</v>
      </c>
      <c r="O3070" s="1" t="s">
        <v>57</v>
      </c>
      <c r="P3070" s="1" t="s">
        <v>1079</v>
      </c>
      <c r="Q3070" s="1" t="s">
        <v>1080</v>
      </c>
      <c r="R3070" s="1">
        <v>2.0</v>
      </c>
      <c r="S3070" s="1"/>
    </row>
    <row r="3071" ht="15.75" customHeight="1">
      <c r="A3071" s="1" t="s">
        <v>6919</v>
      </c>
      <c r="B3071" s="1" t="s">
        <v>6920</v>
      </c>
      <c r="C3071" s="1" t="s">
        <v>1078</v>
      </c>
      <c r="E3071" s="1">
        <v>12.9427853</v>
      </c>
      <c r="F3071" s="1">
        <v>77.57792649999999</v>
      </c>
      <c r="G3071" s="1" t="s">
        <v>54</v>
      </c>
      <c r="H3071" s="1" t="s">
        <v>55</v>
      </c>
      <c r="K3071" s="1" t="s">
        <v>26</v>
      </c>
      <c r="L3071" s="1" t="s">
        <v>27</v>
      </c>
      <c r="N3071" s="1" t="s">
        <v>743</v>
      </c>
      <c r="O3071" s="1" t="s">
        <v>57</v>
      </c>
      <c r="P3071" s="1" t="s">
        <v>1079</v>
      </c>
      <c r="Q3071" s="1" t="s">
        <v>1080</v>
      </c>
      <c r="R3071" s="1">
        <v>3.0</v>
      </c>
      <c r="S3071" s="1"/>
    </row>
    <row r="3072" ht="15.75" customHeight="1">
      <c r="A3072" s="1" t="s">
        <v>6921</v>
      </c>
      <c r="B3072" s="1" t="s">
        <v>6922</v>
      </c>
      <c r="C3072" s="1" t="s">
        <v>531</v>
      </c>
      <c r="E3072" s="1">
        <v>22.6377316</v>
      </c>
      <c r="F3072" s="1">
        <v>88.4772184</v>
      </c>
      <c r="G3072" s="1" t="s">
        <v>2511</v>
      </c>
      <c r="H3072" s="1" t="s">
        <v>2512</v>
      </c>
      <c r="J3072" s="1" t="s">
        <v>56</v>
      </c>
      <c r="P3072" s="1" t="s">
        <v>6923</v>
      </c>
      <c r="Q3072" s="1" t="s">
        <v>6924</v>
      </c>
      <c r="R3072" s="1">
        <v>2.0</v>
      </c>
      <c r="S3072" s="1"/>
    </row>
    <row r="3073" ht="15.75" customHeight="1">
      <c r="A3073" s="1" t="s">
        <v>6925</v>
      </c>
      <c r="B3073" s="1" t="s">
        <v>6926</v>
      </c>
      <c r="C3073" s="1" t="s">
        <v>497</v>
      </c>
      <c r="E3073" s="1">
        <v>25.5971049</v>
      </c>
      <c r="F3073" s="1">
        <v>85.15057259999999</v>
      </c>
      <c r="G3073" s="1" t="s">
        <v>2511</v>
      </c>
      <c r="H3073" s="1" t="s">
        <v>2512</v>
      </c>
      <c r="J3073" s="1" t="s">
        <v>118</v>
      </c>
      <c r="P3073" s="1" t="s">
        <v>6870</v>
      </c>
      <c r="Q3073" s="1" t="s">
        <v>6871</v>
      </c>
      <c r="R3073" s="1">
        <v>1.0</v>
      </c>
      <c r="S3073" s="1"/>
    </row>
    <row r="3074" ht="15.75" customHeight="1">
      <c r="A3074" s="1" t="s">
        <v>6927</v>
      </c>
      <c r="B3074" s="1" t="s">
        <v>6928</v>
      </c>
      <c r="C3074" s="1" t="s">
        <v>497</v>
      </c>
      <c r="E3074" s="1">
        <v>25.6118765</v>
      </c>
      <c r="F3074" s="1">
        <v>85.1428772</v>
      </c>
      <c r="G3074" s="1" t="s">
        <v>2511</v>
      </c>
      <c r="H3074" s="1" t="s">
        <v>2512</v>
      </c>
      <c r="J3074" s="1" t="s">
        <v>56</v>
      </c>
      <c r="P3074" s="1" t="s">
        <v>6870</v>
      </c>
      <c r="Q3074" s="1" t="s">
        <v>6871</v>
      </c>
      <c r="R3074" s="1">
        <v>1.0</v>
      </c>
      <c r="S3074" s="1"/>
    </row>
    <row r="3075" ht="15.75" customHeight="1">
      <c r="A3075" s="1" t="s">
        <v>6929</v>
      </c>
      <c r="B3075" s="1" t="s">
        <v>6930</v>
      </c>
      <c r="C3075" s="1" t="s">
        <v>497</v>
      </c>
      <c r="E3075" s="1">
        <v>25.598443</v>
      </c>
      <c r="F3075" s="1">
        <v>85.2033197</v>
      </c>
      <c r="G3075" s="1" t="s">
        <v>2511</v>
      </c>
      <c r="H3075" s="1" t="s">
        <v>2512</v>
      </c>
      <c r="J3075" s="1" t="s">
        <v>118</v>
      </c>
      <c r="P3075" s="1" t="s">
        <v>6870</v>
      </c>
      <c r="Q3075" s="1" t="s">
        <v>6871</v>
      </c>
      <c r="R3075" s="1">
        <v>1.0</v>
      </c>
      <c r="S3075" s="1"/>
    </row>
    <row r="3076" ht="15.75" customHeight="1">
      <c r="A3076" s="1" t="s">
        <v>6931</v>
      </c>
      <c r="B3076" s="1" t="s">
        <v>6932</v>
      </c>
      <c r="C3076" s="1" t="s">
        <v>497</v>
      </c>
      <c r="E3076" s="1">
        <v>25.2150184</v>
      </c>
      <c r="F3076" s="1">
        <v>84.7488475</v>
      </c>
      <c r="G3076" s="1" t="s">
        <v>2511</v>
      </c>
      <c r="H3076" s="1" t="s">
        <v>2512</v>
      </c>
      <c r="J3076" s="1" t="s">
        <v>56</v>
      </c>
      <c r="P3076" s="1" t="s">
        <v>6870</v>
      </c>
      <c r="Q3076" s="1" t="s">
        <v>6871</v>
      </c>
      <c r="R3076" s="1">
        <v>1.0</v>
      </c>
      <c r="S3076" s="1"/>
    </row>
    <row r="3077" ht="15.75" customHeight="1">
      <c r="A3077" s="1" t="s">
        <v>6933</v>
      </c>
      <c r="B3077" s="1" t="s">
        <v>6934</v>
      </c>
      <c r="C3077" s="1" t="s">
        <v>497</v>
      </c>
      <c r="E3077" s="1">
        <v>25.5868971</v>
      </c>
      <c r="F3077" s="1">
        <v>85.1377394</v>
      </c>
      <c r="G3077" s="1" t="s">
        <v>2511</v>
      </c>
      <c r="H3077" s="1" t="s">
        <v>2512</v>
      </c>
      <c r="J3077" s="1" t="s">
        <v>44</v>
      </c>
      <c r="P3077" s="1" t="s">
        <v>6870</v>
      </c>
      <c r="Q3077" s="1" t="s">
        <v>6871</v>
      </c>
      <c r="R3077" s="1">
        <v>1.0</v>
      </c>
      <c r="S3077" s="1"/>
    </row>
    <row r="3078" ht="15.75" customHeight="1">
      <c r="A3078" s="1" t="s">
        <v>6935</v>
      </c>
      <c r="B3078" s="1" t="s">
        <v>6936</v>
      </c>
      <c r="C3078" s="1" t="s">
        <v>497</v>
      </c>
      <c r="E3078" s="1">
        <v>25.5612983</v>
      </c>
      <c r="F3078" s="1">
        <v>84.8656847</v>
      </c>
      <c r="G3078" s="1" t="s">
        <v>2511</v>
      </c>
      <c r="H3078" s="1" t="s">
        <v>2512</v>
      </c>
      <c r="J3078" s="1" t="s">
        <v>56</v>
      </c>
      <c r="P3078" s="1" t="s">
        <v>6870</v>
      </c>
      <c r="Q3078" s="1" t="s">
        <v>6871</v>
      </c>
      <c r="R3078" s="1">
        <v>1.0</v>
      </c>
      <c r="S3078" s="1"/>
    </row>
    <row r="3079" ht="15.75" customHeight="1">
      <c r="A3079" s="1" t="s">
        <v>6937</v>
      </c>
      <c r="B3079" s="1" t="s">
        <v>6938</v>
      </c>
      <c r="C3079" s="1" t="s">
        <v>497</v>
      </c>
      <c r="E3079" s="1">
        <v>25.588049</v>
      </c>
      <c r="F3079" s="1">
        <v>85.093569</v>
      </c>
      <c r="G3079" s="1" t="s">
        <v>2511</v>
      </c>
      <c r="H3079" s="1" t="s">
        <v>2512</v>
      </c>
      <c r="J3079" s="1" t="s">
        <v>56</v>
      </c>
      <c r="P3079" s="1" t="s">
        <v>6870</v>
      </c>
      <c r="Q3079" s="1" t="s">
        <v>6871</v>
      </c>
      <c r="R3079" s="1">
        <v>1.0</v>
      </c>
      <c r="S3079" s="1"/>
    </row>
    <row r="3080" ht="15.75" customHeight="1">
      <c r="A3080" s="1" t="s">
        <v>6939</v>
      </c>
      <c r="B3080" s="1" t="s">
        <v>6940</v>
      </c>
      <c r="C3080" s="1" t="s">
        <v>497</v>
      </c>
      <c r="E3080" s="1">
        <v>25.6070152</v>
      </c>
      <c r="F3080" s="1">
        <v>85.0911924</v>
      </c>
      <c r="G3080" s="1" t="s">
        <v>2511</v>
      </c>
      <c r="H3080" s="1" t="s">
        <v>2512</v>
      </c>
      <c r="J3080" s="1" t="s">
        <v>118</v>
      </c>
      <c r="P3080" s="1" t="s">
        <v>6870</v>
      </c>
      <c r="Q3080" s="1" t="s">
        <v>6871</v>
      </c>
      <c r="R3080" s="1">
        <v>1.0</v>
      </c>
      <c r="S3080" s="1"/>
    </row>
    <row r="3081" ht="15.75" customHeight="1">
      <c r="A3081" s="1" t="s">
        <v>6941</v>
      </c>
      <c r="B3081" s="1" t="s">
        <v>6942</v>
      </c>
      <c r="C3081" s="1" t="s">
        <v>497</v>
      </c>
      <c r="E3081" s="1">
        <v>25.592679</v>
      </c>
      <c r="F3081" s="1">
        <v>85.123233</v>
      </c>
      <c r="G3081" s="1" t="s">
        <v>2511</v>
      </c>
      <c r="H3081" s="1" t="s">
        <v>2512</v>
      </c>
      <c r="J3081" s="1" t="s">
        <v>56</v>
      </c>
      <c r="P3081" s="1" t="s">
        <v>6870</v>
      </c>
      <c r="Q3081" s="1" t="s">
        <v>6871</v>
      </c>
      <c r="R3081" s="1">
        <v>1.0</v>
      </c>
      <c r="S3081" s="1"/>
    </row>
    <row r="3082" ht="15.75" customHeight="1">
      <c r="A3082" s="1" t="s">
        <v>6943</v>
      </c>
      <c r="B3082" s="1" t="s">
        <v>6944</v>
      </c>
      <c r="C3082" s="1" t="s">
        <v>497</v>
      </c>
      <c r="E3082" s="1">
        <v>25.6120405</v>
      </c>
      <c r="F3082" s="1">
        <v>85.14039869999999</v>
      </c>
      <c r="G3082" s="1" t="s">
        <v>2511</v>
      </c>
      <c r="H3082" s="1" t="s">
        <v>2512</v>
      </c>
      <c r="J3082" s="1" t="s">
        <v>56</v>
      </c>
      <c r="P3082" s="1" t="s">
        <v>6870</v>
      </c>
      <c r="Q3082" s="1" t="s">
        <v>6871</v>
      </c>
      <c r="R3082" s="1">
        <v>1.0</v>
      </c>
      <c r="S3082" s="1"/>
    </row>
    <row r="3083" ht="15.75" customHeight="1">
      <c r="A3083" s="1" t="s">
        <v>6945</v>
      </c>
      <c r="B3083" s="1" t="s">
        <v>6946</v>
      </c>
      <c r="C3083" s="1" t="s">
        <v>497</v>
      </c>
      <c r="E3083" s="1">
        <v>25.6001098</v>
      </c>
      <c r="F3083" s="1">
        <v>85.15075680000001</v>
      </c>
      <c r="G3083" s="1" t="s">
        <v>2511</v>
      </c>
      <c r="H3083" s="1" t="s">
        <v>2512</v>
      </c>
      <c r="J3083" s="1" t="s">
        <v>56</v>
      </c>
      <c r="K3083" s="1" t="s">
        <v>99</v>
      </c>
      <c r="L3083" s="1" t="s">
        <v>27</v>
      </c>
      <c r="N3083" s="1" t="s">
        <v>498</v>
      </c>
      <c r="O3083" s="1" t="s">
        <v>29</v>
      </c>
      <c r="P3083" s="1" t="s">
        <v>6870</v>
      </c>
      <c r="Q3083" s="1" t="s">
        <v>6871</v>
      </c>
      <c r="R3083" s="1">
        <v>3.0</v>
      </c>
      <c r="S3083" s="1"/>
    </row>
    <row r="3084" ht="15.75" customHeight="1">
      <c r="A3084" s="1" t="s">
        <v>6947</v>
      </c>
      <c r="B3084" s="1" t="s">
        <v>6948</v>
      </c>
      <c r="C3084" s="1" t="s">
        <v>746</v>
      </c>
      <c r="E3084" s="1">
        <v>25.7591292</v>
      </c>
      <c r="F3084" s="1">
        <v>84.1526859</v>
      </c>
      <c r="G3084" s="1" t="s">
        <v>6096</v>
      </c>
      <c r="H3084" s="1" t="s">
        <v>6097</v>
      </c>
      <c r="I3084" s="1" t="s">
        <v>1799</v>
      </c>
      <c r="K3084" s="1" t="s">
        <v>2892</v>
      </c>
      <c r="L3084" s="1" t="s">
        <v>27</v>
      </c>
      <c r="N3084" s="1" t="s">
        <v>28</v>
      </c>
      <c r="O3084" s="1" t="s">
        <v>29</v>
      </c>
      <c r="P3084" s="1" t="s">
        <v>6138</v>
      </c>
      <c r="Q3084" s="1" t="s">
        <v>6139</v>
      </c>
      <c r="R3084" s="1">
        <v>0.0</v>
      </c>
      <c r="S3084" s="1"/>
    </row>
    <row r="3085" ht="15.75" customHeight="1">
      <c r="A3085" s="1" t="s">
        <v>6949</v>
      </c>
      <c r="B3085" s="1" t="s">
        <v>6950</v>
      </c>
      <c r="C3085" s="1" t="s">
        <v>746</v>
      </c>
      <c r="E3085" s="1">
        <v>25.2740023</v>
      </c>
      <c r="F3085" s="1">
        <v>82.96730219999999</v>
      </c>
      <c r="G3085" s="1" t="s">
        <v>6096</v>
      </c>
      <c r="H3085" s="1" t="s">
        <v>6097</v>
      </c>
      <c r="I3085" s="1" t="s">
        <v>1799</v>
      </c>
      <c r="K3085" s="1" t="s">
        <v>2892</v>
      </c>
      <c r="L3085" s="1" t="s">
        <v>27</v>
      </c>
      <c r="N3085" s="1" t="s">
        <v>28</v>
      </c>
      <c r="O3085" s="1" t="s">
        <v>29</v>
      </c>
      <c r="P3085" s="1" t="s">
        <v>6138</v>
      </c>
      <c r="Q3085" s="1" t="s">
        <v>6139</v>
      </c>
      <c r="R3085" s="1">
        <v>1.0</v>
      </c>
      <c r="S3085" s="1"/>
    </row>
    <row r="3086" ht="15.75" customHeight="1">
      <c r="A3086" s="1" t="s">
        <v>6951</v>
      </c>
      <c r="B3086" s="1" t="s">
        <v>6952</v>
      </c>
      <c r="C3086" s="1" t="s">
        <v>746</v>
      </c>
      <c r="E3086" s="1">
        <v>26.0508707</v>
      </c>
      <c r="F3086" s="1">
        <v>83.16924449999999</v>
      </c>
      <c r="G3086" s="1" t="s">
        <v>6096</v>
      </c>
      <c r="H3086" s="1" t="s">
        <v>6097</v>
      </c>
      <c r="I3086" s="1" t="s">
        <v>1799</v>
      </c>
      <c r="K3086" s="1" t="s">
        <v>2892</v>
      </c>
      <c r="L3086" s="1" t="s">
        <v>27</v>
      </c>
      <c r="N3086" s="1" t="s">
        <v>28</v>
      </c>
      <c r="O3086" s="1" t="s">
        <v>57</v>
      </c>
      <c r="P3086" s="1" t="s">
        <v>6138</v>
      </c>
      <c r="Q3086" s="1" t="s">
        <v>6139</v>
      </c>
      <c r="R3086" s="1">
        <v>0.0</v>
      </c>
      <c r="S3086" s="1"/>
    </row>
    <row r="3087" ht="15.75" customHeight="1">
      <c r="A3087" s="1" t="s">
        <v>6953</v>
      </c>
      <c r="B3087" s="1" t="s">
        <v>6954</v>
      </c>
      <c r="C3087" s="1" t="s">
        <v>746</v>
      </c>
      <c r="E3087" s="1">
        <v>25.4493075</v>
      </c>
      <c r="F3087" s="1">
        <v>82.8442749</v>
      </c>
      <c r="G3087" s="1" t="s">
        <v>6096</v>
      </c>
      <c r="H3087" s="1" t="s">
        <v>6097</v>
      </c>
      <c r="I3087" s="1" t="s">
        <v>1799</v>
      </c>
      <c r="K3087" s="1" t="s">
        <v>2892</v>
      </c>
      <c r="L3087" s="1" t="s">
        <v>27</v>
      </c>
      <c r="N3087" s="1" t="s">
        <v>28</v>
      </c>
      <c r="O3087" s="1" t="s">
        <v>29</v>
      </c>
      <c r="P3087" s="1" t="s">
        <v>6138</v>
      </c>
      <c r="Q3087" s="1" t="s">
        <v>6139</v>
      </c>
      <c r="R3087" s="1">
        <v>1.0</v>
      </c>
      <c r="S3087" s="1"/>
    </row>
    <row r="3088" ht="15.75" customHeight="1">
      <c r="A3088" s="1" t="s">
        <v>6955</v>
      </c>
      <c r="B3088" s="1" t="s">
        <v>6956</v>
      </c>
      <c r="C3088" s="1" t="s">
        <v>746</v>
      </c>
      <c r="E3088" s="1">
        <v>25.2638073</v>
      </c>
      <c r="F3088" s="1">
        <v>83.0293904</v>
      </c>
      <c r="G3088" s="1" t="s">
        <v>6096</v>
      </c>
      <c r="H3088" s="1" t="s">
        <v>6097</v>
      </c>
      <c r="I3088" s="1" t="s">
        <v>1799</v>
      </c>
      <c r="K3088" s="1" t="s">
        <v>2892</v>
      </c>
      <c r="L3088" s="1" t="s">
        <v>27</v>
      </c>
      <c r="N3088" s="1" t="s">
        <v>28</v>
      </c>
      <c r="O3088" s="1" t="s">
        <v>29</v>
      </c>
      <c r="P3088" s="1" t="s">
        <v>6138</v>
      </c>
      <c r="Q3088" s="1" t="s">
        <v>6139</v>
      </c>
      <c r="R3088" s="1">
        <v>1.0</v>
      </c>
      <c r="S3088" s="1"/>
    </row>
    <row r="3089" ht="15.75" customHeight="1">
      <c r="A3089" s="1" t="s">
        <v>6957</v>
      </c>
      <c r="B3089" s="1" t="s">
        <v>6958</v>
      </c>
      <c r="C3089" s="1" t="s">
        <v>497</v>
      </c>
      <c r="E3089" s="1">
        <v>25.6161141</v>
      </c>
      <c r="F3089" s="1">
        <v>85.0825988</v>
      </c>
      <c r="G3089" s="1" t="s">
        <v>2511</v>
      </c>
      <c r="H3089" s="1" t="s">
        <v>2512</v>
      </c>
      <c r="J3089" s="1" t="s">
        <v>56</v>
      </c>
      <c r="P3089" s="1" t="s">
        <v>6870</v>
      </c>
      <c r="Q3089" s="1" t="s">
        <v>6871</v>
      </c>
      <c r="R3089" s="1">
        <v>3.0</v>
      </c>
      <c r="S3089" s="1"/>
    </row>
    <row r="3090" ht="15.75" customHeight="1">
      <c r="A3090" s="1" t="s">
        <v>6959</v>
      </c>
      <c r="B3090" s="1" t="s">
        <v>6960</v>
      </c>
      <c r="C3090" s="1" t="s">
        <v>6906</v>
      </c>
      <c r="E3090" s="1">
        <v>23.2848676</v>
      </c>
      <c r="F3090" s="1">
        <v>72.3908043</v>
      </c>
      <c r="G3090" s="1" t="s">
        <v>2511</v>
      </c>
      <c r="H3090" s="1" t="s">
        <v>2512</v>
      </c>
      <c r="P3090" s="1" t="s">
        <v>6961</v>
      </c>
      <c r="Q3090" s="1" t="s">
        <v>6962</v>
      </c>
      <c r="R3090" s="1">
        <v>1.0</v>
      </c>
      <c r="S3090" s="1"/>
    </row>
    <row r="3091" ht="15.75" customHeight="1">
      <c r="A3091" s="1" t="s">
        <v>6963</v>
      </c>
      <c r="B3091" s="1" t="s">
        <v>6964</v>
      </c>
      <c r="C3091" s="1" t="s">
        <v>737</v>
      </c>
      <c r="E3091" s="1">
        <v>22.7689937</v>
      </c>
      <c r="F3091" s="1">
        <v>75.90063049999999</v>
      </c>
      <c r="G3091" s="1" t="s">
        <v>2511</v>
      </c>
      <c r="H3091" s="1" t="s">
        <v>2512</v>
      </c>
      <c r="P3091" s="1" t="s">
        <v>3243</v>
      </c>
      <c r="Q3091" s="1" t="s">
        <v>3244</v>
      </c>
      <c r="R3091" s="1">
        <v>1.0</v>
      </c>
      <c r="S3091" s="1"/>
    </row>
    <row r="3092" ht="15.75" customHeight="1">
      <c r="A3092" s="1" t="s">
        <v>6965</v>
      </c>
      <c r="B3092" s="1" t="s">
        <v>6966</v>
      </c>
      <c r="C3092" s="1" t="s">
        <v>737</v>
      </c>
      <c r="E3092" s="1">
        <v>22.718898</v>
      </c>
      <c r="F3092" s="1">
        <v>75.863377</v>
      </c>
      <c r="G3092" s="1" t="s">
        <v>2511</v>
      </c>
      <c r="H3092" s="1" t="s">
        <v>2512</v>
      </c>
      <c r="P3092" s="1" t="s">
        <v>3243</v>
      </c>
      <c r="Q3092" s="1" t="s">
        <v>3244</v>
      </c>
      <c r="R3092" s="1">
        <v>1.0</v>
      </c>
      <c r="S3092" s="1"/>
    </row>
    <row r="3093" ht="15.75" customHeight="1">
      <c r="A3093" s="1" t="s">
        <v>6967</v>
      </c>
      <c r="B3093" s="1" t="s">
        <v>6968</v>
      </c>
      <c r="C3093" s="1" t="s">
        <v>1786</v>
      </c>
      <c r="E3093" s="1">
        <v>20.255316</v>
      </c>
      <c r="F3093" s="1">
        <v>85.8475349</v>
      </c>
      <c r="G3093" s="1" t="s">
        <v>6419</v>
      </c>
      <c r="H3093" s="1" t="s">
        <v>6420</v>
      </c>
      <c r="P3093" s="1" t="s">
        <v>6454</v>
      </c>
      <c r="Q3093" s="1" t="s">
        <v>6455</v>
      </c>
      <c r="R3093" s="1">
        <v>2.0</v>
      </c>
      <c r="S3093" s="1"/>
    </row>
    <row r="3094" ht="15.75" customHeight="1">
      <c r="A3094" s="1" t="s">
        <v>6969</v>
      </c>
      <c r="B3094" s="1" t="s">
        <v>6970</v>
      </c>
      <c r="C3094" s="1" t="s">
        <v>38</v>
      </c>
      <c r="E3094" s="1">
        <v>28.5819194</v>
      </c>
      <c r="F3094" s="1">
        <v>77.36636179999999</v>
      </c>
      <c r="G3094" s="1" t="s">
        <v>6419</v>
      </c>
      <c r="H3094" s="1" t="s">
        <v>6420</v>
      </c>
      <c r="K3094" s="1" t="s">
        <v>99</v>
      </c>
      <c r="L3094" s="1" t="s">
        <v>27</v>
      </c>
      <c r="N3094" s="1" t="s">
        <v>28</v>
      </c>
      <c r="O3094" s="1" t="s">
        <v>29</v>
      </c>
      <c r="P3094" s="1" t="s">
        <v>6971</v>
      </c>
      <c r="Q3094" s="1" t="s">
        <v>6972</v>
      </c>
      <c r="R3094" s="1">
        <v>4.0</v>
      </c>
      <c r="S3094" s="1"/>
    </row>
    <row r="3095" ht="15.75" customHeight="1">
      <c r="A3095" s="1" t="s">
        <v>6973</v>
      </c>
      <c r="B3095" s="1" t="s">
        <v>6974</v>
      </c>
      <c r="C3095" s="1" t="s">
        <v>21</v>
      </c>
      <c r="E3095" s="1">
        <v>28.5565222</v>
      </c>
      <c r="F3095" s="1">
        <v>77.3461284</v>
      </c>
      <c r="G3095" s="1" t="s">
        <v>6419</v>
      </c>
      <c r="H3095" s="1" t="s">
        <v>6420</v>
      </c>
      <c r="P3095" s="1" t="s">
        <v>6971</v>
      </c>
      <c r="Q3095" s="1" t="s">
        <v>6972</v>
      </c>
      <c r="R3095" s="1">
        <v>3.0</v>
      </c>
      <c r="S3095" s="1"/>
    </row>
    <row r="3096" ht="15.75" customHeight="1">
      <c r="A3096" s="1" t="s">
        <v>6975</v>
      </c>
      <c r="B3096" s="1" t="s">
        <v>6976</v>
      </c>
      <c r="C3096" s="1" t="s">
        <v>765</v>
      </c>
      <c r="E3096" s="1">
        <v>26.7836398</v>
      </c>
      <c r="F3096" s="1">
        <v>83.38563219999999</v>
      </c>
      <c r="G3096" s="1" t="s">
        <v>6096</v>
      </c>
      <c r="H3096" s="1" t="s">
        <v>6097</v>
      </c>
      <c r="I3096" s="1" t="s">
        <v>1799</v>
      </c>
      <c r="K3096" s="1" t="s">
        <v>2892</v>
      </c>
      <c r="L3096" s="1" t="s">
        <v>27</v>
      </c>
      <c r="N3096" s="1" t="s">
        <v>28</v>
      </c>
      <c r="O3096" s="1" t="s">
        <v>29</v>
      </c>
      <c r="P3096" s="1" t="s">
        <v>733</v>
      </c>
      <c r="Q3096" s="1" t="s">
        <v>734</v>
      </c>
      <c r="R3096" s="1">
        <v>2.0</v>
      </c>
      <c r="S3096" s="1"/>
    </row>
    <row r="3097" ht="15.75" customHeight="1">
      <c r="A3097" s="1" t="s">
        <v>6977</v>
      </c>
      <c r="B3097" s="1" t="s">
        <v>6978</v>
      </c>
      <c r="C3097" s="1" t="s">
        <v>765</v>
      </c>
      <c r="E3097" s="1">
        <v>26.7476607</v>
      </c>
      <c r="F3097" s="1">
        <v>83.4151284</v>
      </c>
      <c r="G3097" s="1" t="s">
        <v>6096</v>
      </c>
      <c r="H3097" s="1" t="s">
        <v>6097</v>
      </c>
      <c r="I3097" s="1" t="s">
        <v>1799</v>
      </c>
      <c r="K3097" s="1" t="s">
        <v>2892</v>
      </c>
      <c r="L3097" s="1" t="s">
        <v>27</v>
      </c>
      <c r="N3097" s="1" t="s">
        <v>28</v>
      </c>
      <c r="O3097" s="1" t="s">
        <v>29</v>
      </c>
      <c r="P3097" s="1" t="s">
        <v>733</v>
      </c>
      <c r="Q3097" s="1" t="s">
        <v>734</v>
      </c>
      <c r="R3097" s="1">
        <v>2.0</v>
      </c>
      <c r="S3097" s="1"/>
    </row>
    <row r="3098" ht="15.75" customHeight="1">
      <c r="A3098" s="1" t="s">
        <v>6979</v>
      </c>
      <c r="B3098" s="1" t="s">
        <v>6980</v>
      </c>
      <c r="C3098" s="1" t="s">
        <v>737</v>
      </c>
      <c r="E3098" s="1">
        <v>22.7194689</v>
      </c>
      <c r="F3098" s="1">
        <v>75.8563714</v>
      </c>
      <c r="G3098" s="1" t="s">
        <v>6419</v>
      </c>
      <c r="H3098" s="1" t="s">
        <v>6420</v>
      </c>
      <c r="P3098" s="1" t="s">
        <v>3243</v>
      </c>
      <c r="Q3098" s="1" t="s">
        <v>3244</v>
      </c>
      <c r="R3098" s="1">
        <v>2.0</v>
      </c>
      <c r="S3098" s="1" t="str">
        <f>IFERROR(__xludf.DUMMYFUNCTION("""COMPUTED_VALUE"""),"store_007581")</f>
        <v>store_007581</v>
      </c>
    </row>
    <row r="3099" ht="15.75" customHeight="1">
      <c r="A3099" s="1" t="s">
        <v>6981</v>
      </c>
      <c r="B3099" s="1" t="s">
        <v>6982</v>
      </c>
      <c r="C3099" s="1" t="s">
        <v>765</v>
      </c>
      <c r="E3099" s="1">
        <v>26.5034391</v>
      </c>
      <c r="F3099" s="1">
        <v>83.7808665</v>
      </c>
      <c r="G3099" s="1" t="s">
        <v>6096</v>
      </c>
      <c r="H3099" s="1" t="s">
        <v>6097</v>
      </c>
      <c r="I3099" s="1" t="s">
        <v>1799</v>
      </c>
      <c r="K3099" s="1" t="s">
        <v>2892</v>
      </c>
      <c r="L3099" s="1" t="s">
        <v>27</v>
      </c>
      <c r="N3099" s="1" t="s">
        <v>28</v>
      </c>
      <c r="O3099" s="1" t="s">
        <v>29</v>
      </c>
      <c r="P3099" s="1" t="s">
        <v>733</v>
      </c>
      <c r="Q3099" s="1" t="s">
        <v>734</v>
      </c>
      <c r="R3099" s="1">
        <v>2.0</v>
      </c>
      <c r="S3099" s="1"/>
    </row>
    <row r="3100" ht="15.75" customHeight="1">
      <c r="A3100" s="1" t="s">
        <v>6983</v>
      </c>
      <c r="B3100" s="1" t="s">
        <v>6984</v>
      </c>
      <c r="C3100" s="1" t="s">
        <v>6906</v>
      </c>
      <c r="E3100" s="1">
        <v>23.1055115</v>
      </c>
      <c r="F3100" s="1">
        <v>72.5864817</v>
      </c>
      <c r="G3100" s="1" t="s">
        <v>2511</v>
      </c>
      <c r="H3100" s="1" t="s">
        <v>2512</v>
      </c>
      <c r="P3100" s="1" t="s">
        <v>6961</v>
      </c>
      <c r="Q3100" s="1" t="s">
        <v>6962</v>
      </c>
      <c r="R3100" s="1">
        <v>2.0</v>
      </c>
      <c r="S3100" s="1"/>
    </row>
    <row r="3101" ht="15.75" customHeight="1">
      <c r="A3101" s="1" t="s">
        <v>6985</v>
      </c>
      <c r="B3101" s="1" t="s">
        <v>6986</v>
      </c>
      <c r="C3101" s="1" t="s">
        <v>174</v>
      </c>
      <c r="E3101" s="1">
        <v>28.78598959999999</v>
      </c>
      <c r="F3101" s="1">
        <v>77.2738516</v>
      </c>
      <c r="G3101" s="1" t="s">
        <v>2511</v>
      </c>
      <c r="H3101" s="1" t="s">
        <v>2512</v>
      </c>
      <c r="P3101" s="1" t="s">
        <v>2513</v>
      </c>
      <c r="Q3101" s="1" t="s">
        <v>2514</v>
      </c>
      <c r="R3101" s="1">
        <v>1.0</v>
      </c>
      <c r="S3101" s="1"/>
    </row>
    <row r="3102" ht="15.75" customHeight="1">
      <c r="A3102" s="1" t="s">
        <v>6987</v>
      </c>
      <c r="B3102" s="1" t="s">
        <v>6988</v>
      </c>
      <c r="C3102" s="1" t="s">
        <v>1209</v>
      </c>
      <c r="E3102" s="1">
        <v>10.0500073</v>
      </c>
      <c r="F3102" s="1">
        <v>76.31966</v>
      </c>
      <c r="G3102" s="1" t="s">
        <v>2112</v>
      </c>
      <c r="H3102" s="1" t="s">
        <v>2113</v>
      </c>
      <c r="P3102" s="1" t="s">
        <v>6989</v>
      </c>
      <c r="Q3102" s="1" t="s">
        <v>6990</v>
      </c>
      <c r="R3102" s="1">
        <v>4.0</v>
      </c>
      <c r="S3102" s="1"/>
    </row>
    <row r="3103" ht="15.75" customHeight="1">
      <c r="A3103" s="1" t="s">
        <v>6991</v>
      </c>
      <c r="B3103" s="1" t="s">
        <v>6992</v>
      </c>
      <c r="C3103" s="1" t="s">
        <v>1209</v>
      </c>
      <c r="E3103" s="1">
        <v>28.5545475</v>
      </c>
      <c r="F3103" s="1">
        <v>77.3456095</v>
      </c>
      <c r="G3103" s="1" t="s">
        <v>2112</v>
      </c>
      <c r="H3103" s="1" t="s">
        <v>2113</v>
      </c>
      <c r="K3103" s="1" t="s">
        <v>1910</v>
      </c>
      <c r="L3103" s="1" t="s">
        <v>1911</v>
      </c>
      <c r="N3103" s="1" t="s">
        <v>1210</v>
      </c>
      <c r="O3103" s="1" t="s">
        <v>29</v>
      </c>
      <c r="P3103" s="1" t="s">
        <v>6989</v>
      </c>
      <c r="Q3103" s="1" t="s">
        <v>6990</v>
      </c>
      <c r="R3103" s="1">
        <v>3.0</v>
      </c>
      <c r="S3103" s="1"/>
    </row>
    <row r="3104" ht="15.75" customHeight="1">
      <c r="A3104" s="1" t="s">
        <v>6993</v>
      </c>
      <c r="B3104" s="1" t="s">
        <v>6994</v>
      </c>
      <c r="C3104" s="1" t="s">
        <v>6995</v>
      </c>
      <c r="E3104" s="1">
        <v>19.1041078</v>
      </c>
      <c r="F3104" s="1">
        <v>72.8901185</v>
      </c>
      <c r="G3104" s="1" t="s">
        <v>6419</v>
      </c>
      <c r="H3104" s="1" t="s">
        <v>6420</v>
      </c>
      <c r="P3104" s="1" t="s">
        <v>6996</v>
      </c>
      <c r="Q3104" s="1" t="s">
        <v>6997</v>
      </c>
      <c r="R3104" s="1">
        <v>2.0</v>
      </c>
      <c r="S3104" s="1"/>
    </row>
    <row r="3105" ht="15.75" customHeight="1">
      <c r="A3105" s="1" t="s">
        <v>6998</v>
      </c>
      <c r="B3105" s="1" t="s">
        <v>6999</v>
      </c>
      <c r="C3105" s="1" t="s">
        <v>7000</v>
      </c>
      <c r="E3105" s="1">
        <v>19.127981</v>
      </c>
      <c r="F3105" s="1">
        <v>72.82524649999999</v>
      </c>
      <c r="G3105" s="1" t="s">
        <v>6419</v>
      </c>
      <c r="H3105" s="1" t="s">
        <v>6420</v>
      </c>
      <c r="P3105" s="1" t="s">
        <v>6996</v>
      </c>
      <c r="Q3105" s="1" t="s">
        <v>6997</v>
      </c>
      <c r="R3105" s="1">
        <v>3.0</v>
      </c>
      <c r="S3105" s="1"/>
    </row>
    <row r="3106" ht="15.75" customHeight="1">
      <c r="A3106" s="1" t="s">
        <v>7001</v>
      </c>
      <c r="B3106" s="1" t="s">
        <v>7002</v>
      </c>
      <c r="C3106" s="1" t="s">
        <v>148</v>
      </c>
      <c r="E3106" s="1">
        <v>19.1314669</v>
      </c>
      <c r="F3106" s="1">
        <v>72.8312368</v>
      </c>
      <c r="G3106" s="1" t="s">
        <v>6419</v>
      </c>
      <c r="H3106" s="1" t="s">
        <v>6420</v>
      </c>
      <c r="K3106" s="1" t="s">
        <v>99</v>
      </c>
      <c r="L3106" s="1" t="s">
        <v>27</v>
      </c>
      <c r="N3106" s="1" t="s">
        <v>143</v>
      </c>
      <c r="O3106" s="1" t="s">
        <v>29</v>
      </c>
      <c r="P3106" s="1" t="s">
        <v>6996</v>
      </c>
      <c r="Q3106" s="1" t="s">
        <v>6997</v>
      </c>
      <c r="R3106" s="1">
        <v>1.0</v>
      </c>
      <c r="S3106" s="1"/>
    </row>
    <row r="3107" ht="15.75" customHeight="1">
      <c r="A3107" s="1" t="s">
        <v>7003</v>
      </c>
      <c r="B3107" s="1" t="s">
        <v>7004</v>
      </c>
      <c r="C3107" s="1" t="s">
        <v>6995</v>
      </c>
      <c r="E3107" s="1">
        <v>19.1109368</v>
      </c>
      <c r="F3107" s="1">
        <v>72.8508602</v>
      </c>
      <c r="G3107" s="1" t="s">
        <v>6419</v>
      </c>
      <c r="H3107" s="1" t="s">
        <v>6420</v>
      </c>
      <c r="P3107" s="1" t="s">
        <v>6996</v>
      </c>
      <c r="Q3107" s="1" t="s">
        <v>6997</v>
      </c>
      <c r="R3107" s="1">
        <v>2.0</v>
      </c>
      <c r="S3107" s="1"/>
    </row>
    <row r="3108" ht="15.75" customHeight="1">
      <c r="A3108" s="1" t="s">
        <v>7005</v>
      </c>
      <c r="B3108" s="1" t="s">
        <v>7006</v>
      </c>
      <c r="C3108" s="1" t="s">
        <v>7007</v>
      </c>
      <c r="E3108" s="1">
        <v>18.5515804</v>
      </c>
      <c r="F3108" s="1">
        <v>73.9377435</v>
      </c>
      <c r="G3108" s="1" t="s">
        <v>2511</v>
      </c>
      <c r="H3108" s="1" t="s">
        <v>2512</v>
      </c>
      <c r="P3108" s="1" t="s">
        <v>2239</v>
      </c>
      <c r="Q3108" s="1" t="s">
        <v>2240</v>
      </c>
      <c r="R3108" s="1">
        <v>2.0</v>
      </c>
      <c r="S3108" s="1"/>
    </row>
    <row r="3109" ht="15.75" customHeight="1">
      <c r="A3109" s="1" t="s">
        <v>7008</v>
      </c>
      <c r="B3109" s="1" t="s">
        <v>7009</v>
      </c>
      <c r="C3109" s="1" t="s">
        <v>162</v>
      </c>
      <c r="E3109" s="1">
        <v>28.482235</v>
      </c>
      <c r="F3109" s="1">
        <v>77.3003701</v>
      </c>
      <c r="G3109" s="1" t="s">
        <v>2511</v>
      </c>
      <c r="H3109" s="1" t="s">
        <v>2512</v>
      </c>
      <c r="P3109" s="1" t="s">
        <v>7010</v>
      </c>
      <c r="Q3109" s="1" t="s">
        <v>7011</v>
      </c>
      <c r="R3109" s="1">
        <v>1.0</v>
      </c>
      <c r="S3109" s="1"/>
    </row>
    <row r="3110" ht="15.75" customHeight="1">
      <c r="A3110" s="1" t="s">
        <v>7012</v>
      </c>
      <c r="B3110" s="1" t="s">
        <v>7013</v>
      </c>
      <c r="C3110" s="1" t="s">
        <v>737</v>
      </c>
      <c r="E3110" s="1">
        <v>22.7165771</v>
      </c>
      <c r="F3110" s="1">
        <v>75.8576487</v>
      </c>
      <c r="G3110" s="1" t="s">
        <v>6419</v>
      </c>
      <c r="H3110" s="1" t="s">
        <v>6420</v>
      </c>
      <c r="K3110" s="1" t="s">
        <v>99</v>
      </c>
      <c r="L3110" s="1" t="s">
        <v>27</v>
      </c>
      <c r="N3110" s="1" t="s">
        <v>732</v>
      </c>
      <c r="O3110" s="1" t="s">
        <v>29</v>
      </c>
      <c r="P3110" s="1" t="s">
        <v>3243</v>
      </c>
      <c r="Q3110" s="1" t="s">
        <v>3244</v>
      </c>
      <c r="R3110" s="1">
        <v>5.0</v>
      </c>
      <c r="S3110" s="1"/>
    </row>
    <row r="3111" ht="15.75" customHeight="1">
      <c r="A3111" s="1" t="s">
        <v>7014</v>
      </c>
      <c r="B3111" s="1" t="s">
        <v>7015</v>
      </c>
      <c r="C3111" s="1" t="s">
        <v>737</v>
      </c>
      <c r="E3111" s="1">
        <v>22.7399827</v>
      </c>
      <c r="F3111" s="1">
        <v>75.880389</v>
      </c>
      <c r="G3111" s="1" t="s">
        <v>6419</v>
      </c>
      <c r="H3111" s="1" t="s">
        <v>6420</v>
      </c>
      <c r="K3111" s="1" t="s">
        <v>99</v>
      </c>
      <c r="L3111" s="1" t="s">
        <v>27</v>
      </c>
      <c r="N3111" s="1" t="s">
        <v>732</v>
      </c>
      <c r="O3111" s="1" t="s">
        <v>29</v>
      </c>
      <c r="P3111" s="1" t="s">
        <v>3243</v>
      </c>
      <c r="Q3111" s="1" t="s">
        <v>3244</v>
      </c>
      <c r="R3111" s="1">
        <v>8.0</v>
      </c>
      <c r="S3111" s="1"/>
    </row>
    <row r="3112" ht="15.75" customHeight="1">
      <c r="A3112" s="1" t="s">
        <v>7016</v>
      </c>
      <c r="B3112" s="1" t="s">
        <v>7017</v>
      </c>
      <c r="C3112" s="1" t="s">
        <v>737</v>
      </c>
      <c r="E3112" s="1">
        <v>22.7440496</v>
      </c>
      <c r="F3112" s="1">
        <v>75.8446848</v>
      </c>
      <c r="G3112" s="1" t="s">
        <v>6419</v>
      </c>
      <c r="H3112" s="1" t="s">
        <v>6420</v>
      </c>
      <c r="P3112" s="1" t="s">
        <v>3243</v>
      </c>
      <c r="Q3112" s="1" t="s">
        <v>3244</v>
      </c>
      <c r="R3112" s="1">
        <v>12.0</v>
      </c>
      <c r="S3112" s="1"/>
    </row>
    <row r="3113" ht="15.75" customHeight="1">
      <c r="A3113" s="1" t="s">
        <v>7018</v>
      </c>
      <c r="B3113" s="1" t="s">
        <v>7019</v>
      </c>
      <c r="C3113" s="1" t="s">
        <v>737</v>
      </c>
      <c r="E3113" s="1">
        <v>22.7066869</v>
      </c>
      <c r="F3113" s="1">
        <v>75.8779375</v>
      </c>
      <c r="G3113" s="1" t="s">
        <v>6419</v>
      </c>
      <c r="H3113" s="1" t="s">
        <v>6420</v>
      </c>
      <c r="P3113" s="1" t="s">
        <v>3243</v>
      </c>
      <c r="Q3113" s="1" t="s">
        <v>3244</v>
      </c>
      <c r="R3113" s="1">
        <v>1.0</v>
      </c>
      <c r="S3113" s="1"/>
    </row>
    <row r="3114" ht="15.75" customHeight="1">
      <c r="A3114" s="1" t="s">
        <v>7020</v>
      </c>
      <c r="B3114" s="1" t="s">
        <v>7021</v>
      </c>
      <c r="C3114" s="1" t="s">
        <v>737</v>
      </c>
      <c r="E3114" s="1">
        <v>22.7167437</v>
      </c>
      <c r="F3114" s="1">
        <v>75.86356289999999</v>
      </c>
      <c r="G3114" s="1" t="s">
        <v>2511</v>
      </c>
      <c r="H3114" s="1" t="s">
        <v>2512</v>
      </c>
      <c r="P3114" s="1" t="s">
        <v>3243</v>
      </c>
      <c r="Q3114" s="1" t="s">
        <v>3244</v>
      </c>
      <c r="R3114" s="1">
        <v>2.0</v>
      </c>
      <c r="S3114" s="1"/>
    </row>
    <row r="3115" ht="15.75" customHeight="1">
      <c r="A3115" s="1" t="s">
        <v>7022</v>
      </c>
      <c r="B3115" s="1" t="s">
        <v>7023</v>
      </c>
      <c r="C3115" s="1" t="s">
        <v>7024</v>
      </c>
      <c r="E3115" s="1">
        <v>9.9829863</v>
      </c>
      <c r="F3115" s="1">
        <v>76.3076091</v>
      </c>
      <c r="G3115" s="1" t="s">
        <v>2112</v>
      </c>
      <c r="H3115" s="1" t="s">
        <v>2113</v>
      </c>
      <c r="P3115" s="1" t="s">
        <v>6989</v>
      </c>
      <c r="Q3115" s="1" t="s">
        <v>6990</v>
      </c>
      <c r="R3115" s="1">
        <v>3.0</v>
      </c>
      <c r="S3115" s="1"/>
    </row>
    <row r="3116" ht="15.75" customHeight="1">
      <c r="A3116" s="1" t="s">
        <v>7025</v>
      </c>
      <c r="B3116" s="1" t="s">
        <v>7026</v>
      </c>
      <c r="C3116" s="1" t="s">
        <v>7027</v>
      </c>
      <c r="E3116" s="1">
        <v>28.536558</v>
      </c>
      <c r="F3116" s="1">
        <v>77.26974899999999</v>
      </c>
      <c r="G3116" s="1" t="s">
        <v>2112</v>
      </c>
      <c r="H3116" s="1" t="s">
        <v>2113</v>
      </c>
      <c r="P3116" s="1" t="s">
        <v>6989</v>
      </c>
      <c r="Q3116" s="1" t="s">
        <v>6990</v>
      </c>
      <c r="R3116" s="1">
        <v>5.0</v>
      </c>
      <c r="S3116" s="1"/>
    </row>
    <row r="3117" ht="15.75" customHeight="1">
      <c r="A3117" s="1" t="s">
        <v>7028</v>
      </c>
      <c r="B3117" s="1" t="s">
        <v>7029</v>
      </c>
      <c r="C3117" s="1" t="s">
        <v>174</v>
      </c>
      <c r="E3117" s="1">
        <v>28.6591777</v>
      </c>
      <c r="F3117" s="1">
        <v>77.2096174</v>
      </c>
      <c r="G3117" s="1" t="s">
        <v>2112</v>
      </c>
      <c r="H3117" s="1" t="s">
        <v>2113</v>
      </c>
      <c r="P3117" s="1" t="s">
        <v>7030</v>
      </c>
      <c r="Q3117" s="1" t="s">
        <v>7031</v>
      </c>
      <c r="R3117" s="1">
        <v>1.0</v>
      </c>
      <c r="S3117" s="1"/>
    </row>
    <row r="3118" ht="15.75" customHeight="1">
      <c r="A3118" s="1" t="s">
        <v>7032</v>
      </c>
      <c r="B3118" s="1" t="s">
        <v>7033</v>
      </c>
      <c r="C3118" s="1" t="s">
        <v>215</v>
      </c>
      <c r="E3118" s="1">
        <v>22.9941147</v>
      </c>
      <c r="F3118" s="1">
        <v>72.596572</v>
      </c>
      <c r="G3118" s="1" t="s">
        <v>2511</v>
      </c>
      <c r="H3118" s="1" t="s">
        <v>2512</v>
      </c>
      <c r="P3118" s="1" t="s">
        <v>6961</v>
      </c>
      <c r="Q3118" s="1" t="s">
        <v>6962</v>
      </c>
      <c r="R3118" s="1">
        <v>1.0</v>
      </c>
      <c r="S3118" s="1"/>
    </row>
    <row r="3119" ht="15.75" customHeight="1">
      <c r="A3119" s="1" t="s">
        <v>7034</v>
      </c>
      <c r="B3119" s="1" t="s">
        <v>7035</v>
      </c>
      <c r="C3119" s="1" t="s">
        <v>215</v>
      </c>
      <c r="E3119" s="1">
        <v>22.9628106</v>
      </c>
      <c r="F3119" s="1">
        <v>72.63508689999999</v>
      </c>
      <c r="G3119" s="1" t="s">
        <v>2511</v>
      </c>
      <c r="H3119" s="1" t="s">
        <v>2512</v>
      </c>
      <c r="P3119" s="1" t="s">
        <v>6961</v>
      </c>
      <c r="Q3119" s="1" t="s">
        <v>6962</v>
      </c>
      <c r="R3119" s="1">
        <v>1.0</v>
      </c>
      <c r="S3119" s="1"/>
    </row>
    <row r="3120" ht="15.75" customHeight="1">
      <c r="A3120" s="1" t="s">
        <v>7036</v>
      </c>
      <c r="B3120" s="1" t="s">
        <v>7037</v>
      </c>
      <c r="C3120" s="1" t="s">
        <v>21</v>
      </c>
      <c r="E3120" s="1">
        <v>28.570313</v>
      </c>
      <c r="F3120" s="1">
        <v>77.32629399999999</v>
      </c>
      <c r="G3120" s="1" t="s">
        <v>97</v>
      </c>
      <c r="H3120" s="1" t="s">
        <v>98</v>
      </c>
      <c r="P3120" s="1" t="s">
        <v>7038</v>
      </c>
      <c r="Q3120" s="1" t="s">
        <v>7039</v>
      </c>
      <c r="R3120" s="1">
        <v>3.0</v>
      </c>
      <c r="S3120" s="1"/>
    </row>
    <row r="3121" ht="15.75" customHeight="1">
      <c r="A3121" s="1" t="s">
        <v>7040</v>
      </c>
      <c r="B3121" s="1" t="s">
        <v>7041</v>
      </c>
      <c r="C3121" s="1" t="s">
        <v>2291</v>
      </c>
      <c r="E3121" s="1">
        <v>10.0600185</v>
      </c>
      <c r="F3121" s="1">
        <v>76.3211568</v>
      </c>
      <c r="G3121" s="1" t="s">
        <v>2112</v>
      </c>
      <c r="H3121" s="1" t="s">
        <v>2113</v>
      </c>
      <c r="P3121" s="1" t="s">
        <v>1211</v>
      </c>
      <c r="Q3121" s="1" t="s">
        <v>1212</v>
      </c>
      <c r="R3121" s="1">
        <v>1.0</v>
      </c>
      <c r="S3121" s="1"/>
    </row>
    <row r="3122" ht="15.75" customHeight="1">
      <c r="A3122" s="1" t="s">
        <v>7042</v>
      </c>
      <c r="B3122" s="1" t="s">
        <v>7043</v>
      </c>
      <c r="C3122" s="1" t="s">
        <v>2291</v>
      </c>
      <c r="E3122" s="1">
        <v>9.9497505</v>
      </c>
      <c r="F3122" s="1">
        <v>76.3470555</v>
      </c>
      <c r="G3122" s="1" t="s">
        <v>2112</v>
      </c>
      <c r="H3122" s="1" t="s">
        <v>2113</v>
      </c>
      <c r="P3122" s="1" t="s">
        <v>1211</v>
      </c>
      <c r="Q3122" s="1" t="s">
        <v>1212</v>
      </c>
      <c r="R3122" s="1">
        <v>1.0</v>
      </c>
      <c r="S3122" s="1"/>
    </row>
    <row r="3123" ht="15.75" customHeight="1">
      <c r="A3123" s="1" t="s">
        <v>7044</v>
      </c>
      <c r="B3123" s="1" t="s">
        <v>7045</v>
      </c>
      <c r="C3123" s="1" t="s">
        <v>2291</v>
      </c>
      <c r="E3123" s="1">
        <v>9.9806185</v>
      </c>
      <c r="F3123" s="1">
        <v>76.2877249</v>
      </c>
      <c r="G3123" s="1" t="s">
        <v>2112</v>
      </c>
      <c r="H3123" s="1" t="s">
        <v>2113</v>
      </c>
      <c r="P3123" s="1" t="s">
        <v>1211</v>
      </c>
      <c r="Q3123" s="1" t="s">
        <v>1212</v>
      </c>
      <c r="R3123" s="1">
        <v>2.0</v>
      </c>
      <c r="S3123" s="1"/>
    </row>
    <row r="3124" ht="15.75" customHeight="1">
      <c r="A3124" s="1" t="s">
        <v>7046</v>
      </c>
      <c r="B3124" s="1" t="s">
        <v>7047</v>
      </c>
      <c r="C3124" s="1" t="s">
        <v>215</v>
      </c>
      <c r="E3124" s="1">
        <v>23.215846</v>
      </c>
      <c r="F3124" s="1">
        <v>72.6488289</v>
      </c>
      <c r="G3124" s="1" t="s">
        <v>54</v>
      </c>
      <c r="H3124" s="1" t="s">
        <v>55</v>
      </c>
      <c r="K3124" s="1" t="s">
        <v>2892</v>
      </c>
      <c r="L3124" s="1" t="s">
        <v>27</v>
      </c>
      <c r="N3124" s="1" t="s">
        <v>216</v>
      </c>
      <c r="O3124" s="1" t="s">
        <v>29</v>
      </c>
      <c r="P3124" s="1" t="s">
        <v>6961</v>
      </c>
      <c r="Q3124" s="1" t="s">
        <v>6962</v>
      </c>
      <c r="R3124" s="1">
        <v>2.0</v>
      </c>
      <c r="S3124" s="1"/>
    </row>
    <row r="3125" ht="15.75" customHeight="1">
      <c r="A3125" s="1" t="s">
        <v>7048</v>
      </c>
      <c r="B3125" s="1" t="s">
        <v>7049</v>
      </c>
      <c r="C3125" s="1" t="s">
        <v>7050</v>
      </c>
      <c r="E3125" s="1">
        <v>23.0781109</v>
      </c>
      <c r="F3125" s="1">
        <v>72.6538106</v>
      </c>
      <c r="G3125" s="1" t="s">
        <v>54</v>
      </c>
      <c r="H3125" s="1" t="s">
        <v>55</v>
      </c>
      <c r="P3125" s="1" t="s">
        <v>6961</v>
      </c>
      <c r="Q3125" s="1" t="s">
        <v>6962</v>
      </c>
      <c r="R3125" s="1">
        <v>8.0</v>
      </c>
      <c r="S3125" s="1" t="str">
        <f>IFERROR(__xludf.DUMMYFUNCTION("""COMPUTED_VALUE"""),"")</f>
        <v/>
      </c>
    </row>
    <row r="3126" ht="15.75" customHeight="1">
      <c r="A3126" s="1" t="s">
        <v>7051</v>
      </c>
      <c r="B3126" s="1" t="s">
        <v>7049</v>
      </c>
      <c r="C3126" s="1" t="s">
        <v>7052</v>
      </c>
      <c r="E3126" s="1">
        <v>23.0392438</v>
      </c>
      <c r="F3126" s="1">
        <v>72.63052979999999</v>
      </c>
      <c r="G3126" s="1" t="s">
        <v>54</v>
      </c>
      <c r="H3126" s="1" t="s">
        <v>55</v>
      </c>
      <c r="P3126" s="1" t="s">
        <v>6961</v>
      </c>
      <c r="Q3126" s="1" t="s">
        <v>6962</v>
      </c>
      <c r="R3126" s="1">
        <v>8.0</v>
      </c>
      <c r="S3126" s="1" t="str">
        <f>IFERROR(__xludf.DUMMYFUNCTION("""COMPUTED_VALUE"""),"")</f>
        <v/>
      </c>
    </row>
    <row r="3127" ht="15.75" customHeight="1">
      <c r="A3127" s="1" t="s">
        <v>7053</v>
      </c>
      <c r="B3127" s="1" t="s">
        <v>7049</v>
      </c>
      <c r="C3127" s="1" t="s">
        <v>1073</v>
      </c>
      <c r="E3127" s="1">
        <v>23.0392438</v>
      </c>
      <c r="F3127" s="1">
        <v>72.63052979999999</v>
      </c>
      <c r="G3127" s="1" t="s">
        <v>54</v>
      </c>
      <c r="H3127" s="1" t="s">
        <v>55</v>
      </c>
      <c r="P3127" s="1" t="s">
        <v>6961</v>
      </c>
      <c r="Q3127" s="1" t="s">
        <v>6962</v>
      </c>
      <c r="R3127" s="1">
        <v>8.0</v>
      </c>
      <c r="S3127" s="1" t="str">
        <f>IFERROR(__xludf.DUMMYFUNCTION("""COMPUTED_VALUE"""),"")</f>
        <v/>
      </c>
    </row>
    <row r="3128" ht="15.75" customHeight="1">
      <c r="A3128" s="1" t="s">
        <v>7054</v>
      </c>
      <c r="B3128" s="1" t="s">
        <v>7055</v>
      </c>
      <c r="C3128" s="1" t="s">
        <v>7056</v>
      </c>
      <c r="E3128" s="1">
        <v>23.0441868</v>
      </c>
      <c r="F3128" s="1">
        <v>72.5706228</v>
      </c>
      <c r="G3128" s="1" t="s">
        <v>54</v>
      </c>
      <c r="H3128" s="1" t="s">
        <v>55</v>
      </c>
      <c r="P3128" s="1" t="s">
        <v>6961</v>
      </c>
      <c r="Q3128" s="1" t="s">
        <v>6962</v>
      </c>
      <c r="R3128" s="1">
        <v>9.0</v>
      </c>
      <c r="S3128" s="1" t="str">
        <f>IFERROR(__xludf.DUMMYFUNCTION("""COMPUTED_VALUE"""),"store_007554, store_007555, store_007556, store_007558, store_007559, store_007568, store_007569, store_007600, store_007601, store_007602")</f>
        <v>store_007554, store_007555, store_007556, store_007558, store_007559, store_007568, store_007569, store_007600, store_007601, store_007602</v>
      </c>
    </row>
    <row r="3129" ht="15.75" customHeight="1">
      <c r="A3129" s="1" t="s">
        <v>7057</v>
      </c>
      <c r="B3129" s="1" t="s">
        <v>7055</v>
      </c>
      <c r="C3129" s="1" t="s">
        <v>7058</v>
      </c>
      <c r="E3129" s="1">
        <v>23.0392438</v>
      </c>
      <c r="F3129" s="1">
        <v>72.63052979999999</v>
      </c>
      <c r="G3129" s="1" t="s">
        <v>54</v>
      </c>
      <c r="H3129" s="1" t="s">
        <v>55</v>
      </c>
      <c r="P3129" s="1" t="s">
        <v>6961</v>
      </c>
      <c r="Q3129" s="1" t="s">
        <v>6962</v>
      </c>
      <c r="R3129" s="1">
        <v>7.0</v>
      </c>
      <c r="S3129" s="1" t="str">
        <f>IFERROR(__xludf.DUMMYFUNCTION("""COMPUTED_VALUE"""),"")</f>
        <v/>
      </c>
    </row>
    <row r="3130" ht="15.75" customHeight="1">
      <c r="A3130" s="1" t="s">
        <v>7059</v>
      </c>
      <c r="B3130" s="1" t="s">
        <v>7055</v>
      </c>
      <c r="C3130" s="1" t="s">
        <v>7060</v>
      </c>
      <c r="E3130" s="1">
        <v>23.02809</v>
      </c>
      <c r="F3130" s="1">
        <v>72.4765899</v>
      </c>
      <c r="G3130" s="1" t="s">
        <v>54</v>
      </c>
      <c r="H3130" s="1" t="s">
        <v>55</v>
      </c>
      <c r="P3130" s="1" t="s">
        <v>6961</v>
      </c>
      <c r="Q3130" s="1" t="s">
        <v>6962</v>
      </c>
      <c r="R3130" s="1">
        <v>6.0</v>
      </c>
      <c r="S3130" s="1" t="str">
        <f>IFERROR(__xludf.DUMMYFUNCTION("""COMPUTED_VALUE"""),"")</f>
        <v/>
      </c>
    </row>
    <row r="3131" ht="15.75" customHeight="1">
      <c r="A3131" s="1" t="s">
        <v>7061</v>
      </c>
      <c r="B3131" s="1" t="s">
        <v>7062</v>
      </c>
      <c r="C3131" s="1" t="s">
        <v>7063</v>
      </c>
      <c r="E3131" s="1">
        <v>19.2137569</v>
      </c>
      <c r="F3131" s="1">
        <v>73.0865713</v>
      </c>
      <c r="G3131" s="1" t="s">
        <v>2511</v>
      </c>
      <c r="H3131" s="1" t="s">
        <v>2512</v>
      </c>
      <c r="P3131" s="1" t="s">
        <v>6996</v>
      </c>
      <c r="Q3131" s="1" t="s">
        <v>6997</v>
      </c>
      <c r="R3131" s="1">
        <v>1.0</v>
      </c>
      <c r="S3131" s="1"/>
    </row>
    <row r="3132" ht="15.75" customHeight="1">
      <c r="A3132" s="1" t="s">
        <v>7064</v>
      </c>
      <c r="B3132" s="1" t="s">
        <v>7065</v>
      </c>
      <c r="C3132" s="1" t="s">
        <v>151</v>
      </c>
      <c r="E3132" s="1">
        <v>19.193886</v>
      </c>
      <c r="F3132" s="1">
        <v>73.0927425</v>
      </c>
      <c r="G3132" s="1" t="s">
        <v>2511</v>
      </c>
      <c r="H3132" s="1" t="s">
        <v>2512</v>
      </c>
      <c r="K3132" s="1" t="s">
        <v>99</v>
      </c>
      <c r="L3132" s="1" t="s">
        <v>27</v>
      </c>
      <c r="N3132" s="1" t="s">
        <v>143</v>
      </c>
      <c r="O3132" s="1" t="s">
        <v>29</v>
      </c>
      <c r="P3132" s="1" t="s">
        <v>6996</v>
      </c>
      <c r="Q3132" s="1" t="s">
        <v>6997</v>
      </c>
      <c r="R3132" s="1">
        <v>1.0</v>
      </c>
      <c r="S3132" s="1"/>
    </row>
    <row r="3133" ht="15.75" customHeight="1">
      <c r="A3133" s="1" t="s">
        <v>7066</v>
      </c>
      <c r="B3133" s="1" t="s">
        <v>7067</v>
      </c>
      <c r="C3133" s="1" t="s">
        <v>21</v>
      </c>
      <c r="E3133" s="1">
        <v>28.622669</v>
      </c>
      <c r="F3133" s="1">
        <v>77.390365</v>
      </c>
      <c r="G3133" s="1" t="s">
        <v>111</v>
      </c>
      <c r="H3133" s="1" t="s">
        <v>112</v>
      </c>
      <c r="I3133" s="1" t="s">
        <v>24</v>
      </c>
      <c r="P3133" s="1" t="s">
        <v>7068</v>
      </c>
      <c r="Q3133" s="1" t="s">
        <v>7069</v>
      </c>
      <c r="R3133" s="1">
        <v>0.0</v>
      </c>
      <c r="S3133" s="1"/>
    </row>
    <row r="3134" ht="15.75" customHeight="1">
      <c r="A3134" s="1" t="s">
        <v>7070</v>
      </c>
      <c r="B3134" s="1" t="s">
        <v>7055</v>
      </c>
      <c r="C3134" s="1" t="s">
        <v>7071</v>
      </c>
      <c r="E3134" s="1">
        <v>23.071673</v>
      </c>
      <c r="F3134" s="1">
        <v>72.516684</v>
      </c>
      <c r="G3134" s="1" t="s">
        <v>54</v>
      </c>
      <c r="H3134" s="1" t="s">
        <v>55</v>
      </c>
      <c r="P3134" s="1" t="s">
        <v>6961</v>
      </c>
      <c r="Q3134" s="1" t="s">
        <v>6962</v>
      </c>
      <c r="R3134" s="1">
        <v>6.0</v>
      </c>
      <c r="S3134" s="1" t="str">
        <f>IFERROR(__xludf.DUMMYFUNCTION("""COMPUTED_VALUE"""),"")</f>
        <v/>
      </c>
    </row>
    <row r="3135" ht="15.75" customHeight="1">
      <c r="A3135" s="1" t="s">
        <v>7072</v>
      </c>
      <c r="B3135" s="1" t="s">
        <v>7055</v>
      </c>
      <c r="C3135" s="1" t="s">
        <v>7073</v>
      </c>
      <c r="E3135" s="1">
        <v>23.0834924</v>
      </c>
      <c r="F3135" s="1">
        <v>72.546465</v>
      </c>
      <c r="G3135" s="1" t="s">
        <v>54</v>
      </c>
      <c r="H3135" s="1" t="s">
        <v>55</v>
      </c>
      <c r="P3135" s="1" t="s">
        <v>6961</v>
      </c>
      <c r="Q3135" s="1" t="s">
        <v>6962</v>
      </c>
      <c r="R3135" s="1">
        <v>7.0</v>
      </c>
      <c r="S3135" s="1" t="str">
        <f>IFERROR(__xludf.DUMMYFUNCTION("""COMPUTED_VALUE"""),"")</f>
        <v/>
      </c>
    </row>
    <row r="3136" ht="15.75" customHeight="1">
      <c r="A3136" s="1" t="s">
        <v>7074</v>
      </c>
      <c r="B3136" s="1" t="s">
        <v>7075</v>
      </c>
      <c r="C3136" s="1" t="s">
        <v>174</v>
      </c>
      <c r="E3136" s="1">
        <v>28.6630004</v>
      </c>
      <c r="F3136" s="1">
        <v>77.25930199999999</v>
      </c>
      <c r="G3136" s="1" t="s">
        <v>6096</v>
      </c>
      <c r="H3136" s="1" t="s">
        <v>6097</v>
      </c>
      <c r="I3136" s="1" t="s">
        <v>1799</v>
      </c>
      <c r="K3136" s="1" t="s">
        <v>99</v>
      </c>
      <c r="L3136" s="1" t="s">
        <v>27</v>
      </c>
      <c r="N3136" s="1" t="s">
        <v>174</v>
      </c>
      <c r="O3136" s="1" t="s">
        <v>29</v>
      </c>
      <c r="P3136" s="1" t="s">
        <v>6870</v>
      </c>
      <c r="Q3136" s="1" t="s">
        <v>6871</v>
      </c>
      <c r="R3136" s="1">
        <v>1.0</v>
      </c>
      <c r="S3136" s="1"/>
    </row>
    <row r="3137" ht="15.75" customHeight="1">
      <c r="A3137" s="1" t="s">
        <v>7076</v>
      </c>
      <c r="B3137" s="1" t="s">
        <v>7077</v>
      </c>
      <c r="C3137" s="1" t="s">
        <v>7078</v>
      </c>
      <c r="E3137" s="1">
        <v>28.677296</v>
      </c>
      <c r="F3137" s="1">
        <v>77.28914619999999</v>
      </c>
      <c r="G3137" s="1" t="s">
        <v>6096</v>
      </c>
      <c r="H3137" s="1" t="s">
        <v>6097</v>
      </c>
      <c r="I3137" s="1" t="s">
        <v>1799</v>
      </c>
      <c r="P3137" s="1" t="s">
        <v>7079</v>
      </c>
      <c r="Q3137" s="1" t="s">
        <v>7080</v>
      </c>
      <c r="R3137" s="1">
        <v>3.0</v>
      </c>
      <c r="S3137" s="1"/>
    </row>
    <row r="3138" ht="15.75" customHeight="1">
      <c r="A3138" s="1" t="s">
        <v>7081</v>
      </c>
      <c r="B3138" s="1" t="s">
        <v>7082</v>
      </c>
      <c r="C3138" s="1" t="s">
        <v>7083</v>
      </c>
      <c r="E3138" s="1">
        <v>28.6588465</v>
      </c>
      <c r="F3138" s="1">
        <v>77.2837667</v>
      </c>
      <c r="G3138" s="1" t="s">
        <v>6096</v>
      </c>
      <c r="H3138" s="1" t="s">
        <v>6097</v>
      </c>
      <c r="I3138" s="1" t="s">
        <v>1799</v>
      </c>
      <c r="P3138" s="1" t="s">
        <v>6870</v>
      </c>
      <c r="Q3138" s="1" t="s">
        <v>6871</v>
      </c>
      <c r="R3138" s="1">
        <v>2.0</v>
      </c>
      <c r="S3138" s="1"/>
    </row>
    <row r="3139" ht="15.75" customHeight="1">
      <c r="A3139" s="1" t="s">
        <v>7084</v>
      </c>
      <c r="B3139" s="1" t="s">
        <v>7085</v>
      </c>
      <c r="C3139" s="1" t="s">
        <v>1078</v>
      </c>
      <c r="E3139" s="1">
        <v>12.9856996</v>
      </c>
      <c r="F3139" s="1">
        <v>77.5807584</v>
      </c>
      <c r="G3139" s="1" t="s">
        <v>2112</v>
      </c>
      <c r="H3139" s="1" t="s">
        <v>2113</v>
      </c>
      <c r="P3139" s="1" t="s">
        <v>1079</v>
      </c>
      <c r="Q3139" s="1" t="s">
        <v>1080</v>
      </c>
      <c r="R3139" s="1">
        <v>1.0</v>
      </c>
      <c r="S3139" s="1"/>
    </row>
    <row r="3140" ht="15.75" customHeight="1">
      <c r="A3140" s="1" t="s">
        <v>7086</v>
      </c>
      <c r="B3140" s="1" t="s">
        <v>7087</v>
      </c>
      <c r="C3140" s="1" t="s">
        <v>7088</v>
      </c>
      <c r="E3140" s="1">
        <v>28.51574</v>
      </c>
      <c r="F3140" s="1">
        <v>77.2057548</v>
      </c>
      <c r="G3140" s="1" t="s">
        <v>6096</v>
      </c>
      <c r="H3140" s="1" t="s">
        <v>6097</v>
      </c>
      <c r="I3140" s="1" t="s">
        <v>1799</v>
      </c>
      <c r="P3140" s="1" t="s">
        <v>7089</v>
      </c>
      <c r="Q3140" s="1" t="s">
        <v>7090</v>
      </c>
      <c r="R3140" s="1">
        <v>1.0</v>
      </c>
      <c r="S3140" s="1"/>
    </row>
    <row r="3141" ht="15.75" customHeight="1">
      <c r="A3141" s="1" t="s">
        <v>7091</v>
      </c>
      <c r="B3141" s="1" t="s">
        <v>7092</v>
      </c>
      <c r="C3141" s="1" t="s">
        <v>1786</v>
      </c>
      <c r="E3141" s="1">
        <v>20.2436596</v>
      </c>
      <c r="F3141" s="1">
        <v>85.85522279999999</v>
      </c>
      <c r="G3141" s="1" t="s">
        <v>97</v>
      </c>
      <c r="H3141" s="1" t="s">
        <v>98</v>
      </c>
      <c r="P3141" s="1" t="s">
        <v>6454</v>
      </c>
      <c r="Q3141" s="1" t="s">
        <v>6455</v>
      </c>
      <c r="R3141" s="1">
        <v>7.0</v>
      </c>
      <c r="S3141" s="1"/>
    </row>
    <row r="3142" ht="15.75" customHeight="1">
      <c r="A3142" s="1" t="s">
        <v>7093</v>
      </c>
      <c r="B3142" s="1" t="s">
        <v>6980</v>
      </c>
      <c r="C3142" s="1" t="s">
        <v>38</v>
      </c>
      <c r="E3142" s="1">
        <v>28.4632197</v>
      </c>
      <c r="F3142" s="1">
        <v>77.5894635</v>
      </c>
      <c r="G3142" s="1" t="s">
        <v>6419</v>
      </c>
      <c r="H3142" s="1" t="s">
        <v>6420</v>
      </c>
      <c r="P3142" s="1" t="s">
        <v>7094</v>
      </c>
      <c r="Q3142" s="1" t="s">
        <v>7095</v>
      </c>
      <c r="R3142" s="1">
        <v>2.0</v>
      </c>
      <c r="S3142" s="1" t="str">
        <f>IFERROR(__xludf.DUMMYFUNCTION("""COMPUTED_VALUE"""),"store_007519")</f>
        <v>store_007519</v>
      </c>
    </row>
    <row r="3143" ht="15.75" customHeight="1">
      <c r="A3143" s="1" t="s">
        <v>7096</v>
      </c>
      <c r="B3143" s="1" t="s">
        <v>7097</v>
      </c>
      <c r="C3143" s="1" t="s">
        <v>151</v>
      </c>
      <c r="E3143" s="1">
        <v>18.5311227</v>
      </c>
      <c r="F3143" s="1">
        <v>73.8711036</v>
      </c>
      <c r="G3143" s="1" t="s">
        <v>2112</v>
      </c>
      <c r="H3143" s="1" t="s">
        <v>2113</v>
      </c>
      <c r="P3143" s="1" t="s">
        <v>2239</v>
      </c>
      <c r="Q3143" s="1" t="s">
        <v>2240</v>
      </c>
      <c r="R3143" s="1">
        <v>1.0</v>
      </c>
      <c r="S3143" s="1"/>
    </row>
    <row r="3144" ht="15.75" customHeight="1">
      <c r="A3144" s="1" t="s">
        <v>7098</v>
      </c>
      <c r="B3144" s="1" t="s">
        <v>7099</v>
      </c>
      <c r="C3144" s="1" t="s">
        <v>148</v>
      </c>
      <c r="E3144" s="1">
        <v>19.0679073</v>
      </c>
      <c r="F3144" s="1">
        <v>72.89472289999999</v>
      </c>
      <c r="G3144" s="1" t="s">
        <v>6419</v>
      </c>
      <c r="H3144" s="1" t="s">
        <v>6420</v>
      </c>
      <c r="P3144" s="1" t="s">
        <v>2300</v>
      </c>
      <c r="Q3144" s="1" t="s">
        <v>2301</v>
      </c>
      <c r="R3144" s="1">
        <v>4.0</v>
      </c>
      <c r="S3144" s="1"/>
    </row>
    <row r="3145" ht="15.75" customHeight="1">
      <c r="A3145" s="1" t="s">
        <v>7100</v>
      </c>
      <c r="B3145" s="1" t="s">
        <v>7101</v>
      </c>
      <c r="C3145" s="1" t="s">
        <v>148</v>
      </c>
      <c r="E3145" s="1">
        <v>19.0957767</v>
      </c>
      <c r="F3145" s="1">
        <v>72.9019332</v>
      </c>
      <c r="G3145" s="1" t="s">
        <v>6419</v>
      </c>
      <c r="H3145" s="1" t="s">
        <v>6420</v>
      </c>
      <c r="P3145" s="1" t="s">
        <v>2300</v>
      </c>
      <c r="Q3145" s="1" t="s">
        <v>2301</v>
      </c>
      <c r="R3145" s="1">
        <v>2.0</v>
      </c>
      <c r="S3145" s="1"/>
    </row>
    <row r="3146" ht="15.75" customHeight="1">
      <c r="A3146" s="1" t="s">
        <v>7102</v>
      </c>
      <c r="B3146" s="1" t="s">
        <v>7103</v>
      </c>
      <c r="C3146" s="1" t="s">
        <v>148</v>
      </c>
      <c r="E3146" s="1">
        <v>19.0521102</v>
      </c>
      <c r="F3146" s="1">
        <v>72.9001454</v>
      </c>
      <c r="G3146" s="1" t="s">
        <v>6419</v>
      </c>
      <c r="H3146" s="1" t="s">
        <v>6420</v>
      </c>
      <c r="P3146" s="1" t="s">
        <v>2300</v>
      </c>
      <c r="Q3146" s="1" t="s">
        <v>2301</v>
      </c>
      <c r="R3146" s="1">
        <v>2.0</v>
      </c>
      <c r="S3146" s="1"/>
    </row>
    <row r="3147" ht="15.75" customHeight="1">
      <c r="A3147" s="1" t="s">
        <v>7104</v>
      </c>
      <c r="B3147" s="1" t="s">
        <v>7105</v>
      </c>
      <c r="C3147" s="1" t="s">
        <v>148</v>
      </c>
      <c r="E3147" s="1">
        <v>19.0457374</v>
      </c>
      <c r="F3147" s="1">
        <v>72.89659040000001</v>
      </c>
      <c r="G3147" s="1" t="s">
        <v>6419</v>
      </c>
      <c r="H3147" s="1" t="s">
        <v>6420</v>
      </c>
      <c r="P3147" s="1" t="s">
        <v>2300</v>
      </c>
      <c r="Q3147" s="1" t="s">
        <v>2301</v>
      </c>
      <c r="R3147" s="1">
        <v>4.0</v>
      </c>
      <c r="S3147" s="1"/>
    </row>
    <row r="3148" ht="15.75" customHeight="1">
      <c r="A3148" s="1" t="s">
        <v>7106</v>
      </c>
      <c r="B3148" s="1" t="s">
        <v>7107</v>
      </c>
      <c r="C3148" s="1" t="s">
        <v>174</v>
      </c>
      <c r="E3148" s="1">
        <v>28.7002653</v>
      </c>
      <c r="F3148" s="1">
        <v>77.1678192</v>
      </c>
      <c r="G3148" s="1" t="s">
        <v>97</v>
      </c>
      <c r="H3148" s="1" t="s">
        <v>98</v>
      </c>
      <c r="P3148" s="1" t="s">
        <v>1767</v>
      </c>
      <c r="Q3148" s="1" t="s">
        <v>1768</v>
      </c>
      <c r="R3148" s="1">
        <v>1.0</v>
      </c>
      <c r="S3148" s="1"/>
    </row>
    <row r="3149" ht="15.75" customHeight="1">
      <c r="A3149" s="1" t="s">
        <v>7108</v>
      </c>
      <c r="B3149" s="1" t="s">
        <v>7109</v>
      </c>
      <c r="C3149" s="1" t="s">
        <v>174</v>
      </c>
      <c r="E3149" s="1">
        <v>28.66561639999999</v>
      </c>
      <c r="F3149" s="1">
        <v>77.14326969999999</v>
      </c>
      <c r="G3149" s="1" t="s">
        <v>97</v>
      </c>
      <c r="H3149" s="1" t="s">
        <v>98</v>
      </c>
      <c r="P3149" s="1" t="s">
        <v>7110</v>
      </c>
      <c r="Q3149" s="1" t="s">
        <v>7111</v>
      </c>
      <c r="R3149" s="1">
        <v>2.0</v>
      </c>
      <c r="S3149" s="1"/>
    </row>
    <row r="3150" ht="15.75" customHeight="1">
      <c r="A3150" s="1" t="s">
        <v>7112</v>
      </c>
      <c r="B3150" s="1" t="s">
        <v>7113</v>
      </c>
      <c r="C3150" s="1" t="s">
        <v>174</v>
      </c>
      <c r="E3150" s="1">
        <v>28.6391104</v>
      </c>
      <c r="F3150" s="1">
        <v>77.28490459999999</v>
      </c>
      <c r="G3150" s="1" t="s">
        <v>97</v>
      </c>
      <c r="H3150" s="1" t="s">
        <v>98</v>
      </c>
      <c r="P3150" s="1" t="s">
        <v>7110</v>
      </c>
      <c r="Q3150" s="1" t="s">
        <v>7111</v>
      </c>
      <c r="R3150" s="1">
        <v>5.0</v>
      </c>
      <c r="S3150" s="1"/>
    </row>
    <row r="3151" ht="15.75" customHeight="1">
      <c r="A3151" s="1" t="s">
        <v>7114</v>
      </c>
      <c r="B3151" s="1" t="s">
        <v>7115</v>
      </c>
      <c r="C3151" s="1" t="s">
        <v>174</v>
      </c>
      <c r="E3151" s="1">
        <v>28.7003354</v>
      </c>
      <c r="F3151" s="1">
        <v>77.2052236</v>
      </c>
      <c r="G3151" s="1" t="s">
        <v>97</v>
      </c>
      <c r="H3151" s="1" t="s">
        <v>98</v>
      </c>
      <c r="K3151" s="1" t="s">
        <v>99</v>
      </c>
      <c r="L3151" s="1" t="s">
        <v>27</v>
      </c>
      <c r="N3151" s="1" t="s">
        <v>174</v>
      </c>
      <c r="O3151" s="1" t="s">
        <v>29</v>
      </c>
      <c r="P3151" s="1" t="s">
        <v>7116</v>
      </c>
      <c r="Q3151" s="1" t="s">
        <v>7117</v>
      </c>
      <c r="R3151" s="1">
        <v>2.0</v>
      </c>
      <c r="S3151" s="1"/>
    </row>
    <row r="3152" ht="15.75" customHeight="1">
      <c r="A3152" s="1" t="s">
        <v>7118</v>
      </c>
      <c r="B3152" s="1" t="s">
        <v>7055</v>
      </c>
      <c r="C3152" s="1" t="s">
        <v>7119</v>
      </c>
      <c r="E3152" s="1">
        <v>23.0892124</v>
      </c>
      <c r="F3152" s="1">
        <v>72.5649392</v>
      </c>
      <c r="G3152" s="1" t="s">
        <v>54</v>
      </c>
      <c r="H3152" s="1" t="s">
        <v>55</v>
      </c>
      <c r="P3152" s="1" t="s">
        <v>6961</v>
      </c>
      <c r="Q3152" s="1" t="s">
        <v>6962</v>
      </c>
      <c r="R3152" s="1">
        <v>4.0</v>
      </c>
      <c r="S3152" s="1" t="str">
        <f>IFERROR(__xludf.DUMMYFUNCTION("""COMPUTED_VALUE"""),"")</f>
        <v/>
      </c>
    </row>
    <row r="3153" ht="15.75" customHeight="1">
      <c r="A3153" s="1" t="s">
        <v>7120</v>
      </c>
      <c r="B3153" s="1" t="s">
        <v>7055</v>
      </c>
      <c r="C3153" s="1" t="s">
        <v>7121</v>
      </c>
      <c r="E3153" s="1">
        <v>23.2411827</v>
      </c>
      <c r="F3153" s="1">
        <v>72.5026518</v>
      </c>
      <c r="G3153" s="1" t="s">
        <v>54</v>
      </c>
      <c r="H3153" s="1" t="s">
        <v>55</v>
      </c>
      <c r="P3153" s="1" t="s">
        <v>6961</v>
      </c>
      <c r="Q3153" s="1" t="s">
        <v>6962</v>
      </c>
      <c r="R3153" s="1">
        <v>1.0</v>
      </c>
      <c r="S3153" s="1" t="str">
        <f>IFERROR(__xludf.DUMMYFUNCTION("""COMPUTED_VALUE"""),"")</f>
        <v/>
      </c>
    </row>
    <row r="3154" ht="15.75" customHeight="1">
      <c r="A3154" s="1" t="s">
        <v>7122</v>
      </c>
      <c r="B3154" s="1" t="s">
        <v>7055</v>
      </c>
      <c r="C3154" s="1" t="s">
        <v>7123</v>
      </c>
      <c r="E3154" s="1">
        <v>23.2667683</v>
      </c>
      <c r="F3154" s="1">
        <v>72.6672123</v>
      </c>
      <c r="G3154" s="1" t="s">
        <v>54</v>
      </c>
      <c r="H3154" s="1" t="s">
        <v>55</v>
      </c>
      <c r="P3154" s="1" t="s">
        <v>6961</v>
      </c>
      <c r="Q3154" s="1" t="s">
        <v>6962</v>
      </c>
      <c r="R3154" s="1">
        <v>2.0</v>
      </c>
      <c r="S3154" s="1" t="str">
        <f>IFERROR(__xludf.DUMMYFUNCTION("""COMPUTED_VALUE"""),"")</f>
        <v/>
      </c>
    </row>
    <row r="3155" ht="15.75" customHeight="1">
      <c r="A3155" s="1" t="s">
        <v>7124</v>
      </c>
      <c r="B3155" s="1" t="s">
        <v>7125</v>
      </c>
      <c r="C3155" s="1" t="s">
        <v>531</v>
      </c>
      <c r="E3155" s="1">
        <v>22.5734996</v>
      </c>
      <c r="F3155" s="1">
        <v>88.4376726</v>
      </c>
      <c r="G3155" s="1" t="s">
        <v>2112</v>
      </c>
      <c r="H3155" s="1" t="s">
        <v>2113</v>
      </c>
      <c r="P3155" s="1" t="s">
        <v>7126</v>
      </c>
      <c r="Q3155" s="1" t="s">
        <v>7127</v>
      </c>
      <c r="R3155" s="1">
        <v>5.0</v>
      </c>
      <c r="S3155" s="1"/>
    </row>
    <row r="3156" ht="15.75" customHeight="1">
      <c r="A3156" s="1" t="s">
        <v>7128</v>
      </c>
      <c r="B3156" s="1" t="s">
        <v>7129</v>
      </c>
      <c r="C3156" s="1" t="s">
        <v>1209</v>
      </c>
      <c r="E3156" s="1">
        <v>10.0144141</v>
      </c>
      <c r="F3156" s="1">
        <v>76.3125089</v>
      </c>
      <c r="G3156" s="1" t="s">
        <v>2511</v>
      </c>
      <c r="H3156" s="1" t="s">
        <v>2512</v>
      </c>
      <c r="J3156" s="1" t="s">
        <v>56</v>
      </c>
      <c r="K3156" s="1" t="s">
        <v>26</v>
      </c>
      <c r="L3156" s="1" t="s">
        <v>27</v>
      </c>
      <c r="N3156" s="1" t="s">
        <v>1210</v>
      </c>
      <c r="O3156" s="1" t="s">
        <v>57</v>
      </c>
      <c r="P3156" s="1" t="s">
        <v>6989</v>
      </c>
      <c r="Q3156" s="1" t="s">
        <v>6990</v>
      </c>
      <c r="R3156" s="1">
        <v>2.0</v>
      </c>
      <c r="S3156" s="1"/>
    </row>
    <row r="3157" ht="15.75" customHeight="1">
      <c r="A3157" s="1" t="s">
        <v>7130</v>
      </c>
      <c r="B3157" s="1" t="s">
        <v>7131</v>
      </c>
      <c r="C3157" s="1" t="s">
        <v>1209</v>
      </c>
      <c r="E3157" s="1">
        <v>9.9540204</v>
      </c>
      <c r="F3157" s="1">
        <v>76.3428713</v>
      </c>
      <c r="G3157" s="1" t="s">
        <v>2511</v>
      </c>
      <c r="H3157" s="1" t="s">
        <v>2512</v>
      </c>
      <c r="J3157" s="1" t="s">
        <v>56</v>
      </c>
      <c r="K3157" s="1" t="s">
        <v>26</v>
      </c>
      <c r="L3157" s="1" t="s">
        <v>27</v>
      </c>
      <c r="N3157" s="1" t="s">
        <v>1210</v>
      </c>
      <c r="O3157" s="1" t="s">
        <v>57</v>
      </c>
      <c r="P3157" s="1" t="s">
        <v>6989</v>
      </c>
      <c r="Q3157" s="1" t="s">
        <v>6990</v>
      </c>
      <c r="R3157" s="1">
        <v>3.0</v>
      </c>
      <c r="S3157" s="1"/>
    </row>
    <row r="3158" ht="15.75" customHeight="1">
      <c r="A3158" s="1" t="s">
        <v>7132</v>
      </c>
      <c r="B3158" s="1" t="s">
        <v>7133</v>
      </c>
      <c r="C3158" s="1" t="s">
        <v>1209</v>
      </c>
      <c r="E3158" s="1">
        <v>10.0308428</v>
      </c>
      <c r="F3158" s="1">
        <v>76.3364093</v>
      </c>
      <c r="G3158" s="1" t="s">
        <v>2511</v>
      </c>
      <c r="H3158" s="1" t="s">
        <v>2512</v>
      </c>
      <c r="J3158" s="1" t="s">
        <v>56</v>
      </c>
      <c r="K3158" s="1" t="s">
        <v>26</v>
      </c>
      <c r="L3158" s="1" t="s">
        <v>27</v>
      </c>
      <c r="N3158" s="1" t="s">
        <v>1210</v>
      </c>
      <c r="O3158" s="1" t="s">
        <v>57</v>
      </c>
      <c r="P3158" s="1" t="s">
        <v>6989</v>
      </c>
      <c r="Q3158" s="1" t="s">
        <v>6990</v>
      </c>
      <c r="R3158" s="1">
        <v>2.0</v>
      </c>
      <c r="S3158" s="1"/>
    </row>
    <row r="3159" ht="15.75" customHeight="1">
      <c r="A3159" s="1" t="s">
        <v>7134</v>
      </c>
      <c r="B3159" s="1" t="s">
        <v>7135</v>
      </c>
      <c r="C3159" s="1" t="s">
        <v>174</v>
      </c>
      <c r="E3159" s="1">
        <v>28.6032708</v>
      </c>
      <c r="F3159" s="1">
        <v>77.05683680000001</v>
      </c>
      <c r="G3159" s="1" t="s">
        <v>97</v>
      </c>
      <c r="H3159" s="1" t="s">
        <v>98</v>
      </c>
      <c r="P3159" s="1" t="s">
        <v>1767</v>
      </c>
      <c r="Q3159" s="1" t="s">
        <v>1768</v>
      </c>
      <c r="R3159" s="1">
        <v>5.0</v>
      </c>
      <c r="S3159" s="1"/>
    </row>
    <row r="3160" ht="15.75" customHeight="1">
      <c r="A3160" s="1" t="s">
        <v>7136</v>
      </c>
      <c r="B3160" s="1" t="s">
        <v>7137</v>
      </c>
      <c r="C3160" s="1" t="s">
        <v>216</v>
      </c>
      <c r="E3160" s="1">
        <v>22.9842466</v>
      </c>
      <c r="F3160" s="1">
        <v>72.5973099</v>
      </c>
      <c r="G3160" s="1" t="s">
        <v>54</v>
      </c>
      <c r="H3160" s="1" t="s">
        <v>55</v>
      </c>
      <c r="P3160" s="1" t="s">
        <v>6961</v>
      </c>
      <c r="Q3160" s="1" t="s">
        <v>6962</v>
      </c>
      <c r="R3160" s="1">
        <v>8.0</v>
      </c>
      <c r="S3160" s="1"/>
    </row>
    <row r="3161" ht="15.75" customHeight="1">
      <c r="A3161" s="1" t="s">
        <v>7138</v>
      </c>
      <c r="B3161" s="1" t="s">
        <v>7139</v>
      </c>
      <c r="C3161" s="1" t="s">
        <v>216</v>
      </c>
      <c r="E3161" s="1">
        <v>23.0312493</v>
      </c>
      <c r="F3161" s="1">
        <v>72.57109729999999</v>
      </c>
      <c r="G3161" s="1" t="s">
        <v>54</v>
      </c>
      <c r="H3161" s="1" t="s">
        <v>55</v>
      </c>
      <c r="P3161" s="1" t="s">
        <v>6961</v>
      </c>
      <c r="Q3161" s="1" t="s">
        <v>6962</v>
      </c>
      <c r="R3161" s="1">
        <v>1.0</v>
      </c>
      <c r="S3161" s="1"/>
    </row>
    <row r="3162" ht="15.75" customHeight="1">
      <c r="A3162" s="1" t="s">
        <v>7140</v>
      </c>
      <c r="B3162" s="1" t="s">
        <v>7141</v>
      </c>
      <c r="C3162" s="1" t="s">
        <v>215</v>
      </c>
      <c r="E3162" s="1">
        <v>23.0205751</v>
      </c>
      <c r="F3162" s="1">
        <v>72.5940206</v>
      </c>
      <c r="G3162" s="1" t="s">
        <v>54</v>
      </c>
      <c r="H3162" s="1" t="s">
        <v>55</v>
      </c>
      <c r="K3162" s="1" t="s">
        <v>2892</v>
      </c>
      <c r="L3162" s="1" t="s">
        <v>27</v>
      </c>
      <c r="N3162" s="1" t="s">
        <v>216</v>
      </c>
      <c r="O3162" s="1" t="s">
        <v>29</v>
      </c>
      <c r="P3162" s="1" t="s">
        <v>6961</v>
      </c>
      <c r="Q3162" s="1" t="s">
        <v>6962</v>
      </c>
      <c r="R3162" s="1">
        <v>7.0</v>
      </c>
      <c r="S3162" s="1"/>
    </row>
    <row r="3163" ht="15.75" customHeight="1">
      <c r="A3163" s="1" t="s">
        <v>7142</v>
      </c>
      <c r="B3163" s="1" t="s">
        <v>7143</v>
      </c>
      <c r="C3163" s="1" t="s">
        <v>215</v>
      </c>
      <c r="E3163" s="1">
        <v>23.0501565</v>
      </c>
      <c r="F3163" s="1">
        <v>72.6701921</v>
      </c>
      <c r="G3163" s="1" t="s">
        <v>54</v>
      </c>
      <c r="H3163" s="1" t="s">
        <v>55</v>
      </c>
      <c r="K3163" s="1" t="s">
        <v>2892</v>
      </c>
      <c r="L3163" s="1" t="s">
        <v>27</v>
      </c>
      <c r="N3163" s="1" t="s">
        <v>216</v>
      </c>
      <c r="O3163" s="1" t="s">
        <v>57</v>
      </c>
      <c r="P3163" s="1" t="s">
        <v>6961</v>
      </c>
      <c r="Q3163" s="1" t="s">
        <v>6962</v>
      </c>
      <c r="R3163" s="1">
        <v>0.0</v>
      </c>
      <c r="S3163" s="1"/>
    </row>
    <row r="3164" ht="15.75" customHeight="1">
      <c r="A3164" s="1" t="s">
        <v>7144</v>
      </c>
      <c r="B3164" s="1" t="s">
        <v>7145</v>
      </c>
      <c r="C3164" s="1" t="s">
        <v>148</v>
      </c>
      <c r="E3164" s="1">
        <v>19.184212</v>
      </c>
      <c r="F3164" s="1">
        <v>73.0438696</v>
      </c>
      <c r="G3164" s="1" t="s">
        <v>6419</v>
      </c>
      <c r="H3164" s="1" t="s">
        <v>6420</v>
      </c>
      <c r="P3164" s="1" t="s">
        <v>2300</v>
      </c>
      <c r="Q3164" s="1" t="s">
        <v>2301</v>
      </c>
      <c r="R3164" s="1">
        <v>2.0</v>
      </c>
      <c r="S3164" s="1"/>
    </row>
    <row r="3165" ht="15.75" customHeight="1">
      <c r="A3165" s="1" t="s">
        <v>7146</v>
      </c>
      <c r="B3165" s="1" t="s">
        <v>7147</v>
      </c>
      <c r="C3165" s="1" t="s">
        <v>148</v>
      </c>
      <c r="E3165" s="1">
        <v>28.460568</v>
      </c>
      <c r="F3165" s="1">
        <v>77.0264579</v>
      </c>
      <c r="G3165" s="1" t="s">
        <v>6419</v>
      </c>
      <c r="H3165" s="1" t="s">
        <v>6420</v>
      </c>
      <c r="P3165" s="1" t="s">
        <v>2300</v>
      </c>
      <c r="Q3165" s="1" t="s">
        <v>2301</v>
      </c>
      <c r="R3165" s="1">
        <v>2.0</v>
      </c>
      <c r="S3165" s="1"/>
    </row>
    <row r="3166" ht="15.75" customHeight="1">
      <c r="A3166" s="1" t="s">
        <v>7148</v>
      </c>
      <c r="B3166" s="1" t="s">
        <v>7149</v>
      </c>
      <c r="C3166" s="1" t="s">
        <v>174</v>
      </c>
      <c r="E3166" s="1">
        <v>28.75289029999999</v>
      </c>
      <c r="F3166" s="1">
        <v>77.1991429</v>
      </c>
      <c r="G3166" s="1" t="s">
        <v>97</v>
      </c>
      <c r="H3166" s="1" t="s">
        <v>98</v>
      </c>
      <c r="J3166" s="1" t="s">
        <v>56</v>
      </c>
      <c r="P3166" s="1" t="s">
        <v>1767</v>
      </c>
      <c r="Q3166" s="1" t="s">
        <v>1768</v>
      </c>
      <c r="R3166" s="1">
        <v>1.0</v>
      </c>
      <c r="S3166" s="1"/>
    </row>
    <row r="3167" ht="15.75" customHeight="1">
      <c r="A3167" s="1" t="s">
        <v>7150</v>
      </c>
      <c r="B3167" s="1" t="s">
        <v>7151</v>
      </c>
      <c r="C3167" s="1" t="s">
        <v>737</v>
      </c>
      <c r="G3167" s="1" t="s">
        <v>6419</v>
      </c>
      <c r="H3167" s="1" t="s">
        <v>6420</v>
      </c>
      <c r="P3167" s="1" t="s">
        <v>3243</v>
      </c>
      <c r="Q3167" s="1" t="s">
        <v>3244</v>
      </c>
      <c r="R3167" s="1">
        <v>4.0</v>
      </c>
      <c r="S3167" s="1"/>
    </row>
    <row r="3168" ht="15.75" customHeight="1">
      <c r="A3168" s="1" t="s">
        <v>7152</v>
      </c>
      <c r="B3168" s="1" t="s">
        <v>7153</v>
      </c>
      <c r="C3168" s="1" t="s">
        <v>737</v>
      </c>
      <c r="E3168" s="1">
        <v>22.6857485</v>
      </c>
      <c r="F3168" s="1">
        <v>75.8905731</v>
      </c>
      <c r="G3168" s="1" t="s">
        <v>6419</v>
      </c>
      <c r="H3168" s="1" t="s">
        <v>6420</v>
      </c>
      <c r="P3168" s="1" t="s">
        <v>3243</v>
      </c>
      <c r="Q3168" s="1" t="s">
        <v>3244</v>
      </c>
      <c r="R3168" s="1">
        <v>1.0</v>
      </c>
      <c r="S3168" s="1"/>
    </row>
    <row r="3169" ht="15.75" customHeight="1">
      <c r="A3169" s="1" t="s">
        <v>7154</v>
      </c>
      <c r="B3169" s="1" t="s">
        <v>7155</v>
      </c>
      <c r="C3169" s="1" t="s">
        <v>737</v>
      </c>
      <c r="E3169" s="1">
        <v>22.7039942</v>
      </c>
      <c r="F3169" s="1">
        <v>75.8418329</v>
      </c>
      <c r="G3169" s="1" t="s">
        <v>6419</v>
      </c>
      <c r="H3169" s="1" t="s">
        <v>6420</v>
      </c>
      <c r="P3169" s="1" t="s">
        <v>3243</v>
      </c>
      <c r="Q3169" s="1" t="s">
        <v>3244</v>
      </c>
      <c r="R3169" s="1">
        <v>6.0</v>
      </c>
      <c r="S3169" s="1"/>
    </row>
    <row r="3170" ht="15.75" customHeight="1">
      <c r="A3170" s="1" t="s">
        <v>7156</v>
      </c>
      <c r="B3170" s="1" t="s">
        <v>7157</v>
      </c>
      <c r="C3170" s="1" t="s">
        <v>151</v>
      </c>
      <c r="E3170" s="1">
        <v>18.5103685</v>
      </c>
      <c r="F3170" s="1">
        <v>73.86741730000001</v>
      </c>
      <c r="G3170" s="1" t="s">
        <v>2112</v>
      </c>
      <c r="H3170" s="1" t="s">
        <v>2113</v>
      </c>
      <c r="P3170" s="1" t="s">
        <v>2239</v>
      </c>
      <c r="Q3170" s="1" t="s">
        <v>2240</v>
      </c>
      <c r="R3170" s="1">
        <v>2.0</v>
      </c>
      <c r="S3170" s="1"/>
    </row>
    <row r="3171" ht="15.75" customHeight="1">
      <c r="A3171" s="1" t="s">
        <v>7158</v>
      </c>
      <c r="B3171" s="1" t="s">
        <v>7159</v>
      </c>
      <c r="C3171" s="1" t="s">
        <v>737</v>
      </c>
      <c r="E3171" s="1">
        <v>22.7230903</v>
      </c>
      <c r="F3171" s="1">
        <v>75.8235266</v>
      </c>
      <c r="G3171" s="1" t="s">
        <v>6419</v>
      </c>
      <c r="H3171" s="1" t="s">
        <v>6420</v>
      </c>
      <c r="P3171" s="1" t="s">
        <v>3243</v>
      </c>
      <c r="Q3171" s="1" t="s">
        <v>3244</v>
      </c>
      <c r="R3171" s="1">
        <v>3.0</v>
      </c>
      <c r="S3171" s="1"/>
    </row>
    <row r="3172" ht="15.75" customHeight="1">
      <c r="A3172" s="1" t="s">
        <v>7160</v>
      </c>
      <c r="B3172" s="1" t="s">
        <v>7161</v>
      </c>
      <c r="C3172" s="1" t="s">
        <v>148</v>
      </c>
      <c r="E3172" s="1">
        <v>19.128406</v>
      </c>
      <c r="F3172" s="1">
        <v>72.9252541</v>
      </c>
      <c r="G3172" s="1" t="s">
        <v>6419</v>
      </c>
      <c r="H3172" s="1" t="s">
        <v>6420</v>
      </c>
      <c r="K3172" s="1" t="s">
        <v>99</v>
      </c>
      <c r="L3172" s="1" t="s">
        <v>27</v>
      </c>
      <c r="N3172" s="1" t="s">
        <v>143</v>
      </c>
      <c r="O3172" s="1" t="s">
        <v>29</v>
      </c>
      <c r="P3172" s="1" t="s">
        <v>2300</v>
      </c>
      <c r="Q3172" s="1" t="s">
        <v>2301</v>
      </c>
      <c r="R3172" s="1">
        <v>3.0</v>
      </c>
      <c r="S3172" s="1"/>
    </row>
    <row r="3173" ht="15.75" customHeight="1">
      <c r="A3173" s="1" t="s">
        <v>7162</v>
      </c>
      <c r="B3173" s="1" t="s">
        <v>7163</v>
      </c>
      <c r="C3173" s="1" t="s">
        <v>148</v>
      </c>
      <c r="E3173" s="1">
        <v>19.2740388</v>
      </c>
      <c r="F3173" s="1">
        <v>72.86952699999999</v>
      </c>
      <c r="G3173" s="1" t="s">
        <v>7164</v>
      </c>
      <c r="H3173" s="1" t="s">
        <v>7165</v>
      </c>
      <c r="K3173" s="1" t="s">
        <v>99</v>
      </c>
      <c r="L3173" s="1" t="s">
        <v>27</v>
      </c>
      <c r="N3173" s="1" t="s">
        <v>143</v>
      </c>
      <c r="O3173" s="1" t="s">
        <v>29</v>
      </c>
      <c r="P3173" s="1" t="s">
        <v>7166</v>
      </c>
      <c r="Q3173" s="1" t="s">
        <v>7167</v>
      </c>
      <c r="R3173" s="1">
        <v>3.0</v>
      </c>
      <c r="S3173" s="1"/>
    </row>
    <row r="3174" ht="15.75" customHeight="1">
      <c r="A3174" s="1" t="s">
        <v>7168</v>
      </c>
      <c r="B3174" s="1" t="s">
        <v>7169</v>
      </c>
      <c r="C3174" s="1" t="s">
        <v>148</v>
      </c>
      <c r="E3174" s="1">
        <v>19.0867338</v>
      </c>
      <c r="F3174" s="1">
        <v>72.9079909</v>
      </c>
      <c r="G3174" s="1" t="s">
        <v>7164</v>
      </c>
      <c r="H3174" s="1" t="s">
        <v>7165</v>
      </c>
      <c r="K3174" s="1" t="s">
        <v>99</v>
      </c>
      <c r="L3174" s="1" t="s">
        <v>27</v>
      </c>
      <c r="N3174" s="1" t="s">
        <v>143</v>
      </c>
      <c r="O3174" s="1" t="s">
        <v>29</v>
      </c>
      <c r="P3174" s="1" t="s">
        <v>7166</v>
      </c>
      <c r="Q3174" s="1" t="s">
        <v>7167</v>
      </c>
      <c r="R3174" s="1">
        <v>1.0</v>
      </c>
      <c r="S3174" s="1"/>
    </row>
    <row r="3175" ht="15.75" customHeight="1">
      <c r="A3175" s="1" t="s">
        <v>7170</v>
      </c>
      <c r="B3175" s="1" t="s">
        <v>7171</v>
      </c>
      <c r="C3175" s="1" t="s">
        <v>148</v>
      </c>
      <c r="E3175" s="1">
        <v>19.0693698</v>
      </c>
      <c r="F3175" s="1">
        <v>72.8821846</v>
      </c>
      <c r="G3175" s="1" t="s">
        <v>7164</v>
      </c>
      <c r="H3175" s="1" t="s">
        <v>7165</v>
      </c>
      <c r="K3175" s="1" t="s">
        <v>99</v>
      </c>
      <c r="L3175" s="1" t="s">
        <v>27</v>
      </c>
      <c r="N3175" s="1" t="s">
        <v>143</v>
      </c>
      <c r="O3175" s="1" t="s">
        <v>29</v>
      </c>
      <c r="P3175" s="1" t="s">
        <v>7166</v>
      </c>
      <c r="Q3175" s="1" t="s">
        <v>7167</v>
      </c>
      <c r="R3175" s="1">
        <v>1.0</v>
      </c>
      <c r="S3175" s="1"/>
    </row>
    <row r="3176" ht="15.75" customHeight="1">
      <c r="A3176" s="1" t="s">
        <v>7172</v>
      </c>
      <c r="B3176" s="1" t="s">
        <v>7173</v>
      </c>
      <c r="C3176" s="1" t="s">
        <v>148</v>
      </c>
      <c r="E3176" s="1">
        <v>19.0867533</v>
      </c>
      <c r="F3176" s="1">
        <v>72.9079532</v>
      </c>
      <c r="G3176" s="1" t="s">
        <v>7164</v>
      </c>
      <c r="H3176" s="1" t="s">
        <v>7165</v>
      </c>
      <c r="K3176" s="1" t="s">
        <v>99</v>
      </c>
      <c r="L3176" s="1" t="s">
        <v>27</v>
      </c>
      <c r="N3176" s="1" t="s">
        <v>143</v>
      </c>
      <c r="O3176" s="1" t="s">
        <v>29</v>
      </c>
      <c r="P3176" s="1" t="s">
        <v>7166</v>
      </c>
      <c r="Q3176" s="1" t="s">
        <v>7167</v>
      </c>
      <c r="R3176" s="1">
        <v>1.0</v>
      </c>
      <c r="S3176" s="1"/>
    </row>
    <row r="3177" ht="15.75" customHeight="1">
      <c r="A3177" s="1" t="s">
        <v>7174</v>
      </c>
      <c r="B3177" s="1" t="s">
        <v>7175</v>
      </c>
      <c r="C3177" s="1" t="s">
        <v>148</v>
      </c>
      <c r="E3177" s="1">
        <v>19.0641815</v>
      </c>
      <c r="F3177" s="1">
        <v>72.8812543</v>
      </c>
      <c r="G3177" s="1" t="s">
        <v>7164</v>
      </c>
      <c r="H3177" s="1" t="s">
        <v>7165</v>
      </c>
      <c r="K3177" s="1" t="s">
        <v>99</v>
      </c>
      <c r="L3177" s="1" t="s">
        <v>27</v>
      </c>
      <c r="N3177" s="1" t="s">
        <v>143</v>
      </c>
      <c r="O3177" s="1" t="s">
        <v>29</v>
      </c>
      <c r="P3177" s="1" t="s">
        <v>7166</v>
      </c>
      <c r="Q3177" s="1" t="s">
        <v>7167</v>
      </c>
      <c r="R3177" s="1">
        <v>1.0</v>
      </c>
      <c r="S3177" s="1"/>
    </row>
    <row r="3178" ht="15.75" customHeight="1">
      <c r="A3178" s="1" t="s">
        <v>7176</v>
      </c>
      <c r="B3178" s="1" t="s">
        <v>7177</v>
      </c>
      <c r="C3178" s="1" t="s">
        <v>148</v>
      </c>
      <c r="E3178" s="1">
        <v>19.1313938</v>
      </c>
      <c r="F3178" s="1">
        <v>72.8557019</v>
      </c>
      <c r="G3178" s="1" t="s">
        <v>7164</v>
      </c>
      <c r="H3178" s="1" t="s">
        <v>7165</v>
      </c>
      <c r="K3178" s="1" t="s">
        <v>99</v>
      </c>
      <c r="L3178" s="1" t="s">
        <v>27</v>
      </c>
      <c r="N3178" s="1" t="s">
        <v>143</v>
      </c>
      <c r="O3178" s="1" t="s">
        <v>29</v>
      </c>
      <c r="P3178" s="1" t="s">
        <v>7166</v>
      </c>
      <c r="Q3178" s="1" t="s">
        <v>7167</v>
      </c>
      <c r="R3178" s="1">
        <v>2.0</v>
      </c>
      <c r="S3178" s="1"/>
    </row>
    <row r="3179" ht="15.75" customHeight="1">
      <c r="A3179" s="1" t="s">
        <v>7178</v>
      </c>
      <c r="B3179" s="1" t="s">
        <v>7179</v>
      </c>
      <c r="C3179" s="1" t="s">
        <v>148</v>
      </c>
      <c r="E3179" s="1">
        <v>19.0810283</v>
      </c>
      <c r="F3179" s="1">
        <v>72.8411598</v>
      </c>
      <c r="G3179" s="1" t="s">
        <v>7164</v>
      </c>
      <c r="H3179" s="1" t="s">
        <v>7165</v>
      </c>
      <c r="K3179" s="1" t="s">
        <v>99</v>
      </c>
      <c r="L3179" s="1" t="s">
        <v>27</v>
      </c>
      <c r="N3179" s="1" t="s">
        <v>143</v>
      </c>
      <c r="O3179" s="1" t="s">
        <v>29</v>
      </c>
      <c r="P3179" s="1" t="s">
        <v>7166</v>
      </c>
      <c r="Q3179" s="1" t="s">
        <v>7167</v>
      </c>
      <c r="R3179" s="1">
        <v>1.0</v>
      </c>
      <c r="S3179" s="1"/>
    </row>
    <row r="3180" ht="15.75" customHeight="1">
      <c r="A3180" s="1" t="s">
        <v>7180</v>
      </c>
      <c r="B3180" s="1" t="s">
        <v>7181</v>
      </c>
      <c r="C3180" s="1" t="s">
        <v>148</v>
      </c>
      <c r="E3180" s="1">
        <v>19.2273718</v>
      </c>
      <c r="F3180" s="1">
        <v>72.9806487</v>
      </c>
      <c r="G3180" s="1" t="s">
        <v>7164</v>
      </c>
      <c r="H3180" s="1" t="s">
        <v>7165</v>
      </c>
      <c r="K3180" s="1" t="s">
        <v>99</v>
      </c>
      <c r="L3180" s="1" t="s">
        <v>27</v>
      </c>
      <c r="N3180" s="1" t="s">
        <v>143</v>
      </c>
      <c r="O3180" s="1" t="s">
        <v>29</v>
      </c>
      <c r="P3180" s="1" t="s">
        <v>7166</v>
      </c>
      <c r="Q3180" s="1" t="s">
        <v>7167</v>
      </c>
      <c r="R3180" s="1">
        <v>6.0</v>
      </c>
      <c r="S3180" s="1"/>
    </row>
    <row r="3181" ht="15.75" customHeight="1">
      <c r="A3181" s="1" t="s">
        <v>7182</v>
      </c>
      <c r="B3181" s="1" t="s">
        <v>7183</v>
      </c>
      <c r="C3181" s="1" t="s">
        <v>148</v>
      </c>
      <c r="E3181" s="1">
        <v>19.2289</v>
      </c>
      <c r="F3181" s="1">
        <v>73.1595</v>
      </c>
      <c r="G3181" s="1" t="s">
        <v>7164</v>
      </c>
      <c r="H3181" s="1" t="s">
        <v>7165</v>
      </c>
      <c r="K3181" s="1" t="s">
        <v>99</v>
      </c>
      <c r="L3181" s="1" t="s">
        <v>27</v>
      </c>
      <c r="N3181" s="1" t="s">
        <v>143</v>
      </c>
      <c r="O3181" s="1" t="s">
        <v>29</v>
      </c>
      <c r="P3181" s="1" t="s">
        <v>7166</v>
      </c>
      <c r="Q3181" s="1" t="s">
        <v>7167</v>
      </c>
      <c r="R3181" s="1">
        <v>5.0</v>
      </c>
      <c r="S3181" s="1"/>
    </row>
    <row r="3182" ht="15.75" customHeight="1">
      <c r="A3182" s="1" t="s">
        <v>7184</v>
      </c>
      <c r="B3182" s="1" t="s">
        <v>7185</v>
      </c>
      <c r="C3182" s="1" t="s">
        <v>148</v>
      </c>
      <c r="E3182" s="1">
        <v>19.4258563</v>
      </c>
      <c r="F3182" s="1">
        <v>72.837555</v>
      </c>
      <c r="G3182" s="1" t="s">
        <v>7164</v>
      </c>
      <c r="H3182" s="1" t="s">
        <v>7165</v>
      </c>
      <c r="K3182" s="1" t="s">
        <v>99</v>
      </c>
      <c r="L3182" s="1" t="s">
        <v>27</v>
      </c>
      <c r="N3182" s="1" t="s">
        <v>143</v>
      </c>
      <c r="O3182" s="1" t="s">
        <v>29</v>
      </c>
      <c r="P3182" s="1" t="s">
        <v>7166</v>
      </c>
      <c r="Q3182" s="1" t="s">
        <v>7167</v>
      </c>
      <c r="R3182" s="1">
        <v>3.0</v>
      </c>
      <c r="S3182" s="1"/>
    </row>
    <row r="3183" ht="15.75" customHeight="1">
      <c r="A3183" s="1" t="s">
        <v>7186</v>
      </c>
      <c r="B3183" s="1" t="s">
        <v>7187</v>
      </c>
      <c r="C3183" s="1" t="s">
        <v>148</v>
      </c>
      <c r="E3183" s="1">
        <v>19.2421436</v>
      </c>
      <c r="F3183" s="1">
        <v>73.14313349999999</v>
      </c>
      <c r="G3183" s="1" t="s">
        <v>7164</v>
      </c>
      <c r="H3183" s="1" t="s">
        <v>7165</v>
      </c>
      <c r="K3183" s="1" t="s">
        <v>99</v>
      </c>
      <c r="L3183" s="1" t="s">
        <v>27</v>
      </c>
      <c r="N3183" s="1" t="s">
        <v>143</v>
      </c>
      <c r="O3183" s="1" t="s">
        <v>29</v>
      </c>
      <c r="P3183" s="1" t="s">
        <v>7166</v>
      </c>
      <c r="Q3183" s="1" t="s">
        <v>7167</v>
      </c>
      <c r="R3183" s="1">
        <v>1.0</v>
      </c>
      <c r="S3183" s="1"/>
    </row>
    <row r="3184" ht="15.75" customHeight="1">
      <c r="A3184" s="1" t="s">
        <v>7188</v>
      </c>
      <c r="B3184" s="1" t="s">
        <v>7189</v>
      </c>
      <c r="C3184" s="1" t="s">
        <v>148</v>
      </c>
      <c r="E3184" s="1">
        <v>19.211002</v>
      </c>
      <c r="F3184" s="1">
        <v>73.1870419</v>
      </c>
      <c r="G3184" s="1" t="s">
        <v>7164</v>
      </c>
      <c r="H3184" s="1" t="s">
        <v>7165</v>
      </c>
      <c r="K3184" s="1" t="s">
        <v>99</v>
      </c>
      <c r="L3184" s="1" t="s">
        <v>27</v>
      </c>
      <c r="N3184" s="1" t="s">
        <v>143</v>
      </c>
      <c r="O3184" s="1" t="s">
        <v>29</v>
      </c>
      <c r="P3184" s="1" t="s">
        <v>7166</v>
      </c>
      <c r="Q3184" s="1" t="s">
        <v>7167</v>
      </c>
      <c r="R3184" s="1">
        <v>6.0</v>
      </c>
      <c r="S3184" s="1"/>
    </row>
    <row r="3185" ht="15.75" customHeight="1">
      <c r="A3185" s="1" t="s">
        <v>7190</v>
      </c>
      <c r="B3185" s="1" t="s">
        <v>7191</v>
      </c>
      <c r="C3185" s="1" t="s">
        <v>148</v>
      </c>
      <c r="E3185" s="1">
        <v>18.9543005</v>
      </c>
      <c r="F3185" s="1">
        <v>72.81830149999999</v>
      </c>
      <c r="G3185" s="1" t="s">
        <v>7164</v>
      </c>
      <c r="H3185" s="1" t="s">
        <v>7165</v>
      </c>
      <c r="K3185" s="1" t="s">
        <v>99</v>
      </c>
      <c r="L3185" s="1" t="s">
        <v>27</v>
      </c>
      <c r="N3185" s="1" t="s">
        <v>143</v>
      </c>
      <c r="O3185" s="1" t="s">
        <v>29</v>
      </c>
      <c r="P3185" s="1" t="s">
        <v>7166</v>
      </c>
      <c r="Q3185" s="1" t="s">
        <v>7167</v>
      </c>
      <c r="R3185" s="1">
        <v>1.0</v>
      </c>
      <c r="S3185" s="1"/>
    </row>
    <row r="3186" ht="15.75" customHeight="1">
      <c r="A3186" s="1" t="s">
        <v>7192</v>
      </c>
      <c r="B3186" s="1" t="s">
        <v>7193</v>
      </c>
      <c r="C3186" s="1" t="s">
        <v>148</v>
      </c>
      <c r="E3186" s="1">
        <v>19.4169076</v>
      </c>
      <c r="F3186" s="1">
        <v>72.8595495</v>
      </c>
      <c r="G3186" s="1" t="s">
        <v>7164</v>
      </c>
      <c r="H3186" s="1" t="s">
        <v>7165</v>
      </c>
      <c r="K3186" s="1" t="s">
        <v>99</v>
      </c>
      <c r="L3186" s="1" t="s">
        <v>27</v>
      </c>
      <c r="N3186" s="1" t="s">
        <v>143</v>
      </c>
      <c r="O3186" s="1" t="s">
        <v>29</v>
      </c>
      <c r="P3186" s="1" t="s">
        <v>7166</v>
      </c>
      <c r="Q3186" s="1" t="s">
        <v>7167</v>
      </c>
      <c r="R3186" s="1">
        <v>2.0</v>
      </c>
      <c r="S3186" s="1"/>
    </row>
    <row r="3187" ht="15.75" customHeight="1">
      <c r="A3187" s="1" t="s">
        <v>7194</v>
      </c>
      <c r="B3187" s="1" t="s">
        <v>7195</v>
      </c>
      <c r="C3187" s="1" t="s">
        <v>148</v>
      </c>
      <c r="E3187" s="1">
        <v>19.1890636</v>
      </c>
      <c r="F3187" s="1">
        <v>72.9770389</v>
      </c>
      <c r="G3187" s="1" t="s">
        <v>7164</v>
      </c>
      <c r="H3187" s="1" t="s">
        <v>7165</v>
      </c>
      <c r="K3187" s="1" t="s">
        <v>99</v>
      </c>
      <c r="L3187" s="1" t="s">
        <v>27</v>
      </c>
      <c r="N3187" s="1" t="s">
        <v>143</v>
      </c>
      <c r="O3187" s="1" t="s">
        <v>29</v>
      </c>
      <c r="P3187" s="1" t="s">
        <v>7166</v>
      </c>
      <c r="Q3187" s="1" t="s">
        <v>7167</v>
      </c>
      <c r="R3187" s="1">
        <v>7.0</v>
      </c>
      <c r="S3187" s="1"/>
    </row>
    <row r="3188" ht="15.75" customHeight="1">
      <c r="A3188" s="1" t="s">
        <v>7196</v>
      </c>
      <c r="B3188" s="1" t="s">
        <v>7197</v>
      </c>
      <c r="C3188" s="1" t="s">
        <v>148</v>
      </c>
      <c r="E3188" s="1">
        <v>19.2270719</v>
      </c>
      <c r="F3188" s="1">
        <v>73.1616979</v>
      </c>
      <c r="G3188" s="1" t="s">
        <v>7164</v>
      </c>
      <c r="H3188" s="1" t="s">
        <v>7165</v>
      </c>
      <c r="K3188" s="1" t="s">
        <v>99</v>
      </c>
      <c r="L3188" s="1" t="s">
        <v>27</v>
      </c>
      <c r="N3188" s="1" t="s">
        <v>143</v>
      </c>
      <c r="O3188" s="1" t="s">
        <v>29</v>
      </c>
      <c r="P3188" s="1" t="s">
        <v>7166</v>
      </c>
      <c r="Q3188" s="1" t="s">
        <v>7167</v>
      </c>
      <c r="R3188" s="1">
        <v>6.0</v>
      </c>
      <c r="S3188" s="1"/>
    </row>
    <row r="3189" ht="15.75" customHeight="1">
      <c r="A3189" s="1" t="s">
        <v>7198</v>
      </c>
      <c r="B3189" s="1" t="s">
        <v>7199</v>
      </c>
      <c r="C3189" s="1" t="s">
        <v>148</v>
      </c>
      <c r="E3189" s="1">
        <v>19.1619979</v>
      </c>
      <c r="F3189" s="1">
        <v>73.02880259999999</v>
      </c>
      <c r="G3189" s="1" t="s">
        <v>7164</v>
      </c>
      <c r="H3189" s="1" t="s">
        <v>7165</v>
      </c>
      <c r="K3189" s="1" t="s">
        <v>99</v>
      </c>
      <c r="L3189" s="1" t="s">
        <v>27</v>
      </c>
      <c r="N3189" s="1" t="s">
        <v>143</v>
      </c>
      <c r="O3189" s="1" t="s">
        <v>29</v>
      </c>
      <c r="P3189" s="1" t="s">
        <v>7166</v>
      </c>
      <c r="Q3189" s="1" t="s">
        <v>7167</v>
      </c>
      <c r="R3189" s="1">
        <v>1.0</v>
      </c>
      <c r="S3189" s="1"/>
    </row>
    <row r="3190" ht="15.75" customHeight="1">
      <c r="A3190" s="1" t="s">
        <v>7200</v>
      </c>
      <c r="B3190" s="1" t="s">
        <v>7201</v>
      </c>
      <c r="C3190" s="1" t="s">
        <v>148</v>
      </c>
      <c r="E3190" s="1">
        <v>19.065589</v>
      </c>
      <c r="F3190" s="1">
        <v>72.8769174</v>
      </c>
      <c r="G3190" s="1" t="s">
        <v>7164</v>
      </c>
      <c r="H3190" s="1" t="s">
        <v>7165</v>
      </c>
      <c r="K3190" s="1" t="s">
        <v>99</v>
      </c>
      <c r="L3190" s="1" t="s">
        <v>27</v>
      </c>
      <c r="N3190" s="1" t="s">
        <v>143</v>
      </c>
      <c r="O3190" s="1" t="s">
        <v>29</v>
      </c>
      <c r="P3190" s="1" t="s">
        <v>7166</v>
      </c>
      <c r="Q3190" s="1" t="s">
        <v>7167</v>
      </c>
      <c r="R3190" s="1">
        <v>1.0</v>
      </c>
      <c r="S3190" s="1"/>
    </row>
    <row r="3191" ht="15.75" customHeight="1">
      <c r="A3191" s="1" t="s">
        <v>7202</v>
      </c>
      <c r="B3191" s="1" t="s">
        <v>7203</v>
      </c>
      <c r="C3191" s="1" t="s">
        <v>174</v>
      </c>
      <c r="E3191" s="1">
        <v>28.5491869</v>
      </c>
      <c r="F3191" s="1">
        <v>77.29802459999999</v>
      </c>
      <c r="G3191" s="1" t="s">
        <v>97</v>
      </c>
      <c r="H3191" s="1" t="s">
        <v>98</v>
      </c>
      <c r="P3191" s="1" t="s">
        <v>7110</v>
      </c>
      <c r="Q3191" s="1" t="s">
        <v>7111</v>
      </c>
      <c r="R3191" s="1">
        <v>2.0</v>
      </c>
      <c r="S3191" s="1"/>
    </row>
    <row r="3192" ht="15.75" customHeight="1">
      <c r="A3192" s="1" t="s">
        <v>7204</v>
      </c>
      <c r="B3192" s="1" t="s">
        <v>7205</v>
      </c>
      <c r="C3192" s="1" t="s">
        <v>1112</v>
      </c>
      <c r="E3192" s="1">
        <v>13.125705</v>
      </c>
      <c r="F3192" s="1">
        <v>80.20580199999999</v>
      </c>
      <c r="G3192" s="1" t="s">
        <v>54</v>
      </c>
      <c r="H3192" s="1" t="s">
        <v>55</v>
      </c>
      <c r="P3192" s="1" t="s">
        <v>7206</v>
      </c>
      <c r="Q3192" s="1" t="s">
        <v>7207</v>
      </c>
      <c r="R3192" s="1">
        <v>0.0</v>
      </c>
      <c r="S3192" s="1"/>
    </row>
    <row r="3193" ht="15.75" customHeight="1">
      <c r="A3193" s="1" t="s">
        <v>7208</v>
      </c>
      <c r="B3193" s="1" t="s">
        <v>7209</v>
      </c>
      <c r="C3193" s="1" t="s">
        <v>174</v>
      </c>
      <c r="E3193" s="1">
        <v>28.6102194</v>
      </c>
      <c r="F3193" s="1">
        <v>76.9922519</v>
      </c>
      <c r="G3193" s="1" t="s">
        <v>2511</v>
      </c>
      <c r="H3193" s="1" t="s">
        <v>2512</v>
      </c>
      <c r="P3193" s="1" t="s">
        <v>7210</v>
      </c>
      <c r="Q3193" s="1" t="s">
        <v>7211</v>
      </c>
      <c r="R3193" s="1">
        <v>3.0</v>
      </c>
      <c r="S3193" s="1"/>
    </row>
    <row r="3194" ht="15.75" customHeight="1">
      <c r="A3194" s="1" t="s">
        <v>7212</v>
      </c>
      <c r="B3194" s="1" t="s">
        <v>7213</v>
      </c>
      <c r="C3194" s="1" t="s">
        <v>7214</v>
      </c>
      <c r="E3194" s="1">
        <v>13.0168714</v>
      </c>
      <c r="F3194" s="1">
        <v>80.2150073</v>
      </c>
      <c r="G3194" s="1" t="s">
        <v>54</v>
      </c>
      <c r="H3194" s="1" t="s">
        <v>55</v>
      </c>
      <c r="P3194" s="1" t="s">
        <v>7206</v>
      </c>
      <c r="Q3194" s="1" t="s">
        <v>7207</v>
      </c>
      <c r="R3194" s="1">
        <v>0.0</v>
      </c>
      <c r="S3194" s="1"/>
    </row>
    <row r="3195" ht="15.75" customHeight="1">
      <c r="A3195" s="1" t="s">
        <v>7215</v>
      </c>
      <c r="B3195" s="1" t="s">
        <v>7216</v>
      </c>
      <c r="C3195" s="1" t="s">
        <v>531</v>
      </c>
      <c r="E3195" s="1">
        <v>22.5144373</v>
      </c>
      <c r="F3195" s="1">
        <v>88.32632369999999</v>
      </c>
      <c r="G3195" s="1" t="s">
        <v>7217</v>
      </c>
      <c r="H3195" s="1" t="s">
        <v>7218</v>
      </c>
      <c r="P3195" s="1" t="s">
        <v>7126</v>
      </c>
      <c r="Q3195" s="1" t="s">
        <v>7127</v>
      </c>
      <c r="R3195" s="1">
        <v>1.0</v>
      </c>
      <c r="S3195" s="1"/>
    </row>
    <row r="3196" ht="15.75" customHeight="1">
      <c r="A3196" s="1" t="s">
        <v>7219</v>
      </c>
      <c r="B3196" s="1" t="s">
        <v>7220</v>
      </c>
      <c r="C3196" s="1" t="s">
        <v>737</v>
      </c>
      <c r="E3196" s="1">
        <v>22.7230509</v>
      </c>
      <c r="F3196" s="1">
        <v>75.91879589999999</v>
      </c>
      <c r="G3196" s="1" t="s">
        <v>6419</v>
      </c>
      <c r="H3196" s="1" t="s">
        <v>6420</v>
      </c>
      <c r="P3196" s="1" t="s">
        <v>3243</v>
      </c>
      <c r="Q3196" s="1" t="s">
        <v>3244</v>
      </c>
      <c r="R3196" s="1">
        <v>2.0</v>
      </c>
      <c r="S3196" s="1"/>
    </row>
    <row r="3197" ht="15.75" customHeight="1">
      <c r="A3197" s="1" t="s">
        <v>7221</v>
      </c>
      <c r="B3197" s="1" t="s">
        <v>7222</v>
      </c>
      <c r="C3197" s="1" t="s">
        <v>174</v>
      </c>
      <c r="E3197" s="1">
        <v>28.6352272</v>
      </c>
      <c r="F3197" s="1">
        <v>77.0968932</v>
      </c>
      <c r="G3197" s="1" t="s">
        <v>54</v>
      </c>
      <c r="H3197" s="1" t="s">
        <v>55</v>
      </c>
      <c r="K3197" s="1" t="s">
        <v>2892</v>
      </c>
      <c r="L3197" s="1" t="s">
        <v>27</v>
      </c>
      <c r="N3197" s="1" t="s">
        <v>174</v>
      </c>
      <c r="O3197" s="1" t="s">
        <v>29</v>
      </c>
      <c r="P3197" s="1" t="s">
        <v>7223</v>
      </c>
      <c r="Q3197" s="1" t="s">
        <v>7224</v>
      </c>
      <c r="R3197" s="1">
        <v>3.0</v>
      </c>
      <c r="S3197" s="1"/>
    </row>
    <row r="3198" ht="15.75" customHeight="1">
      <c r="A3198" s="1" t="s">
        <v>7225</v>
      </c>
      <c r="B3198" s="1" t="s">
        <v>7226</v>
      </c>
      <c r="C3198" s="1" t="s">
        <v>174</v>
      </c>
      <c r="E3198" s="1">
        <v>28.6281327</v>
      </c>
      <c r="F3198" s="1">
        <v>77.1365089</v>
      </c>
      <c r="G3198" s="1" t="s">
        <v>54</v>
      </c>
      <c r="H3198" s="1" t="s">
        <v>55</v>
      </c>
      <c r="K3198" s="1" t="s">
        <v>2892</v>
      </c>
      <c r="L3198" s="1" t="s">
        <v>27</v>
      </c>
      <c r="N3198" s="1" t="s">
        <v>174</v>
      </c>
      <c r="O3198" s="1" t="s">
        <v>29</v>
      </c>
      <c r="P3198" s="1" t="s">
        <v>7223</v>
      </c>
      <c r="Q3198" s="1" t="s">
        <v>7224</v>
      </c>
      <c r="R3198" s="1">
        <v>0.0</v>
      </c>
      <c r="S3198" s="1"/>
    </row>
    <row r="3199" ht="15.75" customHeight="1">
      <c r="A3199" s="1" t="s">
        <v>7227</v>
      </c>
      <c r="B3199" s="1" t="s">
        <v>7228</v>
      </c>
      <c r="C3199" s="1" t="s">
        <v>174</v>
      </c>
      <c r="E3199" s="1">
        <v>28.6321141</v>
      </c>
      <c r="F3199" s="1">
        <v>77.279253</v>
      </c>
      <c r="G3199" s="1" t="s">
        <v>54</v>
      </c>
      <c r="H3199" s="1" t="s">
        <v>55</v>
      </c>
      <c r="P3199" s="1" t="s">
        <v>7223</v>
      </c>
      <c r="Q3199" s="1" t="s">
        <v>7224</v>
      </c>
      <c r="R3199" s="1">
        <v>0.0</v>
      </c>
      <c r="S3199" s="1"/>
    </row>
    <row r="3200" ht="15.75" customHeight="1">
      <c r="A3200" s="1" t="s">
        <v>7229</v>
      </c>
      <c r="B3200" s="1" t="s">
        <v>7230</v>
      </c>
      <c r="C3200" s="1" t="s">
        <v>6453</v>
      </c>
      <c r="E3200" s="1">
        <v>20.3325306</v>
      </c>
      <c r="F3200" s="1">
        <v>85.8219048</v>
      </c>
      <c r="G3200" s="1" t="s">
        <v>2511</v>
      </c>
      <c r="H3200" s="1" t="s">
        <v>2512</v>
      </c>
      <c r="P3200" s="1" t="s">
        <v>6454</v>
      </c>
      <c r="Q3200" s="1" t="s">
        <v>6455</v>
      </c>
      <c r="R3200" s="1">
        <v>0.0</v>
      </c>
      <c r="S3200" s="1"/>
    </row>
    <row r="3201" ht="15.75" customHeight="1">
      <c r="A3201" s="1" t="s">
        <v>7231</v>
      </c>
      <c r="B3201" s="1" t="s">
        <v>7232</v>
      </c>
      <c r="C3201" s="1" t="s">
        <v>6453</v>
      </c>
      <c r="E3201" s="1">
        <v>20.2964924</v>
      </c>
      <c r="F3201" s="1">
        <v>85.8634467</v>
      </c>
      <c r="G3201" s="1" t="s">
        <v>2511</v>
      </c>
      <c r="H3201" s="1" t="s">
        <v>2512</v>
      </c>
      <c r="P3201" s="1" t="s">
        <v>6454</v>
      </c>
      <c r="Q3201" s="1" t="s">
        <v>6455</v>
      </c>
      <c r="R3201" s="1">
        <v>0.0</v>
      </c>
      <c r="S3201" s="1"/>
    </row>
    <row r="3202" ht="15.75" customHeight="1">
      <c r="A3202" s="1" t="s">
        <v>7233</v>
      </c>
      <c r="B3202" s="1" t="s">
        <v>7234</v>
      </c>
      <c r="C3202" s="1" t="s">
        <v>6453</v>
      </c>
      <c r="E3202" s="1">
        <v>20.3256783</v>
      </c>
      <c r="F3202" s="1">
        <v>85.8834868</v>
      </c>
      <c r="G3202" s="1" t="s">
        <v>2112</v>
      </c>
      <c r="H3202" s="1" t="s">
        <v>2113</v>
      </c>
      <c r="P3202" s="1" t="s">
        <v>6454</v>
      </c>
      <c r="Q3202" s="1" t="s">
        <v>6455</v>
      </c>
      <c r="R3202" s="1">
        <v>1.0</v>
      </c>
      <c r="S3202" s="1"/>
    </row>
    <row r="3203" ht="15.75" customHeight="1">
      <c r="A3203" s="1" t="s">
        <v>7235</v>
      </c>
      <c r="B3203" s="1" t="s">
        <v>7236</v>
      </c>
      <c r="C3203" s="1" t="s">
        <v>148</v>
      </c>
      <c r="E3203" s="1">
        <v>19.0508606</v>
      </c>
      <c r="F3203" s="1">
        <v>72.91786479999999</v>
      </c>
      <c r="G3203" s="1" t="s">
        <v>7164</v>
      </c>
      <c r="H3203" s="1" t="s">
        <v>7165</v>
      </c>
      <c r="P3203" s="1" t="s">
        <v>7166</v>
      </c>
      <c r="Q3203" s="1" t="s">
        <v>7167</v>
      </c>
      <c r="R3203" s="1">
        <v>2.0</v>
      </c>
      <c r="S3203" s="1"/>
    </row>
    <row r="3204" ht="15.75" customHeight="1">
      <c r="A3204" s="1" t="s">
        <v>7237</v>
      </c>
      <c r="B3204" s="1" t="s">
        <v>7238</v>
      </c>
      <c r="C3204" s="1" t="s">
        <v>531</v>
      </c>
      <c r="E3204" s="1">
        <v>22.6661212</v>
      </c>
      <c r="F3204" s="1">
        <v>88.3842718</v>
      </c>
      <c r="G3204" s="1" t="s">
        <v>6419</v>
      </c>
      <c r="H3204" s="1" t="s">
        <v>6420</v>
      </c>
      <c r="P3204" s="1" t="s">
        <v>6923</v>
      </c>
      <c r="Q3204" s="1" t="s">
        <v>6924</v>
      </c>
      <c r="R3204" s="1">
        <v>2.0</v>
      </c>
      <c r="S3204" s="1"/>
    </row>
    <row r="3205" ht="15.75" customHeight="1">
      <c r="A3205" s="1" t="s">
        <v>7239</v>
      </c>
      <c r="B3205" s="1" t="s">
        <v>7240</v>
      </c>
      <c r="C3205" s="1" t="s">
        <v>531</v>
      </c>
      <c r="E3205" s="1">
        <v>22.5473447</v>
      </c>
      <c r="F3205" s="1">
        <v>88.3511434</v>
      </c>
      <c r="G3205" s="1" t="s">
        <v>6419</v>
      </c>
      <c r="H3205" s="1" t="s">
        <v>6420</v>
      </c>
      <c r="P3205" s="1" t="s">
        <v>6923</v>
      </c>
      <c r="Q3205" s="1" t="s">
        <v>6924</v>
      </c>
      <c r="R3205" s="1">
        <v>0.0</v>
      </c>
      <c r="S3205" s="1"/>
    </row>
    <row r="3206" ht="15.75" customHeight="1">
      <c r="A3206" s="1" t="s">
        <v>7241</v>
      </c>
      <c r="B3206" s="1" t="s">
        <v>7242</v>
      </c>
      <c r="C3206" s="1" t="s">
        <v>174</v>
      </c>
      <c r="E3206" s="1">
        <v>28.5141446</v>
      </c>
      <c r="F3206" s="1">
        <v>77.2324029</v>
      </c>
      <c r="G3206" s="1" t="s">
        <v>1676</v>
      </c>
      <c r="H3206" s="1" t="s">
        <v>1677</v>
      </c>
      <c r="I3206" s="1" t="s">
        <v>24</v>
      </c>
      <c r="P3206" s="1" t="s">
        <v>7089</v>
      </c>
      <c r="Q3206" s="1" t="s">
        <v>7090</v>
      </c>
      <c r="R3206" s="1">
        <v>1.0</v>
      </c>
      <c r="S3206" s="1"/>
    </row>
    <row r="3207" ht="15.75" customHeight="1">
      <c r="A3207" s="1" t="s">
        <v>7243</v>
      </c>
      <c r="B3207" s="1" t="s">
        <v>7244</v>
      </c>
      <c r="C3207" s="1" t="s">
        <v>174</v>
      </c>
      <c r="E3207" s="1">
        <v>28.5070724</v>
      </c>
      <c r="F3207" s="1">
        <v>77.2322101</v>
      </c>
      <c r="G3207" s="1" t="s">
        <v>1676</v>
      </c>
      <c r="H3207" s="1" t="s">
        <v>1677</v>
      </c>
      <c r="I3207" s="1" t="s">
        <v>24</v>
      </c>
      <c r="P3207" s="1" t="s">
        <v>7089</v>
      </c>
      <c r="Q3207" s="1" t="s">
        <v>7090</v>
      </c>
      <c r="R3207" s="1">
        <v>1.0</v>
      </c>
      <c r="S3207" s="1"/>
    </row>
    <row r="3208" ht="15.75" customHeight="1">
      <c r="A3208" s="1" t="s">
        <v>7245</v>
      </c>
      <c r="B3208" s="1" t="s">
        <v>7246</v>
      </c>
      <c r="C3208" s="1" t="s">
        <v>1957</v>
      </c>
      <c r="E3208" s="1">
        <v>29.9348825</v>
      </c>
      <c r="F3208" s="1">
        <v>78.13396019999999</v>
      </c>
      <c r="G3208" s="1" t="s">
        <v>54</v>
      </c>
      <c r="H3208" s="1" t="s">
        <v>55</v>
      </c>
      <c r="P3208" s="1" t="s">
        <v>7247</v>
      </c>
      <c r="Q3208" s="1" t="s">
        <v>7248</v>
      </c>
      <c r="R3208" s="1">
        <v>0.0</v>
      </c>
      <c r="S3208" s="1"/>
    </row>
    <row r="3209" ht="15.75" customHeight="1">
      <c r="A3209" s="1" t="s">
        <v>7249</v>
      </c>
      <c r="B3209" s="1" t="s">
        <v>7250</v>
      </c>
      <c r="C3209" s="1" t="s">
        <v>148</v>
      </c>
      <c r="E3209" s="1">
        <v>19.0439031</v>
      </c>
      <c r="F3209" s="1">
        <v>72.85804089999999</v>
      </c>
      <c r="G3209" s="1" t="s">
        <v>7164</v>
      </c>
      <c r="H3209" s="1" t="s">
        <v>7165</v>
      </c>
      <c r="P3209" s="1" t="s">
        <v>7166</v>
      </c>
      <c r="Q3209" s="1" t="s">
        <v>7167</v>
      </c>
      <c r="R3209" s="1">
        <v>1.0</v>
      </c>
      <c r="S3209" s="1"/>
    </row>
    <row r="3210" ht="15.75" customHeight="1">
      <c r="A3210" s="1" t="s">
        <v>1868</v>
      </c>
      <c r="B3210" s="1" t="s">
        <v>1866</v>
      </c>
      <c r="C3210" s="1" t="s">
        <v>148</v>
      </c>
      <c r="E3210" s="1">
        <v>19.044667</v>
      </c>
      <c r="F3210" s="1">
        <v>72.85839659999999</v>
      </c>
      <c r="G3210" s="1" t="s">
        <v>7164</v>
      </c>
      <c r="H3210" s="1" t="s">
        <v>7165</v>
      </c>
      <c r="K3210" s="1" t="s">
        <v>99</v>
      </c>
      <c r="L3210" s="1" t="s">
        <v>27</v>
      </c>
      <c r="N3210" s="1" t="s">
        <v>143</v>
      </c>
      <c r="O3210" s="1" t="s">
        <v>29</v>
      </c>
      <c r="P3210" s="1" t="s">
        <v>7166</v>
      </c>
      <c r="Q3210" s="1" t="s">
        <v>7167</v>
      </c>
      <c r="R3210" s="1">
        <v>2.0</v>
      </c>
      <c r="S3210" s="1" t="str">
        <f>IFERROR(__xludf.DUMMYFUNCTION("""COMPUTED_VALUE"""),"store_003995")</f>
        <v>store_003995</v>
      </c>
    </row>
    <row r="3211" ht="15.75" customHeight="1">
      <c r="A3211" s="1" t="s">
        <v>7251</v>
      </c>
      <c r="B3211" s="1" t="s">
        <v>7252</v>
      </c>
      <c r="C3211" s="1" t="s">
        <v>148</v>
      </c>
      <c r="E3211" s="1">
        <v>19.0450389</v>
      </c>
      <c r="F3211" s="1">
        <v>72.89724989999999</v>
      </c>
      <c r="G3211" s="1" t="s">
        <v>7164</v>
      </c>
      <c r="H3211" s="1" t="s">
        <v>7165</v>
      </c>
      <c r="P3211" s="1" t="s">
        <v>7166</v>
      </c>
      <c r="Q3211" s="1" t="s">
        <v>7167</v>
      </c>
      <c r="R3211" s="1">
        <v>1.0</v>
      </c>
      <c r="S3211" s="1"/>
    </row>
    <row r="3212" ht="15.75" customHeight="1">
      <c r="A3212" s="1" t="s">
        <v>7253</v>
      </c>
      <c r="B3212" s="1" t="s">
        <v>7254</v>
      </c>
      <c r="C3212" s="1" t="s">
        <v>148</v>
      </c>
      <c r="E3212" s="1">
        <v>19.1047611</v>
      </c>
      <c r="F3212" s="1">
        <v>72.8867623</v>
      </c>
      <c r="G3212" s="1" t="s">
        <v>7164</v>
      </c>
      <c r="H3212" s="1" t="s">
        <v>7165</v>
      </c>
      <c r="P3212" s="1" t="s">
        <v>7166</v>
      </c>
      <c r="Q3212" s="1" t="s">
        <v>7167</v>
      </c>
      <c r="R3212" s="1">
        <v>1.0</v>
      </c>
      <c r="S3212" s="1"/>
    </row>
    <row r="3213" ht="15.75" customHeight="1">
      <c r="A3213" s="1" t="s">
        <v>7255</v>
      </c>
      <c r="B3213" s="1" t="s">
        <v>6260</v>
      </c>
      <c r="C3213" s="1" t="s">
        <v>148</v>
      </c>
      <c r="E3213" s="1">
        <v>19.1038075</v>
      </c>
      <c r="F3213" s="1">
        <v>72.8871217</v>
      </c>
      <c r="G3213" s="1" t="s">
        <v>7164</v>
      </c>
      <c r="H3213" s="1" t="s">
        <v>7165</v>
      </c>
      <c r="K3213" s="1" t="s">
        <v>99</v>
      </c>
      <c r="L3213" s="1" t="s">
        <v>27</v>
      </c>
      <c r="N3213" s="1" t="s">
        <v>143</v>
      </c>
      <c r="O3213" s="1" t="s">
        <v>29</v>
      </c>
      <c r="P3213" s="1" t="s">
        <v>7166</v>
      </c>
      <c r="Q3213" s="1" t="s">
        <v>7167</v>
      </c>
      <c r="R3213" s="1">
        <v>1.0</v>
      </c>
      <c r="S3213" s="1" t="str">
        <f>IFERROR(__xludf.DUMMYFUNCTION("""COMPUTED_VALUE"""),"store_004010")</f>
        <v>store_004010</v>
      </c>
    </row>
    <row r="3214" ht="15.75" customHeight="1">
      <c r="A3214" s="1" t="s">
        <v>1842</v>
      </c>
      <c r="B3214" s="1" t="s">
        <v>1841</v>
      </c>
      <c r="C3214" s="1" t="s">
        <v>148</v>
      </c>
      <c r="E3214" s="1">
        <v>19.0657995</v>
      </c>
      <c r="F3214" s="1">
        <v>72.9199914</v>
      </c>
      <c r="G3214" s="1" t="s">
        <v>7164</v>
      </c>
      <c r="H3214" s="1" t="s">
        <v>7165</v>
      </c>
      <c r="K3214" s="1" t="s">
        <v>99</v>
      </c>
      <c r="L3214" s="1" t="s">
        <v>27</v>
      </c>
      <c r="N3214" s="1" t="s">
        <v>143</v>
      </c>
      <c r="O3214" s="1" t="s">
        <v>29</v>
      </c>
      <c r="P3214" s="1" t="s">
        <v>7166</v>
      </c>
      <c r="Q3214" s="1" t="s">
        <v>7167</v>
      </c>
      <c r="R3214" s="1">
        <v>1.0</v>
      </c>
      <c r="S3214" s="1" t="str">
        <f>IFERROR(__xludf.DUMMYFUNCTION("""COMPUTED_VALUE"""),"store_003993")</f>
        <v>store_003993</v>
      </c>
    </row>
    <row r="3215" ht="15.75" customHeight="1">
      <c r="A3215" s="1" t="s">
        <v>7256</v>
      </c>
      <c r="B3215" s="1" t="s">
        <v>7257</v>
      </c>
      <c r="C3215" s="1" t="s">
        <v>148</v>
      </c>
      <c r="E3215" s="1">
        <v>19.2162108</v>
      </c>
      <c r="F3215" s="1">
        <v>73.0870809</v>
      </c>
      <c r="G3215" s="1" t="s">
        <v>7164</v>
      </c>
      <c r="H3215" s="1" t="s">
        <v>7165</v>
      </c>
      <c r="K3215" s="1" t="s">
        <v>99</v>
      </c>
      <c r="L3215" s="1" t="s">
        <v>27</v>
      </c>
      <c r="N3215" s="1" t="s">
        <v>143</v>
      </c>
      <c r="O3215" s="1" t="s">
        <v>29</v>
      </c>
      <c r="P3215" s="1" t="s">
        <v>7166</v>
      </c>
      <c r="Q3215" s="1" t="s">
        <v>7167</v>
      </c>
      <c r="R3215" s="1">
        <v>1.0</v>
      </c>
      <c r="S3215" s="1"/>
    </row>
    <row r="3216" ht="15.75" customHeight="1">
      <c r="A3216" s="1" t="s">
        <v>7258</v>
      </c>
      <c r="B3216" s="1" t="s">
        <v>7259</v>
      </c>
      <c r="C3216" s="1" t="s">
        <v>1238</v>
      </c>
      <c r="G3216" s="1" t="s">
        <v>7217</v>
      </c>
      <c r="H3216" s="1" t="s">
        <v>7218</v>
      </c>
      <c r="P3216" s="1" t="s">
        <v>1079</v>
      </c>
      <c r="Q3216" s="1" t="s">
        <v>1080</v>
      </c>
      <c r="R3216" s="1">
        <v>1.0</v>
      </c>
      <c r="S3216" s="1"/>
    </row>
    <row r="3217" ht="15.75" customHeight="1">
      <c r="A3217" s="1" t="s">
        <v>7260</v>
      </c>
      <c r="B3217" s="1" t="s">
        <v>7261</v>
      </c>
      <c r="C3217" s="1" t="s">
        <v>1786</v>
      </c>
      <c r="G3217" s="1" t="s">
        <v>6096</v>
      </c>
      <c r="H3217" s="1" t="s">
        <v>6097</v>
      </c>
      <c r="I3217" s="1" t="s">
        <v>1799</v>
      </c>
      <c r="P3217" s="1" t="s">
        <v>6454</v>
      </c>
      <c r="Q3217" s="1" t="s">
        <v>6455</v>
      </c>
      <c r="R3217" s="1">
        <v>0.0</v>
      </c>
      <c r="S3217" s="1"/>
    </row>
    <row r="3218" ht="15.75" customHeight="1">
      <c r="A3218" s="1" t="s">
        <v>7262</v>
      </c>
      <c r="B3218" s="1" t="s">
        <v>7263</v>
      </c>
      <c r="C3218" s="1" t="s">
        <v>1786</v>
      </c>
      <c r="G3218" s="1" t="s">
        <v>6096</v>
      </c>
      <c r="H3218" s="1" t="s">
        <v>6097</v>
      </c>
      <c r="I3218" s="1" t="s">
        <v>1799</v>
      </c>
      <c r="P3218" s="1" t="s">
        <v>6454</v>
      </c>
      <c r="Q3218" s="1" t="s">
        <v>6455</v>
      </c>
      <c r="R3218" s="1">
        <v>5.0</v>
      </c>
      <c r="S3218" s="1"/>
    </row>
    <row r="3219" ht="15.75" customHeight="1">
      <c r="A3219" s="1" t="s">
        <v>7264</v>
      </c>
      <c r="B3219" s="1" t="s">
        <v>7265</v>
      </c>
      <c r="C3219" s="1" t="s">
        <v>1786</v>
      </c>
      <c r="G3219" s="1" t="s">
        <v>6096</v>
      </c>
      <c r="H3219" s="1" t="s">
        <v>6097</v>
      </c>
      <c r="I3219" s="1" t="s">
        <v>1799</v>
      </c>
      <c r="P3219" s="1" t="s">
        <v>6454</v>
      </c>
      <c r="Q3219" s="1" t="s">
        <v>6455</v>
      </c>
      <c r="R3219" s="1">
        <v>0.0</v>
      </c>
      <c r="S3219" s="1"/>
    </row>
    <row r="3220" ht="15.75" customHeight="1">
      <c r="A3220" s="1" t="s">
        <v>7266</v>
      </c>
      <c r="B3220" s="1" t="s">
        <v>7267</v>
      </c>
      <c r="C3220" s="1" t="s">
        <v>215</v>
      </c>
      <c r="G3220" s="1" t="s">
        <v>7217</v>
      </c>
      <c r="H3220" s="1" t="s">
        <v>7218</v>
      </c>
      <c r="P3220" s="1" t="s">
        <v>6961</v>
      </c>
      <c r="Q3220" s="1" t="s">
        <v>6962</v>
      </c>
      <c r="R3220" s="1">
        <v>2.0</v>
      </c>
      <c r="S3220" s="1"/>
    </row>
    <row r="3221" ht="15.75" customHeight="1">
      <c r="A3221" s="1" t="s">
        <v>7268</v>
      </c>
      <c r="B3221" s="1" t="s">
        <v>7269</v>
      </c>
      <c r="C3221" s="1" t="s">
        <v>531</v>
      </c>
      <c r="G3221" s="1" t="s">
        <v>6419</v>
      </c>
      <c r="H3221" s="1" t="s">
        <v>6420</v>
      </c>
      <c r="P3221" s="1" t="s">
        <v>6923</v>
      </c>
      <c r="Q3221" s="1" t="s">
        <v>6924</v>
      </c>
      <c r="R3221" s="1">
        <v>0.0</v>
      </c>
      <c r="S3221" s="1"/>
    </row>
    <row r="3222" ht="15.75" customHeight="1">
      <c r="A3222" s="1" t="s">
        <v>7270</v>
      </c>
      <c r="B3222" s="1" t="s">
        <v>7271</v>
      </c>
      <c r="C3222" s="1" t="s">
        <v>531</v>
      </c>
      <c r="G3222" s="1" t="s">
        <v>6419</v>
      </c>
      <c r="H3222" s="1" t="s">
        <v>6420</v>
      </c>
      <c r="P3222" s="1" t="s">
        <v>6923</v>
      </c>
      <c r="Q3222" s="1" t="s">
        <v>6924</v>
      </c>
      <c r="R3222" s="1">
        <v>2.0</v>
      </c>
      <c r="S3222" s="1"/>
    </row>
    <row r="3223" ht="15.75" customHeight="1">
      <c r="A3223" s="1" t="s">
        <v>7272</v>
      </c>
      <c r="B3223" s="1" t="s">
        <v>7273</v>
      </c>
      <c r="C3223" s="1" t="s">
        <v>215</v>
      </c>
      <c r="G3223" s="1" t="s">
        <v>7217</v>
      </c>
      <c r="H3223" s="1" t="s">
        <v>7218</v>
      </c>
      <c r="P3223" s="1" t="s">
        <v>6961</v>
      </c>
      <c r="Q3223" s="1" t="s">
        <v>6962</v>
      </c>
      <c r="R3223" s="1">
        <v>0.0</v>
      </c>
      <c r="S3223" s="1"/>
    </row>
    <row r="3224" ht="15.75" customHeight="1">
      <c r="A3224" s="1" t="s">
        <v>7274</v>
      </c>
      <c r="B3224" s="1" t="s">
        <v>7275</v>
      </c>
      <c r="C3224" s="1" t="s">
        <v>215</v>
      </c>
      <c r="G3224" s="1" t="s">
        <v>7217</v>
      </c>
      <c r="H3224" s="1" t="s">
        <v>7218</v>
      </c>
      <c r="P3224" s="1" t="s">
        <v>6961</v>
      </c>
      <c r="Q3224" s="1" t="s">
        <v>6962</v>
      </c>
      <c r="R3224" s="1">
        <v>0.0</v>
      </c>
      <c r="S3224" s="1"/>
    </row>
    <row r="3225" ht="15.75" customHeight="1">
      <c r="A3225" s="1" t="s">
        <v>7276</v>
      </c>
      <c r="B3225" s="1" t="s">
        <v>7277</v>
      </c>
      <c r="C3225" s="1" t="s">
        <v>215</v>
      </c>
      <c r="G3225" s="1" t="s">
        <v>7217</v>
      </c>
      <c r="H3225" s="1" t="s">
        <v>7218</v>
      </c>
      <c r="P3225" s="1" t="s">
        <v>6961</v>
      </c>
      <c r="Q3225" s="1" t="s">
        <v>6962</v>
      </c>
      <c r="R3225" s="1">
        <v>0.0</v>
      </c>
      <c r="S3225" s="1"/>
    </row>
    <row r="3226" ht="15.75" customHeight="1">
      <c r="A3226" s="1" t="s">
        <v>7278</v>
      </c>
      <c r="B3226" s="1" t="s">
        <v>7279</v>
      </c>
      <c r="C3226" s="1" t="s">
        <v>215</v>
      </c>
      <c r="G3226" s="1" t="s">
        <v>7217</v>
      </c>
      <c r="H3226" s="1" t="s">
        <v>7218</v>
      </c>
      <c r="P3226" s="1" t="s">
        <v>6961</v>
      </c>
      <c r="Q3226" s="1" t="s">
        <v>6962</v>
      </c>
      <c r="R3226" s="1">
        <v>0.0</v>
      </c>
      <c r="S3226" s="1"/>
    </row>
    <row r="3227" ht="15.75" customHeight="1">
      <c r="A3227" s="1" t="s">
        <v>7280</v>
      </c>
      <c r="B3227" s="1" t="s">
        <v>7281</v>
      </c>
      <c r="C3227" s="1" t="s">
        <v>174</v>
      </c>
      <c r="G3227" s="1" t="s">
        <v>97</v>
      </c>
      <c r="H3227" s="1" t="s">
        <v>98</v>
      </c>
      <c r="P3227" s="1" t="s">
        <v>4769</v>
      </c>
      <c r="Q3227" s="1" t="s">
        <v>4770</v>
      </c>
      <c r="R3227" s="1">
        <v>1.0</v>
      </c>
      <c r="S3227" s="1"/>
    </row>
    <row r="3228" ht="15.75" customHeight="1">
      <c r="A3228" s="1" t="s">
        <v>7282</v>
      </c>
      <c r="B3228" s="1" t="s">
        <v>7283</v>
      </c>
      <c r="C3228" s="1" t="s">
        <v>531</v>
      </c>
      <c r="G3228" s="1" t="s">
        <v>6419</v>
      </c>
      <c r="H3228" s="1" t="s">
        <v>6420</v>
      </c>
      <c r="P3228" s="1" t="s">
        <v>6923</v>
      </c>
      <c r="Q3228" s="1" t="s">
        <v>6924</v>
      </c>
      <c r="R3228" s="1">
        <v>2.0</v>
      </c>
      <c r="S3228" s="1"/>
    </row>
    <row r="3229" ht="15.75" customHeight="1">
      <c r="A3229" s="1" t="s">
        <v>7284</v>
      </c>
      <c r="B3229" s="1" t="s">
        <v>7285</v>
      </c>
      <c r="C3229" s="1" t="s">
        <v>1078</v>
      </c>
      <c r="G3229" s="1" t="s">
        <v>54</v>
      </c>
      <c r="H3229" s="1" t="s">
        <v>55</v>
      </c>
      <c r="P3229" s="1" t="s">
        <v>1079</v>
      </c>
      <c r="Q3229" s="1" t="s">
        <v>1080</v>
      </c>
      <c r="R3229" s="1">
        <v>0.0</v>
      </c>
      <c r="S3229" s="1"/>
    </row>
    <row r="3230" ht="15.75" customHeight="1">
      <c r="A3230" s="1" t="s">
        <v>7286</v>
      </c>
      <c r="B3230" s="1" t="s">
        <v>7287</v>
      </c>
      <c r="C3230" s="1" t="s">
        <v>7288</v>
      </c>
      <c r="G3230" s="1" t="s">
        <v>54</v>
      </c>
      <c r="H3230" s="1" t="s">
        <v>55</v>
      </c>
      <c r="P3230" s="1" t="s">
        <v>7289</v>
      </c>
      <c r="Q3230" s="1" t="s">
        <v>7290</v>
      </c>
      <c r="R3230" s="1">
        <v>0.0</v>
      </c>
      <c r="S3230" s="1"/>
    </row>
    <row r="3231" ht="15.75" customHeight="1">
      <c r="A3231" s="1" t="s">
        <v>7291</v>
      </c>
      <c r="B3231" s="1" t="s">
        <v>7292</v>
      </c>
      <c r="C3231" s="1" t="s">
        <v>3386</v>
      </c>
      <c r="G3231" s="1" t="s">
        <v>54</v>
      </c>
      <c r="H3231" s="1" t="s">
        <v>55</v>
      </c>
      <c r="P3231" s="1" t="s">
        <v>7293</v>
      </c>
      <c r="Q3231" s="1" t="s">
        <v>7294</v>
      </c>
      <c r="R3231" s="1">
        <v>0.0</v>
      </c>
      <c r="S3231" s="1"/>
    </row>
    <row r="3232" ht="15.75" customHeight="1">
      <c r="A3232" s="1" t="s">
        <v>7295</v>
      </c>
      <c r="B3232" s="1" t="s">
        <v>7296</v>
      </c>
      <c r="C3232" s="1" t="s">
        <v>1053</v>
      </c>
      <c r="G3232" s="1" t="s">
        <v>54</v>
      </c>
      <c r="H3232" s="1" t="s">
        <v>55</v>
      </c>
      <c r="P3232" s="1" t="s">
        <v>3131</v>
      </c>
      <c r="Q3232" s="1" t="s">
        <v>3132</v>
      </c>
      <c r="R3232" s="1">
        <v>0.0</v>
      </c>
      <c r="S3232" s="1"/>
    </row>
    <row r="3233" ht="15.75" customHeight="1">
      <c r="A3233" s="1" t="s">
        <v>7297</v>
      </c>
      <c r="B3233" s="1" t="s">
        <v>7298</v>
      </c>
      <c r="C3233" s="1" t="s">
        <v>4063</v>
      </c>
      <c r="G3233" s="1" t="s">
        <v>54</v>
      </c>
      <c r="H3233" s="1" t="s">
        <v>55</v>
      </c>
      <c r="P3233" s="1" t="s">
        <v>733</v>
      </c>
      <c r="Q3233" s="1" t="s">
        <v>734</v>
      </c>
      <c r="R3233" s="1">
        <v>0.0</v>
      </c>
      <c r="S3233" s="1"/>
    </row>
    <row r="3234" ht="15.75" customHeight="1">
      <c r="A3234" s="1" t="s">
        <v>7299</v>
      </c>
      <c r="B3234" s="1" t="s">
        <v>7300</v>
      </c>
      <c r="C3234" s="1" t="s">
        <v>549</v>
      </c>
      <c r="G3234" s="1" t="s">
        <v>54</v>
      </c>
      <c r="H3234" s="1" t="s">
        <v>55</v>
      </c>
      <c r="P3234" s="1" t="s">
        <v>7301</v>
      </c>
      <c r="Q3234" s="1" t="s">
        <v>7302</v>
      </c>
      <c r="R3234" s="1">
        <v>0.0</v>
      </c>
      <c r="S3234" s="1"/>
    </row>
    <row r="3235" ht="15.75" customHeight="1">
      <c r="A3235" s="1" t="s">
        <v>7303</v>
      </c>
      <c r="B3235" s="1" t="s">
        <v>7304</v>
      </c>
      <c r="C3235" s="1" t="s">
        <v>4632</v>
      </c>
      <c r="G3235" s="1" t="s">
        <v>54</v>
      </c>
      <c r="H3235" s="1" t="s">
        <v>55</v>
      </c>
      <c r="P3235" s="1" t="s">
        <v>3243</v>
      </c>
      <c r="Q3235" s="1" t="s">
        <v>3244</v>
      </c>
      <c r="R3235" s="1">
        <v>0.0</v>
      </c>
      <c r="S3235" s="1"/>
    </row>
    <row r="3236" ht="15.75" customHeight="1">
      <c r="A3236" s="1" t="s">
        <v>7305</v>
      </c>
      <c r="B3236" s="1" t="s">
        <v>7306</v>
      </c>
      <c r="C3236" s="1" t="s">
        <v>174</v>
      </c>
      <c r="G3236" s="1" t="s">
        <v>54</v>
      </c>
      <c r="H3236" s="1" t="s">
        <v>55</v>
      </c>
      <c r="P3236" s="1" t="s">
        <v>6433</v>
      </c>
      <c r="Q3236" s="1" t="s">
        <v>6434</v>
      </c>
      <c r="R3236" s="1">
        <v>0.0</v>
      </c>
      <c r="S3236" s="1"/>
    </row>
    <row r="3237" ht="15.75" customHeight="1">
      <c r="A3237" s="1" t="s">
        <v>7307</v>
      </c>
      <c r="B3237" s="1" t="s">
        <v>7308</v>
      </c>
      <c r="C3237" s="1" t="s">
        <v>3440</v>
      </c>
      <c r="G3237" s="1" t="s">
        <v>54</v>
      </c>
      <c r="H3237" s="1" t="s">
        <v>55</v>
      </c>
      <c r="P3237" s="1" t="s">
        <v>1079</v>
      </c>
      <c r="Q3237" s="1" t="s">
        <v>1080</v>
      </c>
      <c r="R3237" s="1">
        <v>0.0</v>
      </c>
      <c r="S3237" s="1"/>
    </row>
    <row r="3238" ht="15.75" customHeight="1">
      <c r="A3238" s="1" t="s">
        <v>7309</v>
      </c>
      <c r="B3238" s="1" t="s">
        <v>7310</v>
      </c>
      <c r="C3238" s="1" t="s">
        <v>1516</v>
      </c>
      <c r="G3238" s="1" t="s">
        <v>54</v>
      </c>
      <c r="H3238" s="1" t="s">
        <v>55</v>
      </c>
      <c r="P3238" s="1" t="s">
        <v>3342</v>
      </c>
      <c r="Q3238" s="1" t="s">
        <v>3343</v>
      </c>
      <c r="R3238" s="1">
        <v>0.0</v>
      </c>
      <c r="S3238" s="1"/>
    </row>
    <row r="3239" ht="15.75" customHeight="1">
      <c r="A3239" s="1" t="s">
        <v>7311</v>
      </c>
      <c r="B3239" s="1" t="s">
        <v>7312</v>
      </c>
      <c r="C3239" s="1" t="s">
        <v>987</v>
      </c>
      <c r="G3239" s="1" t="s">
        <v>54</v>
      </c>
      <c r="H3239" s="1" t="s">
        <v>55</v>
      </c>
      <c r="P3239" s="1" t="s">
        <v>7301</v>
      </c>
      <c r="Q3239" s="1" t="s">
        <v>7302</v>
      </c>
      <c r="R3239" s="1">
        <v>0.0</v>
      </c>
      <c r="S3239" s="1"/>
    </row>
    <row r="3240" ht="15.75" customHeight="1">
      <c r="A3240" s="1" t="s">
        <v>7313</v>
      </c>
      <c r="B3240" s="1" t="s">
        <v>7314</v>
      </c>
      <c r="C3240" s="1" t="s">
        <v>7315</v>
      </c>
      <c r="G3240" s="1" t="s">
        <v>54</v>
      </c>
      <c r="H3240" s="1" t="s">
        <v>55</v>
      </c>
      <c r="P3240" s="1" t="s">
        <v>7301</v>
      </c>
      <c r="Q3240" s="1" t="s">
        <v>7302</v>
      </c>
      <c r="R3240" s="1">
        <v>0.0</v>
      </c>
      <c r="S3240" s="1"/>
    </row>
    <row r="3241" ht="15.75" customHeight="1">
      <c r="A3241" s="1" t="s">
        <v>7316</v>
      </c>
      <c r="B3241" s="1" t="s">
        <v>7317</v>
      </c>
      <c r="C3241" s="1" t="s">
        <v>5344</v>
      </c>
      <c r="G3241" s="1" t="s">
        <v>54</v>
      </c>
      <c r="H3241" s="1" t="s">
        <v>55</v>
      </c>
      <c r="P3241" s="1" t="s">
        <v>7301</v>
      </c>
      <c r="Q3241" s="1" t="s">
        <v>7302</v>
      </c>
      <c r="R3241" s="1">
        <v>0.0</v>
      </c>
      <c r="S3241" s="1"/>
    </row>
    <row r="3242" ht="15.75" customHeight="1">
      <c r="A3242" s="1" t="s">
        <v>7318</v>
      </c>
      <c r="B3242" s="1" t="s">
        <v>7319</v>
      </c>
      <c r="C3242" s="1" t="s">
        <v>4562</v>
      </c>
      <c r="G3242" s="1" t="s">
        <v>54</v>
      </c>
      <c r="H3242" s="1" t="s">
        <v>55</v>
      </c>
      <c r="P3242" s="1" t="s">
        <v>3131</v>
      </c>
      <c r="Q3242" s="1" t="s">
        <v>3132</v>
      </c>
      <c r="R3242" s="1">
        <v>0.0</v>
      </c>
      <c r="S3242" s="1"/>
    </row>
    <row r="3243" ht="15.75" customHeight="1">
      <c r="A3243" s="1" t="s">
        <v>7320</v>
      </c>
      <c r="B3243" s="1" t="s">
        <v>7321</v>
      </c>
      <c r="C3243" s="1" t="s">
        <v>1078</v>
      </c>
      <c r="G3243" s="1" t="s">
        <v>54</v>
      </c>
      <c r="H3243" s="1" t="s">
        <v>55</v>
      </c>
      <c r="P3243" s="1" t="s">
        <v>1079</v>
      </c>
      <c r="Q3243" s="1" t="s">
        <v>1080</v>
      </c>
      <c r="R3243" s="1">
        <v>0.0</v>
      </c>
      <c r="S3243" s="1"/>
    </row>
    <row r="3244" ht="15.75" customHeight="1">
      <c r="A3244" s="1" t="s">
        <v>7322</v>
      </c>
      <c r="B3244" s="1" t="s">
        <v>7323</v>
      </c>
      <c r="C3244" s="1" t="s">
        <v>815</v>
      </c>
      <c r="G3244" s="1" t="s">
        <v>54</v>
      </c>
      <c r="H3244" s="1" t="s">
        <v>55</v>
      </c>
      <c r="P3244" s="1" t="s">
        <v>3243</v>
      </c>
      <c r="Q3244" s="1" t="s">
        <v>3244</v>
      </c>
      <c r="R3244" s="1">
        <v>0.0</v>
      </c>
      <c r="S3244" s="1"/>
    </row>
    <row r="3245" ht="15.75" customHeight="1">
      <c r="A3245" s="1" t="s">
        <v>7324</v>
      </c>
      <c r="B3245" s="1" t="s">
        <v>7325</v>
      </c>
      <c r="C3245" s="1" t="s">
        <v>526</v>
      </c>
      <c r="G3245" s="1" t="s">
        <v>54</v>
      </c>
      <c r="H3245" s="1" t="s">
        <v>55</v>
      </c>
      <c r="P3245" s="1" t="s">
        <v>4977</v>
      </c>
      <c r="Q3245" s="1" t="s">
        <v>4978</v>
      </c>
      <c r="R3245" s="1">
        <v>0.0</v>
      </c>
      <c r="S3245" s="1"/>
    </row>
    <row r="3246" ht="15.75" customHeight="1">
      <c r="A3246" s="1" t="s">
        <v>7326</v>
      </c>
      <c r="B3246" s="1" t="s">
        <v>7327</v>
      </c>
      <c r="C3246" s="1" t="s">
        <v>1044</v>
      </c>
      <c r="G3246" s="1" t="s">
        <v>54</v>
      </c>
      <c r="H3246" s="1" t="s">
        <v>55</v>
      </c>
      <c r="P3246" s="1" t="s">
        <v>3131</v>
      </c>
      <c r="Q3246" s="1" t="s">
        <v>3132</v>
      </c>
      <c r="R3246" s="1">
        <v>0.0</v>
      </c>
      <c r="S3246" s="1"/>
    </row>
    <row r="3247" ht="15.75" customHeight="1">
      <c r="A3247" s="1" t="s">
        <v>7328</v>
      </c>
      <c r="B3247" s="1" t="s">
        <v>7329</v>
      </c>
      <c r="C3247" s="1" t="s">
        <v>3892</v>
      </c>
      <c r="G3247" s="1" t="s">
        <v>54</v>
      </c>
      <c r="H3247" s="1" t="s">
        <v>55</v>
      </c>
      <c r="P3247" s="1" t="s">
        <v>3131</v>
      </c>
      <c r="Q3247" s="1" t="s">
        <v>3132</v>
      </c>
      <c r="R3247" s="1">
        <v>0.0</v>
      </c>
      <c r="S3247" s="1"/>
    </row>
    <row r="3248" ht="15.75" customHeight="1">
      <c r="A3248" s="1" t="s">
        <v>7330</v>
      </c>
      <c r="B3248" s="1" t="s">
        <v>7331</v>
      </c>
      <c r="C3248" s="1" t="s">
        <v>3537</v>
      </c>
      <c r="G3248" s="1" t="s">
        <v>54</v>
      </c>
      <c r="H3248" s="1" t="s">
        <v>55</v>
      </c>
      <c r="P3248" s="1" t="s">
        <v>3131</v>
      </c>
      <c r="Q3248" s="1" t="s">
        <v>3132</v>
      </c>
      <c r="R3248" s="1">
        <v>0.0</v>
      </c>
      <c r="S3248" s="1"/>
    </row>
    <row r="3249" ht="15.75" customHeight="1">
      <c r="A3249" s="1" t="s">
        <v>7332</v>
      </c>
      <c r="B3249" s="1" t="s">
        <v>7333</v>
      </c>
      <c r="C3249" s="1" t="s">
        <v>946</v>
      </c>
      <c r="G3249" s="1" t="s">
        <v>54</v>
      </c>
      <c r="H3249" s="1" t="s">
        <v>55</v>
      </c>
      <c r="P3249" s="1" t="s">
        <v>7301</v>
      </c>
      <c r="Q3249" s="1" t="s">
        <v>7302</v>
      </c>
      <c r="R3249" s="1">
        <v>0.0</v>
      </c>
      <c r="S3249" s="1"/>
    </row>
    <row r="3250" ht="15.75" customHeight="1">
      <c r="A3250" s="1" t="s">
        <v>7334</v>
      </c>
      <c r="B3250" s="1" t="s">
        <v>7335</v>
      </c>
      <c r="C3250" s="1" t="s">
        <v>4104</v>
      </c>
      <c r="G3250" s="1" t="s">
        <v>54</v>
      </c>
      <c r="H3250" s="1" t="s">
        <v>55</v>
      </c>
      <c r="P3250" s="1" t="s">
        <v>7336</v>
      </c>
      <c r="Q3250" s="1" t="s">
        <v>7337</v>
      </c>
      <c r="R3250" s="1">
        <v>0.0</v>
      </c>
      <c r="S3250" s="1"/>
    </row>
    <row r="3251" ht="15.75" customHeight="1">
      <c r="A3251" s="1" t="s">
        <v>7338</v>
      </c>
      <c r="B3251" s="1" t="s">
        <v>7339</v>
      </c>
      <c r="C3251" s="1" t="s">
        <v>3287</v>
      </c>
      <c r="G3251" s="1" t="s">
        <v>54</v>
      </c>
      <c r="H3251" s="1" t="s">
        <v>55</v>
      </c>
      <c r="P3251" s="1" t="s">
        <v>3131</v>
      </c>
      <c r="Q3251" s="1" t="s">
        <v>3132</v>
      </c>
      <c r="R3251" s="1">
        <v>0.0</v>
      </c>
      <c r="S3251" s="1"/>
    </row>
    <row r="3252" ht="15.75" customHeight="1">
      <c r="A3252" s="1" t="s">
        <v>7340</v>
      </c>
      <c r="B3252" s="1" t="s">
        <v>7341</v>
      </c>
      <c r="C3252" s="1" t="s">
        <v>2387</v>
      </c>
      <c r="G3252" s="1" t="s">
        <v>54</v>
      </c>
      <c r="H3252" s="1" t="s">
        <v>55</v>
      </c>
      <c r="P3252" s="1" t="s">
        <v>3219</v>
      </c>
      <c r="Q3252" s="1" t="s">
        <v>3220</v>
      </c>
      <c r="R3252" s="1">
        <v>0.0</v>
      </c>
      <c r="S3252" s="1"/>
    </row>
    <row r="3253" ht="15.75" customHeight="1">
      <c r="A3253" s="1" t="s">
        <v>7342</v>
      </c>
      <c r="B3253" s="1" t="s">
        <v>7343</v>
      </c>
      <c r="C3253" s="1" t="s">
        <v>185</v>
      </c>
      <c r="G3253" s="1" t="s">
        <v>54</v>
      </c>
      <c r="H3253" s="1" t="s">
        <v>55</v>
      </c>
      <c r="P3253" s="1" t="s">
        <v>2074</v>
      </c>
      <c r="Q3253" s="1" t="s">
        <v>2075</v>
      </c>
      <c r="R3253" s="1">
        <v>0.0</v>
      </c>
      <c r="S3253" s="1"/>
    </row>
    <row r="3254" ht="15.75" customHeight="1">
      <c r="A3254" s="1" t="s">
        <v>7344</v>
      </c>
      <c r="B3254" s="1" t="s">
        <v>7345</v>
      </c>
      <c r="C3254" s="1" t="s">
        <v>3530</v>
      </c>
      <c r="G3254" s="1" t="s">
        <v>54</v>
      </c>
      <c r="H3254" s="1" t="s">
        <v>55</v>
      </c>
      <c r="P3254" s="1" t="s">
        <v>3131</v>
      </c>
      <c r="Q3254" s="1" t="s">
        <v>3132</v>
      </c>
      <c r="R3254" s="1">
        <v>0.0</v>
      </c>
      <c r="S3254" s="1"/>
    </row>
    <row r="3255" ht="15.75" customHeight="1">
      <c r="A3255" s="1" t="s">
        <v>7346</v>
      </c>
      <c r="B3255" s="1" t="s">
        <v>7347</v>
      </c>
      <c r="C3255" s="1" t="s">
        <v>4290</v>
      </c>
      <c r="G3255" s="1" t="s">
        <v>54</v>
      </c>
      <c r="H3255" s="1" t="s">
        <v>55</v>
      </c>
      <c r="P3255" s="1" t="s">
        <v>7348</v>
      </c>
      <c r="Q3255" s="1" t="s">
        <v>7349</v>
      </c>
      <c r="R3255" s="1">
        <v>0.0</v>
      </c>
      <c r="S3255" s="1"/>
    </row>
    <row r="3256" ht="15.75" customHeight="1">
      <c r="A3256" s="1" t="s">
        <v>7350</v>
      </c>
      <c r="B3256" s="1" t="s">
        <v>7351</v>
      </c>
      <c r="C3256" s="1" t="s">
        <v>1957</v>
      </c>
      <c r="G3256" s="1" t="s">
        <v>54</v>
      </c>
      <c r="H3256" s="1" t="s">
        <v>55</v>
      </c>
      <c r="P3256" s="1" t="s">
        <v>7336</v>
      </c>
      <c r="Q3256" s="1" t="s">
        <v>7337</v>
      </c>
      <c r="R3256" s="1">
        <v>0.0</v>
      </c>
      <c r="S3256" s="1"/>
    </row>
    <row r="3257" ht="15.75" customHeight="1">
      <c r="A3257" s="1" t="s">
        <v>7352</v>
      </c>
      <c r="B3257" s="1" t="s">
        <v>7353</v>
      </c>
      <c r="C3257" s="1" t="s">
        <v>531</v>
      </c>
      <c r="G3257" s="1" t="s">
        <v>54</v>
      </c>
      <c r="H3257" s="1" t="s">
        <v>55</v>
      </c>
      <c r="P3257" s="1" t="s">
        <v>3135</v>
      </c>
      <c r="Q3257" s="1" t="s">
        <v>3136</v>
      </c>
      <c r="R3257" s="1">
        <v>0.0</v>
      </c>
      <c r="S3257" s="1"/>
    </row>
    <row r="3258" ht="15.75" customHeight="1">
      <c r="A3258" s="1" t="s">
        <v>7354</v>
      </c>
      <c r="B3258" s="1" t="s">
        <v>7355</v>
      </c>
      <c r="C3258" s="1" t="s">
        <v>174</v>
      </c>
      <c r="G3258" s="1" t="s">
        <v>2511</v>
      </c>
      <c r="H3258" s="1" t="s">
        <v>2512</v>
      </c>
      <c r="P3258" s="1" t="s">
        <v>7210</v>
      </c>
      <c r="Q3258" s="1" t="s">
        <v>7211</v>
      </c>
      <c r="R3258" s="1">
        <v>1.0</v>
      </c>
      <c r="S3258" s="1"/>
    </row>
    <row r="3259" ht="15.75" customHeight="1">
      <c r="A3259" s="1" t="s">
        <v>7356</v>
      </c>
      <c r="B3259" s="1" t="s">
        <v>7357</v>
      </c>
      <c r="C3259" s="1" t="s">
        <v>174</v>
      </c>
      <c r="G3259" s="1" t="s">
        <v>2511</v>
      </c>
      <c r="H3259" s="1" t="s">
        <v>2512</v>
      </c>
      <c r="P3259" s="1" t="s">
        <v>7210</v>
      </c>
      <c r="Q3259" s="1" t="s">
        <v>7211</v>
      </c>
      <c r="R3259" s="1">
        <v>1.0</v>
      </c>
      <c r="S3259" s="1"/>
    </row>
    <row r="3260" ht="15.75" customHeight="1">
      <c r="A3260" s="1" t="s">
        <v>7358</v>
      </c>
      <c r="B3260" s="1" t="s">
        <v>7359</v>
      </c>
      <c r="C3260" s="1" t="s">
        <v>174</v>
      </c>
      <c r="G3260" s="1" t="s">
        <v>2511</v>
      </c>
      <c r="H3260" s="1" t="s">
        <v>2512</v>
      </c>
      <c r="P3260" s="1" t="s">
        <v>7210</v>
      </c>
      <c r="Q3260" s="1" t="s">
        <v>7211</v>
      </c>
      <c r="R3260" s="1">
        <v>0.0</v>
      </c>
      <c r="S3260" s="1"/>
    </row>
    <row r="3261" ht="15.75" customHeight="1">
      <c r="A3261" s="1" t="s">
        <v>7360</v>
      </c>
      <c r="B3261" s="1" t="s">
        <v>7361</v>
      </c>
      <c r="C3261" s="1" t="s">
        <v>148</v>
      </c>
      <c r="G3261" s="1" t="s">
        <v>7164</v>
      </c>
      <c r="H3261" s="1" t="s">
        <v>7165</v>
      </c>
      <c r="P3261" s="1" t="s">
        <v>2300</v>
      </c>
      <c r="Q3261" s="1" t="s">
        <v>2301</v>
      </c>
      <c r="R3261" s="1">
        <v>0.0</v>
      </c>
      <c r="S3261" s="1"/>
    </row>
    <row r="3262" ht="15.75" customHeight="1">
      <c r="A3262" s="1" t="s">
        <v>7362</v>
      </c>
      <c r="B3262" s="1" t="s">
        <v>7363</v>
      </c>
      <c r="C3262" s="1" t="s">
        <v>7364</v>
      </c>
      <c r="K3262" s="1" t="s">
        <v>2892</v>
      </c>
      <c r="L3262" s="1" t="s">
        <v>27</v>
      </c>
      <c r="N3262" s="1" t="s">
        <v>216</v>
      </c>
      <c r="R3262" s="1">
        <v>0.0</v>
      </c>
      <c r="S3262" s="1"/>
    </row>
    <row r="3263" ht="15.75" customHeight="1">
      <c r="A3263" s="1" t="s">
        <v>7365</v>
      </c>
      <c r="B3263" s="1" t="s">
        <v>7366</v>
      </c>
      <c r="C3263" s="1" t="s">
        <v>446</v>
      </c>
      <c r="K3263" s="1" t="s">
        <v>2892</v>
      </c>
      <c r="L3263" s="1" t="s">
        <v>27</v>
      </c>
      <c r="N3263" s="1" t="s">
        <v>216</v>
      </c>
      <c r="R3263" s="1">
        <v>0.0</v>
      </c>
      <c r="S3263" s="1"/>
    </row>
    <row r="3264" ht="15.75" customHeight="1">
      <c r="A3264" s="1" t="s">
        <v>7367</v>
      </c>
      <c r="B3264" s="1" t="s">
        <v>7368</v>
      </c>
      <c r="C3264" s="1" t="s">
        <v>1537</v>
      </c>
      <c r="K3264" s="1" t="s">
        <v>2892</v>
      </c>
      <c r="L3264" s="1" t="s">
        <v>27</v>
      </c>
      <c r="N3264" s="1" t="s">
        <v>216</v>
      </c>
      <c r="R3264" s="1">
        <v>0.0</v>
      </c>
      <c r="S3264" s="1"/>
    </row>
    <row r="3265" ht="15.75" customHeight="1">
      <c r="A3265" s="1" t="s">
        <v>7369</v>
      </c>
      <c r="B3265" s="1" t="s">
        <v>7370</v>
      </c>
      <c r="C3265" s="1" t="s">
        <v>765</v>
      </c>
      <c r="K3265" s="1" t="s">
        <v>2892</v>
      </c>
      <c r="L3265" s="1" t="s">
        <v>27</v>
      </c>
      <c r="N3265" s="1" t="s">
        <v>28</v>
      </c>
      <c r="R3265" s="1">
        <v>0.0</v>
      </c>
      <c r="S3265" s="1"/>
    </row>
    <row r="3266" ht="15.75" customHeight="1">
      <c r="A3266" s="1" t="s">
        <v>7371</v>
      </c>
      <c r="B3266" s="1" t="s">
        <v>7372</v>
      </c>
      <c r="C3266" s="1" t="s">
        <v>7373</v>
      </c>
      <c r="K3266" s="1" t="s">
        <v>2892</v>
      </c>
      <c r="L3266" s="1" t="s">
        <v>27</v>
      </c>
      <c r="N3266" s="1" t="s">
        <v>216</v>
      </c>
      <c r="R3266" s="1">
        <v>0.0</v>
      </c>
      <c r="S3266" s="1"/>
    </row>
    <row r="3267" ht="15.75" customHeight="1">
      <c r="A3267" s="1" t="s">
        <v>7374</v>
      </c>
      <c r="B3267" s="1" t="s">
        <v>7375</v>
      </c>
      <c r="C3267" s="1" t="s">
        <v>7376</v>
      </c>
      <c r="K3267" s="1" t="s">
        <v>2892</v>
      </c>
      <c r="L3267" s="1" t="s">
        <v>27</v>
      </c>
      <c r="N3267" s="1" t="s">
        <v>216</v>
      </c>
      <c r="R3267" s="1">
        <v>0.0</v>
      </c>
      <c r="S3267" s="1"/>
    </row>
    <row r="3268" ht="15.75" customHeight="1">
      <c r="A3268" s="1" t="s">
        <v>7377</v>
      </c>
      <c r="B3268" s="1" t="s">
        <v>7378</v>
      </c>
      <c r="C3268" s="1" t="s">
        <v>1573</v>
      </c>
      <c r="K3268" s="1" t="s">
        <v>2892</v>
      </c>
      <c r="L3268" s="1" t="s">
        <v>27</v>
      </c>
      <c r="N3268" s="1" t="s">
        <v>216</v>
      </c>
      <c r="R3268" s="1">
        <v>0.0</v>
      </c>
      <c r="S3268" s="1"/>
    </row>
    <row r="3269" ht="15.75" customHeight="1">
      <c r="A3269" s="1" t="s">
        <v>7379</v>
      </c>
      <c r="B3269" s="1" t="s">
        <v>7380</v>
      </c>
      <c r="C3269" s="1" t="s">
        <v>1565</v>
      </c>
      <c r="K3269" s="1" t="s">
        <v>2892</v>
      </c>
      <c r="L3269" s="1" t="s">
        <v>27</v>
      </c>
      <c r="N3269" s="1" t="s">
        <v>216</v>
      </c>
      <c r="R3269" s="1">
        <v>0.0</v>
      </c>
      <c r="S3269" s="1"/>
    </row>
    <row r="3270" ht="15.75" customHeight="1">
      <c r="A3270" s="1" t="s">
        <v>7381</v>
      </c>
      <c r="B3270" s="1" t="s">
        <v>7382</v>
      </c>
      <c r="C3270" s="1" t="s">
        <v>7383</v>
      </c>
      <c r="K3270" s="1" t="s">
        <v>2892</v>
      </c>
      <c r="L3270" s="1" t="s">
        <v>27</v>
      </c>
      <c r="N3270" s="1" t="s">
        <v>28</v>
      </c>
      <c r="R3270" s="1">
        <v>0.0</v>
      </c>
      <c r="S3270" s="1"/>
    </row>
    <row r="3271" ht="15.75" customHeight="1">
      <c r="A3271" s="1" t="s">
        <v>7384</v>
      </c>
      <c r="B3271" s="1" t="s">
        <v>7385</v>
      </c>
      <c r="C3271" s="1" t="s">
        <v>7373</v>
      </c>
      <c r="K3271" s="1" t="s">
        <v>2892</v>
      </c>
      <c r="L3271" s="1" t="s">
        <v>27</v>
      </c>
      <c r="N3271" s="1" t="s">
        <v>216</v>
      </c>
      <c r="R3271" s="1">
        <v>0.0</v>
      </c>
      <c r="S3271" s="1"/>
    </row>
    <row r="3272" ht="15.75" customHeight="1">
      <c r="A3272" s="1" t="s">
        <v>7386</v>
      </c>
      <c r="B3272" s="1" t="s">
        <v>7387</v>
      </c>
      <c r="C3272" s="1" t="s">
        <v>174</v>
      </c>
      <c r="K3272" s="1" t="s">
        <v>2892</v>
      </c>
      <c r="L3272" s="1" t="s">
        <v>27</v>
      </c>
      <c r="N3272" s="1" t="s">
        <v>174</v>
      </c>
      <c r="R3272" s="1">
        <v>0.0</v>
      </c>
      <c r="S3272" s="1"/>
    </row>
    <row r="3273" ht="15.75" customHeight="1">
      <c r="A3273" s="1" t="s">
        <v>7388</v>
      </c>
      <c r="B3273" s="1" t="s">
        <v>7389</v>
      </c>
      <c r="C3273" s="1" t="s">
        <v>174</v>
      </c>
      <c r="K3273" s="1" t="s">
        <v>2892</v>
      </c>
      <c r="L3273" s="1" t="s">
        <v>27</v>
      </c>
      <c r="N3273" s="1" t="s">
        <v>174</v>
      </c>
      <c r="R3273" s="1">
        <v>0.0</v>
      </c>
      <c r="S3273" s="1"/>
    </row>
    <row r="3274" ht="15.75" customHeight="1">
      <c r="A3274" s="1" t="s">
        <v>7390</v>
      </c>
      <c r="B3274" s="1" t="s">
        <v>7391</v>
      </c>
      <c r="C3274" s="1" t="s">
        <v>7392</v>
      </c>
      <c r="K3274" s="1" t="s">
        <v>2892</v>
      </c>
      <c r="L3274" s="1" t="s">
        <v>27</v>
      </c>
      <c r="N3274" s="1" t="s">
        <v>849</v>
      </c>
      <c r="R3274" s="1">
        <v>0.0</v>
      </c>
      <c r="S3274" s="1"/>
    </row>
    <row r="3275" ht="15.75" customHeight="1">
      <c r="A3275" s="1" t="s">
        <v>7393</v>
      </c>
      <c r="B3275" s="1" t="s">
        <v>7394</v>
      </c>
      <c r="C3275" s="1" t="s">
        <v>7395</v>
      </c>
      <c r="K3275" s="1" t="s">
        <v>2892</v>
      </c>
      <c r="L3275" s="1" t="s">
        <v>27</v>
      </c>
      <c r="N3275" s="1" t="s">
        <v>216</v>
      </c>
      <c r="R3275" s="1">
        <v>0.0</v>
      </c>
      <c r="S3275" s="1"/>
    </row>
    <row r="3276" ht="15.75" customHeight="1">
      <c r="A3276" s="1" t="s">
        <v>7396</v>
      </c>
      <c r="B3276" s="1" t="s">
        <v>7397</v>
      </c>
      <c r="C3276" s="1" t="s">
        <v>1652</v>
      </c>
      <c r="K3276" s="1" t="s">
        <v>2892</v>
      </c>
      <c r="L3276" s="1" t="s">
        <v>27</v>
      </c>
      <c r="N3276" s="1" t="s">
        <v>216</v>
      </c>
      <c r="R3276" s="1">
        <v>0.0</v>
      </c>
      <c r="S3276" s="1"/>
    </row>
    <row r="3277" ht="15.75" customHeight="1">
      <c r="A3277" s="1" t="s">
        <v>7398</v>
      </c>
      <c r="B3277" s="1" t="s">
        <v>7399</v>
      </c>
      <c r="C3277" s="1" t="s">
        <v>1652</v>
      </c>
      <c r="K3277" s="1" t="s">
        <v>2892</v>
      </c>
      <c r="L3277" s="1" t="s">
        <v>27</v>
      </c>
      <c r="N3277" s="1" t="s">
        <v>216</v>
      </c>
      <c r="R3277" s="1">
        <v>0.0</v>
      </c>
      <c r="S3277" s="1"/>
    </row>
    <row r="3278" ht="15.75" customHeight="1">
      <c r="A3278" s="1" t="s">
        <v>7400</v>
      </c>
      <c r="B3278" s="1" t="s">
        <v>7401</v>
      </c>
      <c r="C3278" s="1" t="s">
        <v>7402</v>
      </c>
      <c r="K3278" s="1" t="s">
        <v>2892</v>
      </c>
      <c r="L3278" s="1" t="s">
        <v>27</v>
      </c>
      <c r="N3278" s="1" t="s">
        <v>216</v>
      </c>
      <c r="R3278" s="1">
        <v>0.0</v>
      </c>
      <c r="S3278" s="1"/>
    </row>
    <row r="3279" ht="15.75" customHeight="1">
      <c r="A3279" s="1" t="s">
        <v>7403</v>
      </c>
      <c r="B3279" s="1" t="s">
        <v>7404</v>
      </c>
      <c r="C3279" s="1" t="s">
        <v>4287</v>
      </c>
      <c r="K3279" s="1" t="s">
        <v>2892</v>
      </c>
      <c r="L3279" s="1" t="s">
        <v>27</v>
      </c>
      <c r="N3279" s="1" t="s">
        <v>28</v>
      </c>
      <c r="R3279" s="1">
        <v>0.0</v>
      </c>
      <c r="S3279" s="1"/>
    </row>
    <row r="3280" ht="15.75" customHeight="1">
      <c r="A3280" s="1" t="s">
        <v>7405</v>
      </c>
      <c r="B3280" s="1" t="s">
        <v>7406</v>
      </c>
      <c r="C3280" s="1" t="s">
        <v>1565</v>
      </c>
      <c r="K3280" s="1" t="s">
        <v>2892</v>
      </c>
      <c r="L3280" s="1" t="s">
        <v>27</v>
      </c>
      <c r="N3280" s="1" t="s">
        <v>216</v>
      </c>
      <c r="R3280" s="1">
        <v>0.0</v>
      </c>
      <c r="S3280" s="1"/>
    </row>
    <row r="3281" ht="15.75" customHeight="1">
      <c r="A3281" s="1" t="s">
        <v>7407</v>
      </c>
      <c r="B3281" s="1" t="s">
        <v>7408</v>
      </c>
      <c r="C3281" s="1" t="s">
        <v>1516</v>
      </c>
      <c r="K3281" s="1" t="s">
        <v>2892</v>
      </c>
      <c r="L3281" s="1" t="s">
        <v>27</v>
      </c>
      <c r="N3281" s="1" t="s">
        <v>216</v>
      </c>
      <c r="R3281" s="1">
        <v>0.0</v>
      </c>
      <c r="S3281" s="1"/>
    </row>
    <row r="3282" ht="15.75" customHeight="1">
      <c r="A3282" s="1" t="s">
        <v>7409</v>
      </c>
      <c r="B3282" s="1" t="s">
        <v>7410</v>
      </c>
      <c r="C3282" s="1" t="s">
        <v>174</v>
      </c>
      <c r="K3282" s="1" t="s">
        <v>2892</v>
      </c>
      <c r="L3282" s="1" t="s">
        <v>27</v>
      </c>
      <c r="N3282" s="1" t="s">
        <v>174</v>
      </c>
      <c r="R3282" s="1">
        <v>0.0</v>
      </c>
      <c r="S3282" s="1"/>
    </row>
    <row r="3283" ht="15.75" customHeight="1">
      <c r="A3283" s="1" t="s">
        <v>7411</v>
      </c>
      <c r="B3283" s="1" t="s">
        <v>7412</v>
      </c>
      <c r="C3283" s="1" t="s">
        <v>4509</v>
      </c>
      <c r="K3283" s="1" t="s">
        <v>2892</v>
      </c>
      <c r="L3283" s="1" t="s">
        <v>27</v>
      </c>
      <c r="N3283" s="1" t="s">
        <v>28</v>
      </c>
      <c r="R3283" s="1">
        <v>0.0</v>
      </c>
      <c r="S3283" s="1"/>
    </row>
    <row r="3284" ht="15.75" customHeight="1">
      <c r="A3284" s="1" t="s">
        <v>7413</v>
      </c>
      <c r="B3284" s="1" t="s">
        <v>7414</v>
      </c>
      <c r="C3284" s="1" t="s">
        <v>106</v>
      </c>
      <c r="K3284" s="1" t="s">
        <v>2892</v>
      </c>
      <c r="L3284" s="1" t="s">
        <v>27</v>
      </c>
      <c r="N3284" s="1" t="s">
        <v>28</v>
      </c>
      <c r="R3284" s="1">
        <v>0.0</v>
      </c>
      <c r="S3284" s="1"/>
    </row>
    <row r="3285" ht="15.75" customHeight="1">
      <c r="A3285" s="1" t="s">
        <v>7415</v>
      </c>
      <c r="B3285" s="1" t="s">
        <v>7416</v>
      </c>
      <c r="C3285" s="1" t="s">
        <v>1565</v>
      </c>
      <c r="K3285" s="1" t="s">
        <v>2892</v>
      </c>
      <c r="L3285" s="1" t="s">
        <v>27</v>
      </c>
      <c r="N3285" s="1" t="s">
        <v>216</v>
      </c>
      <c r="R3285" s="1">
        <v>0.0</v>
      </c>
      <c r="S3285" s="1"/>
    </row>
    <row r="3286" ht="15.75" customHeight="1">
      <c r="A3286" s="1" t="s">
        <v>7417</v>
      </c>
      <c r="B3286" s="1" t="s">
        <v>7418</v>
      </c>
      <c r="C3286" s="1" t="s">
        <v>7419</v>
      </c>
      <c r="K3286" s="1" t="s">
        <v>2892</v>
      </c>
      <c r="L3286" s="1" t="s">
        <v>27</v>
      </c>
      <c r="N3286" s="1" t="s">
        <v>216</v>
      </c>
      <c r="R3286" s="1">
        <v>0.0</v>
      </c>
      <c r="S3286" s="1"/>
    </row>
    <row r="3287" ht="15.75" customHeight="1">
      <c r="A3287" s="1" t="s">
        <v>7420</v>
      </c>
      <c r="B3287" s="1" t="s">
        <v>7421</v>
      </c>
      <c r="C3287" s="1" t="s">
        <v>3185</v>
      </c>
      <c r="K3287" s="1" t="s">
        <v>2892</v>
      </c>
      <c r="L3287" s="1" t="s">
        <v>27</v>
      </c>
      <c r="N3287" s="1" t="s">
        <v>163</v>
      </c>
      <c r="R3287" s="1">
        <v>0.0</v>
      </c>
      <c r="S3287" s="1"/>
    </row>
    <row r="3288" ht="15.75" customHeight="1">
      <c r="A3288" s="1" t="s">
        <v>7422</v>
      </c>
      <c r="B3288" s="1" t="s">
        <v>7423</v>
      </c>
      <c r="C3288" s="1" t="s">
        <v>7424</v>
      </c>
      <c r="K3288" s="1" t="s">
        <v>2892</v>
      </c>
      <c r="L3288" s="1" t="s">
        <v>27</v>
      </c>
      <c r="N3288" s="1" t="s">
        <v>216</v>
      </c>
      <c r="R3288" s="1">
        <v>0.0</v>
      </c>
      <c r="S3288" s="1"/>
    </row>
    <row r="3289" ht="15.75" customHeight="1">
      <c r="A3289" s="1" t="s">
        <v>7425</v>
      </c>
      <c r="B3289" s="1" t="s">
        <v>7426</v>
      </c>
      <c r="C3289" s="1" t="s">
        <v>7427</v>
      </c>
      <c r="K3289" s="1" t="s">
        <v>2892</v>
      </c>
      <c r="L3289" s="1" t="s">
        <v>27</v>
      </c>
      <c r="N3289" s="1" t="s">
        <v>216</v>
      </c>
      <c r="R3289" s="1">
        <v>0.0</v>
      </c>
      <c r="S3289" s="1"/>
    </row>
    <row r="3290" ht="15.75" customHeight="1">
      <c r="A3290" s="1" t="s">
        <v>7428</v>
      </c>
      <c r="B3290" s="1" t="s">
        <v>7429</v>
      </c>
      <c r="C3290" s="1" t="s">
        <v>4901</v>
      </c>
      <c r="K3290" s="1" t="s">
        <v>2892</v>
      </c>
      <c r="L3290" s="1" t="s">
        <v>27</v>
      </c>
      <c r="N3290" s="1" t="s">
        <v>163</v>
      </c>
      <c r="R3290" s="1">
        <v>0.0</v>
      </c>
      <c r="S3290" s="1"/>
    </row>
    <row r="3291" ht="15.75" customHeight="1">
      <c r="A3291" s="1" t="s">
        <v>7430</v>
      </c>
      <c r="B3291" s="1" t="s">
        <v>7431</v>
      </c>
      <c r="C3291" s="1" t="s">
        <v>53</v>
      </c>
      <c r="K3291" s="1" t="s">
        <v>2892</v>
      </c>
      <c r="L3291" s="1" t="s">
        <v>27</v>
      </c>
      <c r="N3291" s="1" t="s">
        <v>28</v>
      </c>
      <c r="R3291" s="1">
        <v>0.0</v>
      </c>
      <c r="S3291" s="1"/>
    </row>
    <row r="3292" ht="15.75" customHeight="1">
      <c r="A3292" s="1" t="s">
        <v>7432</v>
      </c>
      <c r="B3292" s="1" t="s">
        <v>7433</v>
      </c>
      <c r="C3292" s="1" t="s">
        <v>4901</v>
      </c>
      <c r="K3292" s="1" t="s">
        <v>2892</v>
      </c>
      <c r="L3292" s="1" t="s">
        <v>27</v>
      </c>
      <c r="N3292" s="1" t="s">
        <v>163</v>
      </c>
      <c r="R3292" s="1">
        <v>0.0</v>
      </c>
      <c r="S3292" s="1"/>
    </row>
    <row r="3293" ht="15.75" customHeight="1">
      <c r="A3293" s="1" t="s">
        <v>7434</v>
      </c>
      <c r="B3293" s="1" t="s">
        <v>7435</v>
      </c>
      <c r="C3293" s="1" t="s">
        <v>215</v>
      </c>
      <c r="K3293" s="1" t="s">
        <v>2892</v>
      </c>
      <c r="L3293" s="1" t="s">
        <v>27</v>
      </c>
      <c r="N3293" s="1" t="s">
        <v>216</v>
      </c>
      <c r="R3293" s="1">
        <v>0.0</v>
      </c>
      <c r="S3293" s="1"/>
    </row>
    <row r="3294" ht="15.75" customHeight="1">
      <c r="A3294" s="1" t="s">
        <v>7436</v>
      </c>
      <c r="B3294" s="1" t="s">
        <v>7437</v>
      </c>
      <c r="C3294" s="1" t="s">
        <v>1573</v>
      </c>
      <c r="K3294" s="1" t="s">
        <v>2892</v>
      </c>
      <c r="L3294" s="1" t="s">
        <v>27</v>
      </c>
      <c r="N3294" s="1" t="s">
        <v>216</v>
      </c>
      <c r="R3294" s="1">
        <v>0.0</v>
      </c>
      <c r="S3294" s="1"/>
    </row>
    <row r="3295" ht="15.75" customHeight="1">
      <c r="A3295" s="1" t="s">
        <v>7438</v>
      </c>
      <c r="B3295" s="1" t="s">
        <v>7439</v>
      </c>
      <c r="C3295" s="1" t="s">
        <v>7440</v>
      </c>
      <c r="K3295" s="1" t="s">
        <v>2892</v>
      </c>
      <c r="L3295" s="1" t="s">
        <v>27</v>
      </c>
      <c r="N3295" s="1" t="s">
        <v>216</v>
      </c>
      <c r="R3295" s="1">
        <v>0.0</v>
      </c>
      <c r="S3295" s="1"/>
    </row>
    <row r="3296" ht="15.75" customHeight="1">
      <c r="A3296" s="1" t="s">
        <v>7441</v>
      </c>
      <c r="B3296" s="1" t="s">
        <v>7442</v>
      </c>
      <c r="C3296" s="1" t="s">
        <v>1516</v>
      </c>
      <c r="K3296" s="1" t="s">
        <v>2892</v>
      </c>
      <c r="L3296" s="1" t="s">
        <v>27</v>
      </c>
      <c r="N3296" s="1" t="s">
        <v>216</v>
      </c>
      <c r="R3296" s="1">
        <v>0.0</v>
      </c>
      <c r="S3296" s="1"/>
    </row>
    <row r="3297" ht="15.75" customHeight="1">
      <c r="A3297" s="1" t="s">
        <v>7443</v>
      </c>
      <c r="B3297" s="1" t="s">
        <v>7444</v>
      </c>
      <c r="C3297" s="1" t="s">
        <v>1565</v>
      </c>
      <c r="K3297" s="1" t="s">
        <v>2892</v>
      </c>
      <c r="L3297" s="1" t="s">
        <v>27</v>
      </c>
      <c r="N3297" s="1" t="s">
        <v>216</v>
      </c>
      <c r="R3297" s="1">
        <v>0.0</v>
      </c>
      <c r="S3297" s="1"/>
    </row>
    <row r="3298" ht="15.75" customHeight="1">
      <c r="A3298" s="1" t="s">
        <v>7445</v>
      </c>
      <c r="B3298" s="1" t="s">
        <v>7446</v>
      </c>
      <c r="C3298" s="1" t="s">
        <v>7447</v>
      </c>
      <c r="K3298" s="1" t="s">
        <v>2892</v>
      </c>
      <c r="L3298" s="1" t="s">
        <v>27</v>
      </c>
      <c r="N3298" s="1" t="s">
        <v>7447</v>
      </c>
      <c r="R3298" s="1">
        <v>0.0</v>
      </c>
      <c r="S3298" s="1"/>
    </row>
    <row r="3299" ht="15.75" customHeight="1">
      <c r="A3299" s="1" t="s">
        <v>7448</v>
      </c>
      <c r="B3299" s="1" t="s">
        <v>7449</v>
      </c>
      <c r="C3299" s="1" t="s">
        <v>4679</v>
      </c>
      <c r="K3299" s="1" t="s">
        <v>2892</v>
      </c>
      <c r="L3299" s="1" t="s">
        <v>27</v>
      </c>
      <c r="N3299" s="1" t="s">
        <v>163</v>
      </c>
      <c r="R3299" s="1">
        <v>0.0</v>
      </c>
      <c r="S3299" s="1"/>
    </row>
    <row r="3300" ht="15.75" customHeight="1">
      <c r="A3300" s="1" t="s">
        <v>7450</v>
      </c>
      <c r="B3300" s="1" t="s">
        <v>7451</v>
      </c>
      <c r="C3300" s="1" t="s">
        <v>163</v>
      </c>
      <c r="K3300" s="1" t="s">
        <v>2892</v>
      </c>
      <c r="L3300" s="1" t="s">
        <v>27</v>
      </c>
      <c r="N3300" s="1" t="s">
        <v>163</v>
      </c>
      <c r="R3300" s="1">
        <v>0.0</v>
      </c>
      <c r="S3300" s="1"/>
    </row>
    <row r="3301" ht="15.75" customHeight="1">
      <c r="A3301" s="1" t="s">
        <v>7452</v>
      </c>
      <c r="B3301" s="1" t="s">
        <v>7453</v>
      </c>
      <c r="C3301" s="1" t="s">
        <v>4591</v>
      </c>
      <c r="K3301" s="1" t="s">
        <v>2892</v>
      </c>
      <c r="L3301" s="1" t="s">
        <v>27</v>
      </c>
      <c r="N3301" s="1" t="s">
        <v>163</v>
      </c>
      <c r="R3301" s="1">
        <v>0.0</v>
      </c>
      <c r="S3301" s="1"/>
    </row>
    <row r="3302" ht="15.75" customHeight="1">
      <c r="A3302" s="1" t="s">
        <v>7454</v>
      </c>
      <c r="B3302" s="1" t="s">
        <v>7455</v>
      </c>
      <c r="C3302" s="1" t="s">
        <v>7456</v>
      </c>
      <c r="K3302" s="1" t="s">
        <v>2892</v>
      </c>
      <c r="L3302" s="1" t="s">
        <v>27</v>
      </c>
      <c r="N3302" s="1" t="s">
        <v>216</v>
      </c>
      <c r="R3302" s="1">
        <v>0.0</v>
      </c>
      <c r="S3302" s="1"/>
    </row>
    <row r="3303" ht="15.75" customHeight="1">
      <c r="A3303" s="1" t="s">
        <v>7457</v>
      </c>
      <c r="B3303" s="1" t="s">
        <v>7458</v>
      </c>
      <c r="C3303" s="1" t="s">
        <v>53</v>
      </c>
      <c r="K3303" s="1" t="s">
        <v>2892</v>
      </c>
      <c r="L3303" s="1" t="s">
        <v>27</v>
      </c>
      <c r="N3303" s="1" t="s">
        <v>28</v>
      </c>
      <c r="R3303" s="1">
        <v>0.0</v>
      </c>
      <c r="S3303" s="1"/>
    </row>
    <row r="3304" ht="15.75" customHeight="1">
      <c r="A3304" s="1" t="s">
        <v>7459</v>
      </c>
      <c r="B3304" s="1" t="s">
        <v>7460</v>
      </c>
      <c r="C3304" s="1" t="s">
        <v>1605</v>
      </c>
      <c r="K3304" s="1" t="s">
        <v>2892</v>
      </c>
      <c r="L3304" s="1" t="s">
        <v>27</v>
      </c>
      <c r="N3304" s="1" t="s">
        <v>216</v>
      </c>
      <c r="R3304" s="1">
        <v>0.0</v>
      </c>
      <c r="S3304" s="1"/>
    </row>
    <row r="3305" ht="15.75" customHeight="1">
      <c r="A3305" s="1" t="s">
        <v>7461</v>
      </c>
      <c r="B3305" s="1" t="s">
        <v>7462</v>
      </c>
      <c r="C3305" s="1" t="s">
        <v>7364</v>
      </c>
      <c r="K3305" s="1" t="s">
        <v>2892</v>
      </c>
      <c r="L3305" s="1" t="s">
        <v>27</v>
      </c>
      <c r="N3305" s="1" t="s">
        <v>216</v>
      </c>
      <c r="R3305" s="1">
        <v>0.0</v>
      </c>
      <c r="S3305" s="1"/>
    </row>
    <row r="3306" ht="15.75" customHeight="1">
      <c r="A3306" s="1" t="s">
        <v>7463</v>
      </c>
      <c r="B3306" s="1" t="s">
        <v>7464</v>
      </c>
      <c r="C3306" s="1" t="s">
        <v>1516</v>
      </c>
      <c r="K3306" s="1" t="s">
        <v>2892</v>
      </c>
      <c r="L3306" s="1" t="s">
        <v>27</v>
      </c>
      <c r="N3306" s="1" t="s">
        <v>216</v>
      </c>
      <c r="R3306" s="1">
        <v>0.0</v>
      </c>
      <c r="S3306" s="1"/>
    </row>
    <row r="3307" ht="15.75" customHeight="1">
      <c r="A3307" s="1" t="s">
        <v>7465</v>
      </c>
      <c r="B3307" s="1" t="s">
        <v>7466</v>
      </c>
      <c r="C3307" s="1" t="s">
        <v>1565</v>
      </c>
      <c r="K3307" s="1" t="s">
        <v>2892</v>
      </c>
      <c r="L3307" s="1" t="s">
        <v>27</v>
      </c>
      <c r="N3307" s="1" t="s">
        <v>216</v>
      </c>
      <c r="R3307" s="1">
        <v>0.0</v>
      </c>
      <c r="S3307" s="1"/>
    </row>
    <row r="3308" ht="15.75" customHeight="1">
      <c r="A3308" s="1" t="s">
        <v>7467</v>
      </c>
      <c r="B3308" s="1" t="s">
        <v>7468</v>
      </c>
      <c r="C3308" s="1" t="s">
        <v>765</v>
      </c>
      <c r="K3308" s="1" t="s">
        <v>2892</v>
      </c>
      <c r="L3308" s="1" t="s">
        <v>27</v>
      </c>
      <c r="N3308" s="1" t="s">
        <v>28</v>
      </c>
      <c r="R3308" s="1">
        <v>0.0</v>
      </c>
      <c r="S3308" s="1"/>
    </row>
    <row r="3309" ht="15.75" customHeight="1">
      <c r="A3309" s="1" t="s">
        <v>7469</v>
      </c>
      <c r="B3309" s="1" t="s">
        <v>7470</v>
      </c>
      <c r="C3309" s="1" t="s">
        <v>7427</v>
      </c>
      <c r="K3309" s="1" t="s">
        <v>2892</v>
      </c>
      <c r="L3309" s="1" t="s">
        <v>27</v>
      </c>
      <c r="N3309" s="1" t="s">
        <v>216</v>
      </c>
      <c r="R3309" s="1">
        <v>0.0</v>
      </c>
      <c r="S3309" s="1"/>
    </row>
    <row r="3310" ht="15.75" customHeight="1">
      <c r="A3310" s="1" t="s">
        <v>7471</v>
      </c>
      <c r="B3310" s="1" t="s">
        <v>7472</v>
      </c>
      <c r="C3310" s="1" t="s">
        <v>1565</v>
      </c>
      <c r="K3310" s="1" t="s">
        <v>2892</v>
      </c>
      <c r="L3310" s="1" t="s">
        <v>27</v>
      </c>
      <c r="N3310" s="1" t="s">
        <v>216</v>
      </c>
      <c r="R3310" s="1">
        <v>0.0</v>
      </c>
      <c r="S3310" s="1"/>
    </row>
    <row r="3311" ht="15.75" customHeight="1">
      <c r="A3311" s="1" t="s">
        <v>7473</v>
      </c>
      <c r="B3311" s="1" t="s">
        <v>7474</v>
      </c>
      <c r="C3311" s="1" t="s">
        <v>1573</v>
      </c>
      <c r="K3311" s="1" t="s">
        <v>2892</v>
      </c>
      <c r="L3311" s="1" t="s">
        <v>27</v>
      </c>
      <c r="N3311" s="1" t="s">
        <v>216</v>
      </c>
      <c r="R3311" s="1">
        <v>0.0</v>
      </c>
      <c r="S3311" s="1"/>
    </row>
    <row r="3312" ht="15.75" customHeight="1">
      <c r="A3312" s="1" t="s">
        <v>7475</v>
      </c>
      <c r="B3312" s="1" t="s">
        <v>7476</v>
      </c>
      <c r="C3312" s="1" t="s">
        <v>1573</v>
      </c>
      <c r="K3312" s="1" t="s">
        <v>2892</v>
      </c>
      <c r="L3312" s="1" t="s">
        <v>27</v>
      </c>
      <c r="N3312" s="1" t="s">
        <v>216</v>
      </c>
      <c r="R3312" s="1">
        <v>0.0</v>
      </c>
      <c r="S3312" s="1"/>
    </row>
    <row r="3313" ht="15.75" customHeight="1">
      <c r="A3313" s="1" t="s">
        <v>7477</v>
      </c>
      <c r="B3313" s="1" t="s">
        <v>7478</v>
      </c>
      <c r="C3313" s="1" t="s">
        <v>4287</v>
      </c>
      <c r="K3313" s="1" t="s">
        <v>2892</v>
      </c>
      <c r="L3313" s="1" t="s">
        <v>27</v>
      </c>
      <c r="N3313" s="1" t="s">
        <v>28</v>
      </c>
      <c r="R3313" s="1">
        <v>0.0</v>
      </c>
      <c r="S3313" s="1"/>
    </row>
    <row r="3314" ht="15.75" customHeight="1">
      <c r="A3314" s="1" t="s">
        <v>7479</v>
      </c>
      <c r="B3314" s="1" t="s">
        <v>7480</v>
      </c>
      <c r="C3314" s="1" t="s">
        <v>215</v>
      </c>
      <c r="K3314" s="1" t="s">
        <v>2892</v>
      </c>
      <c r="L3314" s="1" t="s">
        <v>27</v>
      </c>
      <c r="N3314" s="1" t="s">
        <v>216</v>
      </c>
      <c r="R3314" s="1">
        <v>0.0</v>
      </c>
      <c r="S3314" s="1"/>
    </row>
    <row r="3315" ht="15.75" customHeight="1">
      <c r="A3315" s="1" t="s">
        <v>7481</v>
      </c>
      <c r="B3315" s="1" t="s">
        <v>7482</v>
      </c>
      <c r="C3315" s="1" t="s">
        <v>1565</v>
      </c>
      <c r="K3315" s="1" t="s">
        <v>2892</v>
      </c>
      <c r="L3315" s="1" t="s">
        <v>27</v>
      </c>
      <c r="N3315" s="1" t="s">
        <v>216</v>
      </c>
      <c r="R3315" s="1">
        <v>0.0</v>
      </c>
      <c r="S3315" s="1"/>
    </row>
    <row r="3316" ht="15.75" customHeight="1">
      <c r="A3316" s="1" t="s">
        <v>7483</v>
      </c>
      <c r="B3316" s="1" t="s">
        <v>7484</v>
      </c>
      <c r="C3316" s="1" t="s">
        <v>1509</v>
      </c>
      <c r="K3316" s="1" t="s">
        <v>2892</v>
      </c>
      <c r="L3316" s="1" t="s">
        <v>27</v>
      </c>
      <c r="N3316" s="1" t="s">
        <v>216</v>
      </c>
      <c r="R3316" s="1">
        <v>0.0</v>
      </c>
      <c r="S3316" s="1"/>
    </row>
    <row r="3317" ht="15.75" customHeight="1">
      <c r="A3317" s="1" t="s">
        <v>7485</v>
      </c>
      <c r="B3317" s="1" t="s">
        <v>7486</v>
      </c>
      <c r="C3317" s="1" t="s">
        <v>1537</v>
      </c>
      <c r="K3317" s="1" t="s">
        <v>2892</v>
      </c>
      <c r="L3317" s="1" t="s">
        <v>27</v>
      </c>
      <c r="N3317" s="1" t="s">
        <v>216</v>
      </c>
      <c r="R3317" s="1">
        <v>0.0</v>
      </c>
      <c r="S3317" s="1"/>
    </row>
    <row r="3318" ht="15.75" customHeight="1">
      <c r="A3318" s="1" t="s">
        <v>7487</v>
      </c>
      <c r="B3318" s="1" t="s">
        <v>7488</v>
      </c>
      <c r="C3318" s="1" t="s">
        <v>1644</v>
      </c>
      <c r="K3318" s="1" t="s">
        <v>2892</v>
      </c>
      <c r="L3318" s="1" t="s">
        <v>27</v>
      </c>
      <c r="N3318" s="1" t="s">
        <v>216</v>
      </c>
      <c r="R3318" s="1">
        <v>0.0</v>
      </c>
      <c r="S3318" s="1"/>
    </row>
    <row r="3319" ht="15.75" customHeight="1">
      <c r="A3319" s="1" t="s">
        <v>7489</v>
      </c>
      <c r="B3319" s="1" t="s">
        <v>7490</v>
      </c>
      <c r="C3319" s="1" t="s">
        <v>1634</v>
      </c>
      <c r="K3319" s="1" t="s">
        <v>2892</v>
      </c>
      <c r="L3319" s="1" t="s">
        <v>27</v>
      </c>
      <c r="N3319" s="1" t="s">
        <v>216</v>
      </c>
      <c r="R3319" s="1">
        <v>0.0</v>
      </c>
      <c r="S3319" s="1"/>
    </row>
    <row r="3320" ht="15.75" customHeight="1">
      <c r="A3320" s="1" t="s">
        <v>7491</v>
      </c>
      <c r="B3320" s="1" t="s">
        <v>7492</v>
      </c>
      <c r="C3320" s="1" t="s">
        <v>1565</v>
      </c>
      <c r="K3320" s="1" t="s">
        <v>2892</v>
      </c>
      <c r="L3320" s="1" t="s">
        <v>27</v>
      </c>
      <c r="N3320" s="1" t="s">
        <v>216</v>
      </c>
      <c r="R3320" s="1">
        <v>0.0</v>
      </c>
      <c r="S3320" s="1"/>
    </row>
    <row r="3321" ht="15.75" customHeight="1">
      <c r="A3321" s="1" t="s">
        <v>7493</v>
      </c>
      <c r="B3321" s="1" t="s">
        <v>7494</v>
      </c>
      <c r="C3321" s="1" t="s">
        <v>53</v>
      </c>
      <c r="K3321" s="1" t="s">
        <v>2892</v>
      </c>
      <c r="L3321" s="1" t="s">
        <v>27</v>
      </c>
      <c r="N3321" s="1" t="s">
        <v>28</v>
      </c>
      <c r="R3321" s="1">
        <v>0.0</v>
      </c>
      <c r="S3321" s="1"/>
    </row>
    <row r="3322" ht="15.75" customHeight="1">
      <c r="A3322" s="1" t="s">
        <v>7495</v>
      </c>
      <c r="B3322" s="1" t="s">
        <v>7496</v>
      </c>
      <c r="C3322" s="1" t="s">
        <v>215</v>
      </c>
      <c r="K3322" s="1" t="s">
        <v>2892</v>
      </c>
      <c r="L3322" s="1" t="s">
        <v>27</v>
      </c>
      <c r="N3322" s="1" t="s">
        <v>216</v>
      </c>
      <c r="R3322" s="1">
        <v>0.0</v>
      </c>
      <c r="S3322" s="1"/>
    </row>
    <row r="3323" ht="15.75" customHeight="1">
      <c r="A3323" s="1" t="s">
        <v>7497</v>
      </c>
      <c r="B3323" s="1" t="s">
        <v>7498</v>
      </c>
      <c r="C3323" s="1" t="s">
        <v>1652</v>
      </c>
      <c r="K3323" s="1" t="s">
        <v>2892</v>
      </c>
      <c r="L3323" s="1" t="s">
        <v>27</v>
      </c>
      <c r="N3323" s="1" t="s">
        <v>216</v>
      </c>
      <c r="R3323" s="1">
        <v>0.0</v>
      </c>
      <c r="S3323" s="1"/>
    </row>
    <row r="3324" ht="15.75" customHeight="1">
      <c r="A3324" s="1" t="s">
        <v>7499</v>
      </c>
      <c r="B3324" s="1" t="s">
        <v>7500</v>
      </c>
      <c r="C3324" s="1" t="s">
        <v>215</v>
      </c>
      <c r="K3324" s="1" t="s">
        <v>2892</v>
      </c>
      <c r="L3324" s="1" t="s">
        <v>27</v>
      </c>
      <c r="N3324" s="1" t="s">
        <v>216</v>
      </c>
      <c r="R3324" s="1">
        <v>0.0</v>
      </c>
      <c r="S3324" s="1"/>
    </row>
    <row r="3325" ht="15.75" customHeight="1">
      <c r="A3325" s="1" t="s">
        <v>7501</v>
      </c>
      <c r="B3325" s="1" t="s">
        <v>7502</v>
      </c>
      <c r="C3325" s="1" t="s">
        <v>7503</v>
      </c>
      <c r="K3325" s="1" t="s">
        <v>2892</v>
      </c>
      <c r="L3325" s="1" t="s">
        <v>27</v>
      </c>
      <c r="N3325" s="1" t="s">
        <v>216</v>
      </c>
      <c r="R3325" s="1">
        <v>0.0</v>
      </c>
      <c r="S3325" s="1"/>
    </row>
    <row r="3326" ht="15.75" customHeight="1">
      <c r="A3326" s="1" t="s">
        <v>7504</v>
      </c>
      <c r="B3326" s="1" t="s">
        <v>7505</v>
      </c>
      <c r="C3326" s="1" t="s">
        <v>1565</v>
      </c>
      <c r="K3326" s="1" t="s">
        <v>2892</v>
      </c>
      <c r="L3326" s="1" t="s">
        <v>27</v>
      </c>
      <c r="N3326" s="1" t="s">
        <v>216</v>
      </c>
      <c r="R3326" s="1">
        <v>0.0</v>
      </c>
      <c r="S3326" s="1"/>
    </row>
    <row r="3327" ht="15.75" customHeight="1">
      <c r="A3327" s="1" t="s">
        <v>7506</v>
      </c>
      <c r="B3327" s="1" t="s">
        <v>7507</v>
      </c>
      <c r="C3327" s="1" t="s">
        <v>1016</v>
      </c>
      <c r="K3327" s="1" t="s">
        <v>2892</v>
      </c>
      <c r="L3327" s="1" t="s">
        <v>27</v>
      </c>
      <c r="N3327" s="1" t="s">
        <v>163</v>
      </c>
      <c r="R3327" s="1">
        <v>0.0</v>
      </c>
      <c r="S3327" s="1"/>
    </row>
    <row r="3328" ht="15.75" customHeight="1">
      <c r="A3328" s="1" t="s">
        <v>7508</v>
      </c>
      <c r="B3328" s="1" t="s">
        <v>7509</v>
      </c>
      <c r="C3328" s="1" t="s">
        <v>1624</v>
      </c>
      <c r="K3328" s="1" t="s">
        <v>2892</v>
      </c>
      <c r="L3328" s="1" t="s">
        <v>27</v>
      </c>
      <c r="N3328" s="1" t="s">
        <v>216</v>
      </c>
      <c r="R3328" s="1">
        <v>0.0</v>
      </c>
      <c r="S3328" s="1"/>
    </row>
    <row r="3329" ht="15.75" customHeight="1">
      <c r="A3329" s="1" t="s">
        <v>7510</v>
      </c>
      <c r="B3329" s="1" t="s">
        <v>7511</v>
      </c>
      <c r="C3329" s="1" t="s">
        <v>7419</v>
      </c>
      <c r="K3329" s="1" t="s">
        <v>2892</v>
      </c>
      <c r="L3329" s="1" t="s">
        <v>27</v>
      </c>
      <c r="N3329" s="1" t="s">
        <v>216</v>
      </c>
      <c r="R3329" s="1">
        <v>0.0</v>
      </c>
      <c r="S3329" s="1"/>
    </row>
    <row r="3330" ht="15.75" customHeight="1">
      <c r="A3330" s="1" t="s">
        <v>7512</v>
      </c>
      <c r="B3330" s="1" t="s">
        <v>7513</v>
      </c>
      <c r="C3330" s="1" t="s">
        <v>1565</v>
      </c>
      <c r="K3330" s="1" t="s">
        <v>2892</v>
      </c>
      <c r="L3330" s="1" t="s">
        <v>27</v>
      </c>
      <c r="N3330" s="1" t="s">
        <v>216</v>
      </c>
      <c r="R3330" s="1">
        <v>0.0</v>
      </c>
      <c r="S3330" s="1"/>
    </row>
    <row r="3331" ht="15.75" customHeight="1">
      <c r="A3331" s="1" t="s">
        <v>7514</v>
      </c>
      <c r="B3331" s="1" t="s">
        <v>7515</v>
      </c>
      <c r="C3331" s="1" t="s">
        <v>7516</v>
      </c>
      <c r="K3331" s="1" t="s">
        <v>2892</v>
      </c>
      <c r="L3331" s="1" t="s">
        <v>27</v>
      </c>
      <c r="N3331" s="1" t="s">
        <v>216</v>
      </c>
      <c r="R3331" s="1">
        <v>0.0</v>
      </c>
      <c r="S3331" s="1"/>
    </row>
    <row r="3332" ht="15.75" customHeight="1">
      <c r="A3332" s="1" t="s">
        <v>7517</v>
      </c>
      <c r="B3332" s="1" t="s">
        <v>7518</v>
      </c>
      <c r="C3332" s="1" t="s">
        <v>1652</v>
      </c>
      <c r="K3332" s="1" t="s">
        <v>2892</v>
      </c>
      <c r="L3332" s="1" t="s">
        <v>27</v>
      </c>
      <c r="N3332" s="1" t="s">
        <v>216</v>
      </c>
      <c r="R3332" s="1">
        <v>0.0</v>
      </c>
      <c r="S3332" s="1"/>
    </row>
    <row r="3333" ht="15.75" customHeight="1">
      <c r="A3333" s="1" t="s">
        <v>7519</v>
      </c>
      <c r="B3333" s="1" t="s">
        <v>7520</v>
      </c>
      <c r="C3333" s="1" t="s">
        <v>1516</v>
      </c>
      <c r="K3333" s="1" t="s">
        <v>2892</v>
      </c>
      <c r="L3333" s="1" t="s">
        <v>27</v>
      </c>
      <c r="N3333" s="1" t="s">
        <v>216</v>
      </c>
      <c r="R3333" s="1">
        <v>0.0</v>
      </c>
      <c r="S3333" s="1"/>
    </row>
    <row r="3334" ht="15.75" customHeight="1">
      <c r="A3334" s="1" t="s">
        <v>7521</v>
      </c>
      <c r="B3334" s="1" t="s">
        <v>7522</v>
      </c>
      <c r="C3334" s="1" t="s">
        <v>1565</v>
      </c>
      <c r="K3334" s="1" t="s">
        <v>2892</v>
      </c>
      <c r="L3334" s="1" t="s">
        <v>27</v>
      </c>
      <c r="N3334" s="1" t="s">
        <v>216</v>
      </c>
      <c r="R3334" s="1">
        <v>0.0</v>
      </c>
      <c r="S3334" s="1"/>
    </row>
    <row r="3335" ht="15.75" customHeight="1">
      <c r="A3335" s="1" t="s">
        <v>7523</v>
      </c>
      <c r="B3335" s="1" t="s">
        <v>7524</v>
      </c>
      <c r="C3335" s="1" t="s">
        <v>7525</v>
      </c>
      <c r="K3335" s="1" t="s">
        <v>2892</v>
      </c>
      <c r="L3335" s="1" t="s">
        <v>27</v>
      </c>
      <c r="N3335" s="1" t="s">
        <v>216</v>
      </c>
      <c r="R3335" s="1">
        <v>0.0</v>
      </c>
      <c r="S3335" s="1"/>
    </row>
    <row r="3336" ht="15.75" customHeight="1">
      <c r="A3336" s="1" t="s">
        <v>7526</v>
      </c>
      <c r="B3336" s="1" t="s">
        <v>7527</v>
      </c>
      <c r="C3336" s="1" t="s">
        <v>446</v>
      </c>
      <c r="K3336" s="1" t="s">
        <v>2892</v>
      </c>
      <c r="L3336" s="1" t="s">
        <v>27</v>
      </c>
      <c r="N3336" s="1" t="s">
        <v>216</v>
      </c>
      <c r="R3336" s="1">
        <v>0.0</v>
      </c>
      <c r="S3336" s="1"/>
    </row>
    <row r="3337" ht="15.75" customHeight="1">
      <c r="A3337" s="1" t="s">
        <v>7528</v>
      </c>
      <c r="B3337" s="1" t="s">
        <v>7529</v>
      </c>
      <c r="C3337" s="1" t="s">
        <v>446</v>
      </c>
      <c r="K3337" s="1" t="s">
        <v>2892</v>
      </c>
      <c r="L3337" s="1" t="s">
        <v>27</v>
      </c>
      <c r="N3337" s="1" t="s">
        <v>216</v>
      </c>
      <c r="R3337" s="1">
        <v>0.0</v>
      </c>
      <c r="S3337" s="1"/>
    </row>
    <row r="3338" ht="15.75" customHeight="1">
      <c r="A3338" s="1" t="s">
        <v>7530</v>
      </c>
      <c r="B3338" s="1" t="s">
        <v>7531</v>
      </c>
      <c r="C3338" s="1" t="s">
        <v>7532</v>
      </c>
      <c r="K3338" s="1" t="s">
        <v>2892</v>
      </c>
      <c r="L3338" s="1" t="s">
        <v>27</v>
      </c>
      <c r="N3338" s="1" t="s">
        <v>163</v>
      </c>
      <c r="R3338" s="1">
        <v>0.0</v>
      </c>
      <c r="S3338" s="1"/>
    </row>
    <row r="3339" ht="15.75" customHeight="1">
      <c r="A3339" s="1" t="s">
        <v>7533</v>
      </c>
      <c r="B3339" s="1" t="s">
        <v>7534</v>
      </c>
      <c r="C3339" s="1" t="s">
        <v>174</v>
      </c>
      <c r="K3339" s="1" t="s">
        <v>2892</v>
      </c>
      <c r="L3339" s="1" t="s">
        <v>27</v>
      </c>
      <c r="N3339" s="1" t="s">
        <v>174</v>
      </c>
      <c r="R3339" s="1">
        <v>0.0</v>
      </c>
      <c r="S3339" s="1"/>
    </row>
    <row r="3340" ht="15.75" customHeight="1">
      <c r="A3340" s="1" t="s">
        <v>7535</v>
      </c>
      <c r="B3340" s="1" t="s">
        <v>7536</v>
      </c>
      <c r="C3340" s="1" t="s">
        <v>7537</v>
      </c>
      <c r="K3340" s="1" t="s">
        <v>2892</v>
      </c>
      <c r="L3340" s="1" t="s">
        <v>27</v>
      </c>
      <c r="N3340" s="1" t="s">
        <v>163</v>
      </c>
      <c r="R3340" s="1">
        <v>0.0</v>
      </c>
      <c r="S3340" s="1"/>
    </row>
    <row r="3341" ht="15.75" customHeight="1">
      <c r="A3341" s="1" t="s">
        <v>7538</v>
      </c>
      <c r="B3341" s="1" t="s">
        <v>7539</v>
      </c>
      <c r="C3341" s="1" t="s">
        <v>746</v>
      </c>
      <c r="K3341" s="1" t="s">
        <v>2892</v>
      </c>
      <c r="L3341" s="1" t="s">
        <v>27</v>
      </c>
      <c r="N3341" s="1" t="s">
        <v>28</v>
      </c>
      <c r="R3341" s="1">
        <v>0.0</v>
      </c>
      <c r="S3341" s="1"/>
    </row>
    <row r="3342" ht="15.75" customHeight="1">
      <c r="A3342" s="1" t="s">
        <v>7540</v>
      </c>
      <c r="B3342" s="1" t="s">
        <v>7541</v>
      </c>
      <c r="C3342" s="1" t="s">
        <v>174</v>
      </c>
      <c r="K3342" s="1" t="s">
        <v>2892</v>
      </c>
      <c r="L3342" s="1" t="s">
        <v>27</v>
      </c>
      <c r="N3342" s="1" t="s">
        <v>174</v>
      </c>
      <c r="R3342" s="1">
        <v>0.0</v>
      </c>
      <c r="S3342" s="1"/>
    </row>
    <row r="3343" ht="15.75" customHeight="1">
      <c r="A3343" s="1" t="s">
        <v>7542</v>
      </c>
      <c r="B3343" s="1" t="s">
        <v>7543</v>
      </c>
      <c r="C3343" s="1" t="s">
        <v>1016</v>
      </c>
      <c r="K3343" s="1" t="s">
        <v>2892</v>
      </c>
      <c r="L3343" s="1" t="s">
        <v>27</v>
      </c>
      <c r="N3343" s="1" t="s">
        <v>163</v>
      </c>
      <c r="R3343" s="1">
        <v>0.0</v>
      </c>
      <c r="S3343" s="1"/>
    </row>
    <row r="3344" ht="15.75" customHeight="1">
      <c r="A3344" s="1" t="s">
        <v>7544</v>
      </c>
      <c r="B3344" s="1" t="s">
        <v>7545</v>
      </c>
      <c r="C3344" s="1" t="s">
        <v>617</v>
      </c>
      <c r="K3344" s="1" t="s">
        <v>2892</v>
      </c>
      <c r="L3344" s="1" t="s">
        <v>27</v>
      </c>
      <c r="N3344" s="1" t="s">
        <v>28</v>
      </c>
      <c r="R3344" s="1">
        <v>0.0</v>
      </c>
      <c r="S3344" s="1"/>
    </row>
    <row r="3345" ht="15.75" customHeight="1">
      <c r="A3345" s="1" t="s">
        <v>7546</v>
      </c>
      <c r="B3345" s="1" t="s">
        <v>7547</v>
      </c>
      <c r="C3345" s="1" t="s">
        <v>1582</v>
      </c>
      <c r="K3345" s="1" t="s">
        <v>2892</v>
      </c>
      <c r="L3345" s="1" t="s">
        <v>27</v>
      </c>
      <c r="N3345" s="1" t="s">
        <v>216</v>
      </c>
      <c r="R3345" s="1">
        <v>0.0</v>
      </c>
      <c r="S3345" s="1"/>
    </row>
    <row r="3346" ht="15.75" customHeight="1">
      <c r="A3346" s="1" t="s">
        <v>7548</v>
      </c>
      <c r="B3346" s="1" t="s">
        <v>7549</v>
      </c>
      <c r="C3346" s="1" t="s">
        <v>174</v>
      </c>
      <c r="K3346" s="1" t="s">
        <v>2892</v>
      </c>
      <c r="L3346" s="1" t="s">
        <v>27</v>
      </c>
      <c r="N3346" s="1" t="s">
        <v>174</v>
      </c>
      <c r="R3346" s="1">
        <v>0.0</v>
      </c>
      <c r="S3346" s="1"/>
    </row>
    <row r="3347" ht="15.75" customHeight="1">
      <c r="A3347" s="1" t="s">
        <v>7550</v>
      </c>
      <c r="B3347" s="1" t="s">
        <v>7551</v>
      </c>
      <c r="C3347" s="1" t="s">
        <v>1565</v>
      </c>
      <c r="K3347" s="1" t="s">
        <v>2892</v>
      </c>
      <c r="L3347" s="1" t="s">
        <v>27</v>
      </c>
      <c r="N3347" s="1" t="s">
        <v>216</v>
      </c>
      <c r="R3347" s="1">
        <v>0.0</v>
      </c>
      <c r="S3347" s="1"/>
    </row>
    <row r="3348" ht="15.75" customHeight="1">
      <c r="A3348" s="1" t="s">
        <v>7552</v>
      </c>
      <c r="B3348" s="1" t="s">
        <v>7553</v>
      </c>
      <c r="C3348" s="1" t="s">
        <v>746</v>
      </c>
      <c r="K3348" s="1" t="s">
        <v>2892</v>
      </c>
      <c r="L3348" s="1" t="s">
        <v>27</v>
      </c>
      <c r="N3348" s="1" t="s">
        <v>28</v>
      </c>
      <c r="R3348" s="1">
        <v>0.0</v>
      </c>
      <c r="S3348" s="1"/>
    </row>
    <row r="3349" ht="15.75" customHeight="1">
      <c r="A3349" s="1" t="s">
        <v>7554</v>
      </c>
      <c r="B3349" s="1" t="s">
        <v>7555</v>
      </c>
      <c r="C3349" s="1" t="s">
        <v>7556</v>
      </c>
      <c r="K3349" s="1" t="s">
        <v>2892</v>
      </c>
      <c r="L3349" s="1" t="s">
        <v>27</v>
      </c>
      <c r="N3349" s="1" t="s">
        <v>28</v>
      </c>
      <c r="R3349" s="1">
        <v>0.0</v>
      </c>
      <c r="S3349" s="1"/>
    </row>
    <row r="3350" ht="15.75" customHeight="1">
      <c r="A3350" s="1" t="s">
        <v>7557</v>
      </c>
      <c r="B3350" s="1" t="s">
        <v>7558</v>
      </c>
      <c r="C3350" s="1" t="s">
        <v>7559</v>
      </c>
      <c r="K3350" s="1" t="s">
        <v>2892</v>
      </c>
      <c r="L3350" s="1" t="s">
        <v>27</v>
      </c>
      <c r="N3350" s="1" t="s">
        <v>28</v>
      </c>
      <c r="R3350" s="1">
        <v>0.0</v>
      </c>
      <c r="S3350" s="1"/>
    </row>
    <row r="3351" ht="15.75" customHeight="1">
      <c r="A3351" s="1" t="s">
        <v>7560</v>
      </c>
      <c r="B3351" s="1" t="s">
        <v>7561</v>
      </c>
      <c r="C3351" s="1" t="s">
        <v>2050</v>
      </c>
      <c r="K3351" s="1" t="s">
        <v>2892</v>
      </c>
      <c r="L3351" s="1" t="s">
        <v>27</v>
      </c>
      <c r="N3351" s="1" t="s">
        <v>1989</v>
      </c>
      <c r="R3351" s="1">
        <v>0.0</v>
      </c>
      <c r="S3351" s="1"/>
    </row>
    <row r="3352" ht="15.75" customHeight="1">
      <c r="A3352" s="1" t="s">
        <v>7562</v>
      </c>
      <c r="B3352" s="1" t="s">
        <v>7563</v>
      </c>
      <c r="C3352" s="1" t="s">
        <v>7564</v>
      </c>
      <c r="K3352" s="1" t="s">
        <v>2892</v>
      </c>
      <c r="L3352" s="1" t="s">
        <v>27</v>
      </c>
      <c r="N3352" s="1" t="s">
        <v>1989</v>
      </c>
      <c r="R3352" s="1">
        <v>0.0</v>
      </c>
      <c r="S3352" s="1"/>
    </row>
    <row r="3353" ht="15.75" customHeight="1">
      <c r="A3353" s="1" t="s">
        <v>7565</v>
      </c>
      <c r="B3353" s="1" t="s">
        <v>7566</v>
      </c>
      <c r="C3353" s="1" t="s">
        <v>1988</v>
      </c>
      <c r="K3353" s="1" t="s">
        <v>2892</v>
      </c>
      <c r="L3353" s="1" t="s">
        <v>27</v>
      </c>
      <c r="N3353" s="1" t="s">
        <v>1989</v>
      </c>
      <c r="R3353" s="1">
        <v>0.0</v>
      </c>
      <c r="S3353" s="1"/>
    </row>
    <row r="3354" ht="15.75" customHeight="1">
      <c r="A3354" s="1" t="s">
        <v>7567</v>
      </c>
      <c r="B3354" s="1" t="s">
        <v>7568</v>
      </c>
      <c r="C3354" s="1" t="s">
        <v>1988</v>
      </c>
      <c r="K3354" s="1" t="s">
        <v>2892</v>
      </c>
      <c r="L3354" s="1" t="s">
        <v>27</v>
      </c>
      <c r="N3354" s="1" t="s">
        <v>1989</v>
      </c>
      <c r="R3354" s="1">
        <v>0.0</v>
      </c>
      <c r="S3354" s="1"/>
    </row>
    <row r="3355" ht="15.75" customHeight="1">
      <c r="A3355" s="1" t="s">
        <v>7569</v>
      </c>
      <c r="B3355" s="1" t="s">
        <v>7570</v>
      </c>
      <c r="C3355" s="1" t="s">
        <v>1988</v>
      </c>
      <c r="K3355" s="1" t="s">
        <v>2892</v>
      </c>
      <c r="L3355" s="1" t="s">
        <v>27</v>
      </c>
      <c r="N3355" s="1" t="s">
        <v>1989</v>
      </c>
      <c r="R3355" s="1">
        <v>0.0</v>
      </c>
      <c r="S3355" s="1"/>
    </row>
    <row r="3356" ht="15.75" customHeight="1">
      <c r="A3356" s="1" t="s">
        <v>7571</v>
      </c>
      <c r="B3356" s="1" t="s">
        <v>7572</v>
      </c>
      <c r="C3356" s="1" t="s">
        <v>1988</v>
      </c>
      <c r="K3356" s="1" t="s">
        <v>2892</v>
      </c>
      <c r="L3356" s="1" t="s">
        <v>27</v>
      </c>
      <c r="N3356" s="1" t="s">
        <v>1989</v>
      </c>
      <c r="R3356" s="1">
        <v>0.0</v>
      </c>
      <c r="S3356" s="1"/>
    </row>
    <row r="3357" ht="15.75" customHeight="1">
      <c r="A3357" s="1" t="s">
        <v>7573</v>
      </c>
      <c r="B3357" s="1" t="s">
        <v>7574</v>
      </c>
      <c r="C3357" s="1" t="s">
        <v>1994</v>
      </c>
      <c r="K3357" s="1" t="s">
        <v>2892</v>
      </c>
      <c r="L3357" s="1" t="s">
        <v>27</v>
      </c>
      <c r="N3357" s="1" t="s">
        <v>1989</v>
      </c>
      <c r="R3357" s="1">
        <v>0.0</v>
      </c>
      <c r="S3357" s="1"/>
    </row>
    <row r="3358" ht="15.75" customHeight="1">
      <c r="A3358" s="1" t="s">
        <v>7575</v>
      </c>
      <c r="B3358" s="1" t="s">
        <v>7576</v>
      </c>
      <c r="C3358" s="1" t="s">
        <v>1716</v>
      </c>
      <c r="K3358" s="1" t="s">
        <v>2892</v>
      </c>
      <c r="L3358" s="1" t="s">
        <v>27</v>
      </c>
      <c r="N3358" s="1" t="s">
        <v>163</v>
      </c>
      <c r="R3358" s="1">
        <v>0.0</v>
      </c>
      <c r="S3358" s="1"/>
    </row>
    <row r="3359" ht="15.75" customHeight="1">
      <c r="A3359" s="1" t="s">
        <v>7577</v>
      </c>
      <c r="B3359" s="1" t="s">
        <v>7578</v>
      </c>
      <c r="C3359" s="1" t="s">
        <v>1016</v>
      </c>
      <c r="K3359" s="1" t="s">
        <v>2892</v>
      </c>
      <c r="L3359" s="1" t="s">
        <v>27</v>
      </c>
      <c r="N3359" s="1" t="s">
        <v>163</v>
      </c>
      <c r="R3359" s="1">
        <v>0.0</v>
      </c>
      <c r="S3359" s="1"/>
    </row>
    <row r="3360" ht="15.75" customHeight="1">
      <c r="A3360" s="1" t="s">
        <v>7579</v>
      </c>
      <c r="B3360" s="1" t="s">
        <v>7580</v>
      </c>
      <c r="C3360" s="1" t="s">
        <v>174</v>
      </c>
      <c r="K3360" s="1" t="s">
        <v>2892</v>
      </c>
      <c r="L3360" s="1" t="s">
        <v>27</v>
      </c>
      <c r="N3360" s="1" t="s">
        <v>174</v>
      </c>
      <c r="R3360" s="1">
        <v>0.0</v>
      </c>
      <c r="S3360" s="1"/>
    </row>
    <row r="3361" ht="15.75" customHeight="1">
      <c r="A3361" s="1" t="s">
        <v>7581</v>
      </c>
      <c r="B3361" s="1" t="s">
        <v>7582</v>
      </c>
      <c r="C3361" s="1" t="s">
        <v>174</v>
      </c>
      <c r="K3361" s="1" t="s">
        <v>2892</v>
      </c>
      <c r="L3361" s="1" t="s">
        <v>27</v>
      </c>
      <c r="N3361" s="1" t="s">
        <v>174</v>
      </c>
      <c r="R3361" s="1">
        <v>0.0</v>
      </c>
      <c r="S3361" s="1"/>
    </row>
    <row r="3362" ht="15.75" customHeight="1">
      <c r="A3362" s="1" t="s">
        <v>7583</v>
      </c>
      <c r="B3362" s="1" t="s">
        <v>7584</v>
      </c>
      <c r="C3362" s="1" t="s">
        <v>53</v>
      </c>
      <c r="K3362" s="1" t="s">
        <v>2892</v>
      </c>
      <c r="L3362" s="1" t="s">
        <v>27</v>
      </c>
      <c r="N3362" s="1" t="s">
        <v>28</v>
      </c>
      <c r="R3362" s="1">
        <v>0.0</v>
      </c>
      <c r="S3362" s="1"/>
    </row>
    <row r="3363" ht="15.75" customHeight="1">
      <c r="A3363" s="1" t="s">
        <v>7585</v>
      </c>
      <c r="B3363" s="1" t="s">
        <v>7586</v>
      </c>
      <c r="C3363" s="1" t="s">
        <v>21</v>
      </c>
      <c r="K3363" s="1" t="s">
        <v>2892</v>
      </c>
      <c r="L3363" s="1" t="s">
        <v>27</v>
      </c>
      <c r="N3363" s="1" t="s">
        <v>28</v>
      </c>
      <c r="R3363" s="1">
        <v>0.0</v>
      </c>
      <c r="S3363" s="1"/>
    </row>
    <row r="3364" ht="15.75" customHeight="1">
      <c r="A3364" s="1" t="s">
        <v>7587</v>
      </c>
      <c r="B3364" s="1" t="s">
        <v>7588</v>
      </c>
      <c r="C3364" s="1" t="s">
        <v>7589</v>
      </c>
      <c r="K3364" s="1" t="s">
        <v>2892</v>
      </c>
      <c r="L3364" s="1" t="s">
        <v>27</v>
      </c>
      <c r="N3364" s="1" t="s">
        <v>28</v>
      </c>
      <c r="R3364" s="1">
        <v>0.0</v>
      </c>
      <c r="S3364" s="1"/>
    </row>
    <row r="3365" ht="15.75" customHeight="1">
      <c r="A3365" s="1" t="s">
        <v>7590</v>
      </c>
      <c r="B3365" s="1" t="s">
        <v>7591</v>
      </c>
      <c r="C3365" s="1" t="s">
        <v>4901</v>
      </c>
      <c r="K3365" s="1" t="s">
        <v>2892</v>
      </c>
      <c r="L3365" s="1" t="s">
        <v>27</v>
      </c>
      <c r="N3365" s="1" t="s">
        <v>163</v>
      </c>
      <c r="R3365" s="1">
        <v>0.0</v>
      </c>
      <c r="S3365" s="1"/>
    </row>
    <row r="3366" ht="15.75" customHeight="1">
      <c r="A3366" s="1" t="s">
        <v>7592</v>
      </c>
      <c r="B3366" s="1" t="s">
        <v>7593</v>
      </c>
      <c r="C3366" s="1" t="s">
        <v>21</v>
      </c>
      <c r="K3366" s="1" t="s">
        <v>99</v>
      </c>
      <c r="L3366" s="1" t="s">
        <v>27</v>
      </c>
      <c r="N3366" s="1" t="s">
        <v>28</v>
      </c>
      <c r="O3366" s="1" t="s">
        <v>29</v>
      </c>
      <c r="R3366" s="1">
        <v>0.0</v>
      </c>
      <c r="S3366" s="1"/>
    </row>
    <row r="3367" ht="15.75" customHeight="1">
      <c r="A3367" s="1" t="s">
        <v>7594</v>
      </c>
      <c r="B3367" s="1" t="s">
        <v>7595</v>
      </c>
      <c r="C3367" s="1" t="s">
        <v>946</v>
      </c>
      <c r="K3367" s="1" t="s">
        <v>99</v>
      </c>
      <c r="L3367" s="1" t="s">
        <v>27</v>
      </c>
      <c r="N3367" s="1" t="s">
        <v>123</v>
      </c>
      <c r="O3367" s="1" t="s">
        <v>29</v>
      </c>
      <c r="R3367" s="1">
        <v>0.0</v>
      </c>
      <c r="S3367" s="1"/>
    </row>
    <row r="3368" ht="15.75" customHeight="1">
      <c r="A3368" s="1" t="s">
        <v>7596</v>
      </c>
      <c r="B3368" s="1" t="s">
        <v>7597</v>
      </c>
      <c r="C3368" s="1" t="s">
        <v>1786</v>
      </c>
      <c r="K3368" s="1" t="s">
        <v>99</v>
      </c>
      <c r="L3368" s="1" t="s">
        <v>27</v>
      </c>
      <c r="N3368" s="1" t="s">
        <v>1874</v>
      </c>
      <c r="O3368" s="1" t="s">
        <v>29</v>
      </c>
      <c r="R3368" s="1">
        <v>0.0</v>
      </c>
      <c r="S3368" s="1"/>
    </row>
    <row r="3369" ht="15.75" customHeight="1">
      <c r="A3369" s="1" t="s">
        <v>7598</v>
      </c>
      <c r="B3369" s="1" t="s">
        <v>7599</v>
      </c>
      <c r="C3369" s="1" t="s">
        <v>768</v>
      </c>
      <c r="K3369" s="1" t="s">
        <v>99</v>
      </c>
      <c r="L3369" s="1" t="s">
        <v>27</v>
      </c>
      <c r="N3369" s="1" t="s">
        <v>732</v>
      </c>
      <c r="O3369" s="1" t="s">
        <v>29</v>
      </c>
      <c r="R3369" s="1">
        <v>0.0</v>
      </c>
      <c r="S3369" s="1"/>
    </row>
    <row r="3370" ht="15.75" customHeight="1">
      <c r="A3370" s="1" t="s">
        <v>7600</v>
      </c>
      <c r="B3370" s="1" t="s">
        <v>7601</v>
      </c>
      <c r="C3370" s="1" t="s">
        <v>737</v>
      </c>
      <c r="K3370" s="1" t="s">
        <v>99</v>
      </c>
      <c r="L3370" s="1" t="s">
        <v>27</v>
      </c>
      <c r="N3370" s="1" t="s">
        <v>732</v>
      </c>
      <c r="O3370" s="1" t="s">
        <v>29</v>
      </c>
      <c r="R3370" s="1">
        <v>0.0</v>
      </c>
      <c r="S3370" s="1"/>
    </row>
    <row r="3371" ht="15.75" customHeight="1">
      <c r="A3371" s="1" t="s">
        <v>7602</v>
      </c>
      <c r="B3371" s="1" t="s">
        <v>7603</v>
      </c>
      <c r="C3371" s="1" t="s">
        <v>151</v>
      </c>
      <c r="K3371" s="1" t="s">
        <v>99</v>
      </c>
      <c r="L3371" s="1" t="s">
        <v>27</v>
      </c>
      <c r="N3371" s="1" t="s">
        <v>143</v>
      </c>
      <c r="O3371" s="1" t="s">
        <v>29</v>
      </c>
      <c r="R3371" s="1">
        <v>0.0</v>
      </c>
      <c r="S3371" s="1"/>
    </row>
    <row r="3372" ht="15.75" customHeight="1">
      <c r="A3372" s="1" t="s">
        <v>7604</v>
      </c>
      <c r="B3372" s="1" t="s">
        <v>7605</v>
      </c>
      <c r="C3372" s="1" t="s">
        <v>21</v>
      </c>
      <c r="K3372" s="1" t="s">
        <v>99</v>
      </c>
      <c r="L3372" s="1" t="s">
        <v>27</v>
      </c>
      <c r="N3372" s="1" t="s">
        <v>28</v>
      </c>
      <c r="O3372" s="1" t="s">
        <v>29</v>
      </c>
      <c r="R3372" s="1">
        <v>0.0</v>
      </c>
      <c r="S3372" s="1"/>
    </row>
    <row r="3373" ht="15.75" customHeight="1">
      <c r="A3373" s="1" t="s">
        <v>7606</v>
      </c>
      <c r="B3373" s="1" t="s">
        <v>7607</v>
      </c>
      <c r="C3373" s="1" t="s">
        <v>21</v>
      </c>
      <c r="K3373" s="1" t="s">
        <v>99</v>
      </c>
      <c r="L3373" s="1" t="s">
        <v>27</v>
      </c>
      <c r="N3373" s="1" t="s">
        <v>28</v>
      </c>
      <c r="O3373" s="1" t="s">
        <v>29</v>
      </c>
      <c r="R3373" s="1">
        <v>0.0</v>
      </c>
      <c r="S3373" s="1"/>
    </row>
    <row r="3374" ht="15.75" customHeight="1">
      <c r="A3374" s="1" t="s">
        <v>7608</v>
      </c>
      <c r="B3374" s="1" t="s">
        <v>7609</v>
      </c>
      <c r="C3374" s="1" t="s">
        <v>174</v>
      </c>
      <c r="K3374" s="1" t="s">
        <v>99</v>
      </c>
      <c r="L3374" s="1" t="s">
        <v>27</v>
      </c>
      <c r="N3374" s="1" t="s">
        <v>174</v>
      </c>
      <c r="O3374" s="1" t="s">
        <v>29</v>
      </c>
      <c r="R3374" s="1">
        <v>0.0</v>
      </c>
      <c r="S3374" s="1"/>
    </row>
    <row r="3375" ht="15.75" customHeight="1">
      <c r="A3375" s="1" t="s">
        <v>7610</v>
      </c>
      <c r="B3375" s="1" t="s">
        <v>7611</v>
      </c>
      <c r="C3375" s="1" t="s">
        <v>174</v>
      </c>
      <c r="K3375" s="1" t="s">
        <v>99</v>
      </c>
      <c r="L3375" s="1" t="s">
        <v>27</v>
      </c>
      <c r="N3375" s="1" t="s">
        <v>174</v>
      </c>
      <c r="O3375" s="1" t="s">
        <v>29</v>
      </c>
      <c r="R3375" s="1">
        <v>0.0</v>
      </c>
      <c r="S3375" s="1"/>
    </row>
    <row r="3376" ht="15.75" customHeight="1">
      <c r="A3376" s="1" t="s">
        <v>7612</v>
      </c>
      <c r="B3376" s="1" t="s">
        <v>7613</v>
      </c>
      <c r="C3376" s="1" t="s">
        <v>768</v>
      </c>
      <c r="K3376" s="1" t="s">
        <v>99</v>
      </c>
      <c r="L3376" s="1" t="s">
        <v>27</v>
      </c>
      <c r="N3376" s="1" t="s">
        <v>732</v>
      </c>
      <c r="O3376" s="1" t="s">
        <v>29</v>
      </c>
      <c r="R3376" s="1">
        <v>0.0</v>
      </c>
      <c r="S3376" s="1"/>
    </row>
    <row r="3377" ht="15.75" customHeight="1">
      <c r="A3377" s="1" t="s">
        <v>7614</v>
      </c>
      <c r="B3377" s="1" t="s">
        <v>7615</v>
      </c>
      <c r="C3377" s="1" t="s">
        <v>617</v>
      </c>
      <c r="K3377" s="1" t="s">
        <v>99</v>
      </c>
      <c r="L3377" s="1" t="s">
        <v>27</v>
      </c>
      <c r="N3377" s="1" t="s">
        <v>28</v>
      </c>
      <c r="O3377" s="1" t="s">
        <v>29</v>
      </c>
      <c r="R3377" s="1">
        <v>0.0</v>
      </c>
      <c r="S3377" s="1"/>
    </row>
    <row r="3378" ht="15.75" customHeight="1">
      <c r="A3378" s="1" t="s">
        <v>7616</v>
      </c>
      <c r="B3378" s="1" t="s">
        <v>7617</v>
      </c>
      <c r="C3378" s="1" t="s">
        <v>142</v>
      </c>
      <c r="K3378" s="1" t="s">
        <v>99</v>
      </c>
      <c r="L3378" s="1" t="s">
        <v>27</v>
      </c>
      <c r="N3378" s="1" t="s">
        <v>143</v>
      </c>
      <c r="O3378" s="1" t="s">
        <v>29</v>
      </c>
      <c r="R3378" s="1">
        <v>0.0</v>
      </c>
      <c r="S3378" s="1"/>
    </row>
    <row r="3379" ht="15.75" customHeight="1">
      <c r="A3379" s="1" t="s">
        <v>7618</v>
      </c>
      <c r="B3379" s="1" t="s">
        <v>7619</v>
      </c>
      <c r="C3379" s="1" t="s">
        <v>617</v>
      </c>
      <c r="K3379" s="1" t="s">
        <v>99</v>
      </c>
      <c r="L3379" s="1" t="s">
        <v>27</v>
      </c>
      <c r="N3379" s="1" t="s">
        <v>28</v>
      </c>
      <c r="O3379" s="1" t="s">
        <v>29</v>
      </c>
      <c r="R3379" s="1">
        <v>0.0</v>
      </c>
      <c r="S3379" s="1"/>
    </row>
    <row r="3380" ht="15.75" customHeight="1">
      <c r="A3380" s="1" t="s">
        <v>7620</v>
      </c>
      <c r="B3380" s="1" t="s">
        <v>7621</v>
      </c>
      <c r="C3380" s="1" t="s">
        <v>746</v>
      </c>
      <c r="K3380" s="1" t="s">
        <v>2892</v>
      </c>
      <c r="L3380" s="1" t="s">
        <v>27</v>
      </c>
      <c r="N3380" s="1" t="s">
        <v>28</v>
      </c>
      <c r="O3380" s="1" t="s">
        <v>29</v>
      </c>
      <c r="R3380" s="1">
        <v>0.0</v>
      </c>
      <c r="S3380" s="1"/>
    </row>
    <row r="3381" ht="15.75" customHeight="1">
      <c r="A3381" s="1" t="s">
        <v>7622</v>
      </c>
      <c r="B3381" s="1" t="s">
        <v>7623</v>
      </c>
      <c r="C3381" s="1" t="s">
        <v>765</v>
      </c>
      <c r="K3381" s="1" t="s">
        <v>2892</v>
      </c>
      <c r="L3381" s="1" t="s">
        <v>27</v>
      </c>
      <c r="N3381" s="1" t="s">
        <v>28</v>
      </c>
      <c r="O3381" s="1" t="s">
        <v>29</v>
      </c>
      <c r="R3381" s="1">
        <v>0.0</v>
      </c>
      <c r="S3381" s="1"/>
    </row>
    <row r="3382" ht="15.75" customHeight="1">
      <c r="A3382" s="1" t="s">
        <v>7624</v>
      </c>
      <c r="B3382" s="1" t="s">
        <v>7625</v>
      </c>
      <c r="C3382" s="1" t="s">
        <v>21</v>
      </c>
      <c r="K3382" s="1" t="s">
        <v>99</v>
      </c>
      <c r="L3382" s="1" t="s">
        <v>27</v>
      </c>
      <c r="N3382" s="1" t="s">
        <v>28</v>
      </c>
      <c r="O3382" s="1" t="s">
        <v>29</v>
      </c>
      <c r="R3382" s="1">
        <v>0.0</v>
      </c>
      <c r="S3382" s="1"/>
    </row>
    <row r="3383" ht="15.75" customHeight="1">
      <c r="A3383" s="1" t="s">
        <v>7626</v>
      </c>
      <c r="B3383" s="1" t="s">
        <v>7627</v>
      </c>
      <c r="C3383" s="1" t="s">
        <v>946</v>
      </c>
      <c r="K3383" s="1" t="s">
        <v>99</v>
      </c>
      <c r="L3383" s="1" t="s">
        <v>27</v>
      </c>
      <c r="N3383" s="1" t="s">
        <v>123</v>
      </c>
      <c r="O3383" s="1" t="s">
        <v>29</v>
      </c>
      <c r="R3383" s="1">
        <v>0.0</v>
      </c>
      <c r="S3383" s="1"/>
    </row>
    <row r="3384" ht="15.75" customHeight="1">
      <c r="A3384" s="1" t="s">
        <v>7628</v>
      </c>
      <c r="B3384" s="1" t="s">
        <v>7629</v>
      </c>
      <c r="C3384" s="1" t="s">
        <v>1786</v>
      </c>
      <c r="K3384" s="1" t="s">
        <v>99</v>
      </c>
      <c r="L3384" s="1" t="s">
        <v>27</v>
      </c>
      <c r="N3384" s="1" t="s">
        <v>1874</v>
      </c>
      <c r="O3384" s="1" t="s">
        <v>29</v>
      </c>
      <c r="R3384" s="1">
        <v>0.0</v>
      </c>
      <c r="S3384" s="1"/>
    </row>
    <row r="3385" ht="15.75" customHeight="1">
      <c r="A3385" s="1" t="s">
        <v>7630</v>
      </c>
      <c r="B3385" s="1" t="s">
        <v>7631</v>
      </c>
      <c r="C3385" s="1" t="s">
        <v>1988</v>
      </c>
      <c r="K3385" s="1" t="s">
        <v>99</v>
      </c>
      <c r="L3385" s="1" t="s">
        <v>27</v>
      </c>
      <c r="N3385" s="1" t="s">
        <v>1989</v>
      </c>
      <c r="O3385" s="1" t="s">
        <v>29</v>
      </c>
      <c r="R3385" s="1">
        <v>0.0</v>
      </c>
      <c r="S3385" s="1"/>
    </row>
    <row r="3386" ht="15.75" customHeight="1">
      <c r="A3386" s="1" t="s">
        <v>7632</v>
      </c>
      <c r="B3386" s="1" t="s">
        <v>7633</v>
      </c>
      <c r="C3386" s="1" t="s">
        <v>174</v>
      </c>
      <c r="K3386" s="1" t="s">
        <v>26</v>
      </c>
      <c r="L3386" s="1" t="s">
        <v>27</v>
      </c>
      <c r="N3386" s="1" t="s">
        <v>174</v>
      </c>
      <c r="O3386" s="1" t="s">
        <v>29</v>
      </c>
      <c r="R3386" s="1">
        <v>0.0</v>
      </c>
      <c r="S3386" s="1"/>
    </row>
    <row r="3387" ht="15.75" customHeight="1">
      <c r="A3387" s="1" t="s">
        <v>7634</v>
      </c>
      <c r="B3387" s="1" t="s">
        <v>7635</v>
      </c>
      <c r="C3387" s="1" t="s">
        <v>2372</v>
      </c>
      <c r="K3387" s="1" t="s">
        <v>1910</v>
      </c>
      <c r="L3387" s="1" t="s">
        <v>1911</v>
      </c>
      <c r="N3387" s="1" t="s">
        <v>1210</v>
      </c>
      <c r="O3387" s="1" t="s">
        <v>29</v>
      </c>
      <c r="R3387" s="1">
        <v>0.0</v>
      </c>
      <c r="S3387" s="1"/>
    </row>
    <row r="3388" ht="15.75" customHeight="1">
      <c r="A3388" s="1" t="s">
        <v>7636</v>
      </c>
      <c r="B3388" s="1" t="s">
        <v>7637</v>
      </c>
      <c r="C3388" s="1" t="s">
        <v>617</v>
      </c>
      <c r="K3388" s="1" t="s">
        <v>99</v>
      </c>
      <c r="L3388" s="1" t="s">
        <v>27</v>
      </c>
      <c r="N3388" s="1" t="s">
        <v>28</v>
      </c>
      <c r="O3388" s="1" t="s">
        <v>29</v>
      </c>
      <c r="R3388" s="1">
        <v>0.0</v>
      </c>
      <c r="S3388" s="1"/>
    </row>
    <row r="3389" ht="15.75" customHeight="1">
      <c r="A3389" s="1" t="s">
        <v>7638</v>
      </c>
      <c r="B3389" s="1" t="s">
        <v>7639</v>
      </c>
      <c r="C3389" s="1" t="s">
        <v>151</v>
      </c>
      <c r="K3389" s="1" t="s">
        <v>99</v>
      </c>
      <c r="L3389" s="1" t="s">
        <v>27</v>
      </c>
      <c r="N3389" s="1" t="s">
        <v>143</v>
      </c>
      <c r="O3389" s="1" t="s">
        <v>29</v>
      </c>
      <c r="R3389" s="1">
        <v>0.0</v>
      </c>
      <c r="S3389" s="1"/>
    </row>
    <row r="3390" ht="15.75" customHeight="1">
      <c r="A3390" s="1" t="s">
        <v>7640</v>
      </c>
      <c r="B3390" s="1" t="s">
        <v>7641</v>
      </c>
      <c r="C3390" s="1" t="s">
        <v>21</v>
      </c>
      <c r="K3390" s="1" t="s">
        <v>99</v>
      </c>
      <c r="L3390" s="1" t="s">
        <v>27</v>
      </c>
      <c r="N3390" s="1" t="s">
        <v>28</v>
      </c>
      <c r="O3390" s="1" t="s">
        <v>29</v>
      </c>
      <c r="R3390" s="1">
        <v>0.0</v>
      </c>
      <c r="S3390" s="1"/>
    </row>
    <row r="3391" ht="15.75" customHeight="1">
      <c r="A3391" s="1" t="s">
        <v>7642</v>
      </c>
      <c r="B3391" s="1" t="s">
        <v>7643</v>
      </c>
      <c r="C3391" s="1" t="s">
        <v>21</v>
      </c>
      <c r="K3391" s="1" t="s">
        <v>99</v>
      </c>
      <c r="L3391" s="1" t="s">
        <v>27</v>
      </c>
      <c r="N3391" s="1" t="s">
        <v>28</v>
      </c>
      <c r="O3391" s="1" t="s">
        <v>29</v>
      </c>
      <c r="R3391" s="1">
        <v>0.0</v>
      </c>
      <c r="S3391" s="1"/>
    </row>
    <row r="3392" ht="15.75" customHeight="1">
      <c r="A3392" s="1" t="s">
        <v>7644</v>
      </c>
      <c r="B3392" s="1" t="s">
        <v>7645</v>
      </c>
      <c r="C3392" s="1" t="s">
        <v>1786</v>
      </c>
      <c r="K3392" s="1" t="s">
        <v>1910</v>
      </c>
      <c r="L3392" s="1" t="s">
        <v>1911</v>
      </c>
      <c r="N3392" s="1" t="s">
        <v>1874</v>
      </c>
      <c r="O3392" s="1" t="s">
        <v>29</v>
      </c>
      <c r="R3392" s="1">
        <v>0.0</v>
      </c>
      <c r="S3392" s="1"/>
    </row>
    <row r="3393" ht="15.75" customHeight="1">
      <c r="A3393" s="1" t="s">
        <v>7646</v>
      </c>
      <c r="B3393" s="1" t="s">
        <v>7647</v>
      </c>
      <c r="C3393" s="1" t="s">
        <v>630</v>
      </c>
      <c r="K3393" s="1" t="s">
        <v>99</v>
      </c>
      <c r="L3393" s="1" t="s">
        <v>27</v>
      </c>
      <c r="N3393" s="1" t="s">
        <v>28</v>
      </c>
      <c r="O3393" s="1" t="s">
        <v>29</v>
      </c>
      <c r="R3393" s="1">
        <v>0.0</v>
      </c>
      <c r="S3393" s="1"/>
    </row>
    <row r="3394" ht="15.75" customHeight="1">
      <c r="A3394" s="1" t="s">
        <v>7648</v>
      </c>
      <c r="B3394" s="1" t="s">
        <v>7649</v>
      </c>
      <c r="C3394" s="1" t="s">
        <v>4679</v>
      </c>
      <c r="K3394" s="1" t="s">
        <v>99</v>
      </c>
      <c r="L3394" s="1" t="s">
        <v>27</v>
      </c>
      <c r="N3394" s="1" t="s">
        <v>163</v>
      </c>
      <c r="O3394" s="1" t="s">
        <v>29</v>
      </c>
      <c r="R3394" s="1">
        <v>0.0</v>
      </c>
      <c r="S3394" s="1"/>
    </row>
    <row r="3395" ht="15.75" customHeight="1">
      <c r="A3395" s="1" t="s">
        <v>7650</v>
      </c>
      <c r="B3395" s="1" t="s">
        <v>7651</v>
      </c>
      <c r="C3395" s="1" t="s">
        <v>215</v>
      </c>
      <c r="K3395" s="1" t="s">
        <v>1910</v>
      </c>
      <c r="L3395" s="1" t="s">
        <v>1911</v>
      </c>
      <c r="N3395" s="1" t="s">
        <v>216</v>
      </c>
      <c r="O3395" s="1" t="s">
        <v>29</v>
      </c>
      <c r="R3395" s="1">
        <v>0.0</v>
      </c>
      <c r="S3395" s="1"/>
    </row>
    <row r="3396" ht="15.75" customHeight="1">
      <c r="A3396" s="1" t="s">
        <v>7652</v>
      </c>
      <c r="B3396" s="1" t="s">
        <v>7653</v>
      </c>
      <c r="C3396" s="1" t="s">
        <v>1988</v>
      </c>
      <c r="K3396" s="1" t="s">
        <v>99</v>
      </c>
      <c r="L3396" s="1" t="s">
        <v>27</v>
      </c>
      <c r="N3396" s="1" t="s">
        <v>1989</v>
      </c>
      <c r="O3396" s="1" t="s">
        <v>29</v>
      </c>
      <c r="R3396" s="1">
        <v>0.0</v>
      </c>
      <c r="S3396" s="1"/>
    </row>
    <row r="3397" ht="15.75" customHeight="1">
      <c r="A3397" s="1" t="s">
        <v>7654</v>
      </c>
      <c r="B3397" s="1" t="s">
        <v>7655</v>
      </c>
      <c r="C3397" s="1" t="s">
        <v>106</v>
      </c>
      <c r="K3397" s="1" t="s">
        <v>99</v>
      </c>
      <c r="L3397" s="1" t="s">
        <v>27</v>
      </c>
      <c r="N3397" s="1" t="s">
        <v>28</v>
      </c>
      <c r="O3397" s="1" t="s">
        <v>29</v>
      </c>
      <c r="R3397" s="1">
        <v>0.0</v>
      </c>
      <c r="S3397" s="1"/>
    </row>
    <row r="3398" ht="15.75" customHeight="1">
      <c r="A3398" s="1" t="s">
        <v>7656</v>
      </c>
      <c r="B3398" s="1" t="s">
        <v>7657</v>
      </c>
      <c r="C3398" s="1" t="s">
        <v>53</v>
      </c>
      <c r="K3398" s="1" t="s">
        <v>99</v>
      </c>
      <c r="L3398" s="1" t="s">
        <v>27</v>
      </c>
      <c r="N3398" s="1" t="s">
        <v>28</v>
      </c>
      <c r="O3398" s="1" t="s">
        <v>29</v>
      </c>
      <c r="R3398" s="1">
        <v>0.0</v>
      </c>
      <c r="S3398" s="1"/>
    </row>
    <row r="3399" ht="15.75" customHeight="1">
      <c r="A3399" s="1" t="s">
        <v>7658</v>
      </c>
      <c r="B3399" s="1" t="s">
        <v>7659</v>
      </c>
      <c r="C3399" s="1" t="s">
        <v>1786</v>
      </c>
      <c r="K3399" s="1" t="s">
        <v>1910</v>
      </c>
      <c r="L3399" s="1" t="s">
        <v>1911</v>
      </c>
      <c r="N3399" s="1" t="s">
        <v>1874</v>
      </c>
      <c r="O3399" s="1" t="s">
        <v>29</v>
      </c>
      <c r="R3399" s="1">
        <v>0.0</v>
      </c>
      <c r="S3399" s="1"/>
    </row>
    <row r="3400" ht="15.75" customHeight="1">
      <c r="A3400" s="1" t="s">
        <v>7660</v>
      </c>
      <c r="B3400" s="1" t="s">
        <v>7661</v>
      </c>
      <c r="C3400" s="1" t="s">
        <v>946</v>
      </c>
      <c r="K3400" s="1" t="s">
        <v>99</v>
      </c>
      <c r="L3400" s="1" t="s">
        <v>27</v>
      </c>
      <c r="N3400" s="1" t="s">
        <v>123</v>
      </c>
      <c r="O3400" s="1" t="s">
        <v>29</v>
      </c>
      <c r="R3400" s="1">
        <v>0.0</v>
      </c>
      <c r="S3400" s="1"/>
    </row>
    <row r="3401" ht="15.75" customHeight="1">
      <c r="A3401" s="1" t="s">
        <v>7662</v>
      </c>
      <c r="B3401" s="1" t="s">
        <v>7663</v>
      </c>
      <c r="C3401" s="1" t="s">
        <v>630</v>
      </c>
      <c r="K3401" s="1" t="s">
        <v>2892</v>
      </c>
      <c r="L3401" s="1" t="s">
        <v>27</v>
      </c>
      <c r="N3401" s="1" t="s">
        <v>28</v>
      </c>
      <c r="O3401" s="1" t="s">
        <v>29</v>
      </c>
      <c r="R3401" s="1">
        <v>0.0</v>
      </c>
      <c r="S3401" s="1"/>
    </row>
    <row r="3402" ht="15.75" customHeight="1">
      <c r="A3402" s="1" t="s">
        <v>7664</v>
      </c>
      <c r="B3402" s="1" t="s">
        <v>7665</v>
      </c>
      <c r="C3402" s="1" t="s">
        <v>21</v>
      </c>
      <c r="K3402" s="1" t="s">
        <v>99</v>
      </c>
      <c r="L3402" s="1" t="s">
        <v>27</v>
      </c>
      <c r="N3402" s="1" t="s">
        <v>28</v>
      </c>
      <c r="O3402" s="1" t="s">
        <v>29</v>
      </c>
      <c r="R3402" s="1">
        <v>0.0</v>
      </c>
      <c r="S3402" s="1"/>
    </row>
    <row r="3403" ht="15.75" customHeight="1">
      <c r="A3403" s="1" t="s">
        <v>7666</v>
      </c>
      <c r="B3403" s="1" t="s">
        <v>7667</v>
      </c>
      <c r="C3403" s="1" t="s">
        <v>148</v>
      </c>
      <c r="K3403" s="1" t="s">
        <v>1910</v>
      </c>
      <c r="L3403" s="1" t="s">
        <v>1911</v>
      </c>
      <c r="N3403" s="1" t="s">
        <v>143</v>
      </c>
      <c r="O3403" s="1" t="s">
        <v>29</v>
      </c>
      <c r="R3403" s="1">
        <v>0.0</v>
      </c>
      <c r="S3403" s="1"/>
    </row>
    <row r="3404" ht="15.75" customHeight="1">
      <c r="A3404" s="1" t="s">
        <v>7668</v>
      </c>
      <c r="B3404" s="1" t="s">
        <v>7669</v>
      </c>
      <c r="C3404" s="1" t="s">
        <v>38</v>
      </c>
      <c r="K3404" s="1" t="s">
        <v>99</v>
      </c>
      <c r="L3404" s="1" t="s">
        <v>27</v>
      </c>
      <c r="N3404" s="1" t="s">
        <v>28</v>
      </c>
      <c r="O3404" s="1" t="s">
        <v>29</v>
      </c>
      <c r="R3404" s="1">
        <v>0.0</v>
      </c>
      <c r="S3404" s="1"/>
    </row>
    <row r="3405" ht="15.75" customHeight="1">
      <c r="A3405" s="1" t="s">
        <v>7670</v>
      </c>
      <c r="B3405" s="1" t="s">
        <v>7671</v>
      </c>
      <c r="C3405" s="1" t="s">
        <v>1716</v>
      </c>
      <c r="K3405" s="1" t="s">
        <v>99</v>
      </c>
      <c r="L3405" s="1" t="s">
        <v>27</v>
      </c>
      <c r="N3405" s="1" t="s">
        <v>163</v>
      </c>
      <c r="O3405" s="1" t="s">
        <v>29</v>
      </c>
      <c r="R3405" s="1">
        <v>0.0</v>
      </c>
      <c r="S3405" s="1"/>
    </row>
    <row r="3406" ht="15.75" customHeight="1">
      <c r="A3406" s="1" t="s">
        <v>7672</v>
      </c>
      <c r="B3406" s="1" t="s">
        <v>7673</v>
      </c>
      <c r="C3406" s="1" t="s">
        <v>737</v>
      </c>
      <c r="K3406" s="1" t="s">
        <v>99</v>
      </c>
      <c r="L3406" s="1" t="s">
        <v>27</v>
      </c>
      <c r="N3406" s="1" t="s">
        <v>732</v>
      </c>
      <c r="O3406" s="1" t="s">
        <v>29</v>
      </c>
      <c r="R3406" s="1">
        <v>0.0</v>
      </c>
      <c r="S3406" s="1"/>
    </row>
    <row r="3407" ht="15.75" customHeight="1">
      <c r="A3407" s="1" t="s">
        <v>7674</v>
      </c>
      <c r="B3407" s="1" t="s">
        <v>7675</v>
      </c>
      <c r="C3407" s="1" t="s">
        <v>848</v>
      </c>
      <c r="K3407" s="1" t="s">
        <v>99</v>
      </c>
      <c r="L3407" s="1" t="s">
        <v>27</v>
      </c>
      <c r="N3407" s="1" t="s">
        <v>849</v>
      </c>
      <c r="O3407" s="1" t="s">
        <v>29</v>
      </c>
      <c r="R3407" s="1">
        <v>0.0</v>
      </c>
      <c r="S3407" s="1"/>
    </row>
    <row r="3408" ht="15.75" customHeight="1">
      <c r="A3408" s="1" t="s">
        <v>7676</v>
      </c>
      <c r="B3408" s="1" t="s">
        <v>7677</v>
      </c>
      <c r="C3408" s="1" t="s">
        <v>630</v>
      </c>
      <c r="K3408" s="1" t="s">
        <v>99</v>
      </c>
      <c r="L3408" s="1" t="s">
        <v>27</v>
      </c>
      <c r="N3408" s="1" t="s">
        <v>28</v>
      </c>
      <c r="O3408" s="1" t="s">
        <v>29</v>
      </c>
      <c r="R3408" s="1">
        <v>0.0</v>
      </c>
      <c r="S3408" s="1"/>
    </row>
    <row r="3409" ht="15.75" customHeight="1">
      <c r="A3409" s="1" t="s">
        <v>7678</v>
      </c>
      <c r="B3409" s="1" t="s">
        <v>7679</v>
      </c>
      <c r="C3409" s="1" t="s">
        <v>21</v>
      </c>
      <c r="K3409" s="1" t="s">
        <v>99</v>
      </c>
      <c r="L3409" s="1" t="s">
        <v>27</v>
      </c>
      <c r="N3409" s="1" t="s">
        <v>28</v>
      </c>
      <c r="O3409" s="1" t="s">
        <v>29</v>
      </c>
      <c r="R3409" s="1">
        <v>0.0</v>
      </c>
      <c r="S3409" s="1"/>
    </row>
    <row r="3410" ht="15.75" customHeight="1">
      <c r="A3410" s="1" t="s">
        <v>7680</v>
      </c>
      <c r="B3410" s="1" t="s">
        <v>7681</v>
      </c>
      <c r="C3410" s="1" t="s">
        <v>21</v>
      </c>
      <c r="K3410" s="1" t="s">
        <v>99</v>
      </c>
      <c r="L3410" s="1" t="s">
        <v>27</v>
      </c>
      <c r="N3410" s="1" t="s">
        <v>28</v>
      </c>
      <c r="O3410" s="1" t="s">
        <v>29</v>
      </c>
      <c r="R3410" s="1">
        <v>0.0</v>
      </c>
      <c r="S3410" s="1"/>
    </row>
    <row r="3411" ht="15.75" customHeight="1">
      <c r="A3411" s="1" t="s">
        <v>7682</v>
      </c>
      <c r="B3411" s="1" t="s">
        <v>7683</v>
      </c>
      <c r="C3411" s="1" t="s">
        <v>531</v>
      </c>
      <c r="K3411" s="1" t="s">
        <v>99</v>
      </c>
      <c r="L3411" s="1" t="s">
        <v>27</v>
      </c>
      <c r="N3411" s="1" t="s">
        <v>532</v>
      </c>
      <c r="O3411" s="1" t="s">
        <v>29</v>
      </c>
      <c r="R3411" s="1">
        <v>0.0</v>
      </c>
      <c r="S3411" s="1"/>
    </row>
    <row r="3412" ht="15.75" customHeight="1">
      <c r="A3412" s="1" t="s">
        <v>7684</v>
      </c>
      <c r="B3412" s="1" t="s">
        <v>7685</v>
      </c>
      <c r="C3412" s="1" t="s">
        <v>531</v>
      </c>
      <c r="K3412" s="1" t="s">
        <v>26</v>
      </c>
      <c r="L3412" s="1" t="s">
        <v>27</v>
      </c>
      <c r="N3412" s="1" t="s">
        <v>532</v>
      </c>
      <c r="O3412" s="1" t="s">
        <v>29</v>
      </c>
      <c r="R3412" s="1">
        <v>0.0</v>
      </c>
      <c r="S3412" s="1"/>
    </row>
    <row r="3413" ht="15.75" customHeight="1">
      <c r="A3413" s="1" t="s">
        <v>7686</v>
      </c>
      <c r="B3413" s="1" t="s">
        <v>7687</v>
      </c>
      <c r="C3413" s="1" t="s">
        <v>162</v>
      </c>
      <c r="K3413" s="1" t="s">
        <v>1910</v>
      </c>
      <c r="L3413" s="1" t="s">
        <v>1911</v>
      </c>
      <c r="N3413" s="1" t="s">
        <v>163</v>
      </c>
      <c r="O3413" s="1" t="s">
        <v>29</v>
      </c>
      <c r="R3413" s="1">
        <v>0.0</v>
      </c>
      <c r="S3413" s="1"/>
    </row>
    <row r="3414" ht="15.75" customHeight="1">
      <c r="A3414" s="1" t="s">
        <v>7688</v>
      </c>
      <c r="B3414" s="1" t="s">
        <v>7689</v>
      </c>
      <c r="C3414" s="1" t="s">
        <v>1062</v>
      </c>
      <c r="K3414" s="1" t="s">
        <v>99</v>
      </c>
      <c r="L3414" s="1" t="s">
        <v>27</v>
      </c>
      <c r="N3414" s="1" t="s">
        <v>532</v>
      </c>
      <c r="O3414" s="1" t="s">
        <v>29</v>
      </c>
      <c r="R3414" s="1">
        <v>0.0</v>
      </c>
      <c r="S3414" s="1"/>
    </row>
    <row r="3415" ht="15.75" customHeight="1">
      <c r="A3415" s="1" t="s">
        <v>7690</v>
      </c>
      <c r="B3415" s="1" t="s">
        <v>7691</v>
      </c>
      <c r="C3415" s="1" t="s">
        <v>549</v>
      </c>
      <c r="K3415" s="1" t="s">
        <v>5789</v>
      </c>
      <c r="L3415" s="1" t="s">
        <v>27</v>
      </c>
      <c r="N3415" s="1" t="s">
        <v>549</v>
      </c>
      <c r="O3415" s="1" t="s">
        <v>29</v>
      </c>
      <c r="R3415" s="1">
        <v>0.0</v>
      </c>
      <c r="S3415" s="1"/>
    </row>
    <row r="3416" ht="15.75" customHeight="1">
      <c r="A3416" s="1" t="s">
        <v>7692</v>
      </c>
      <c r="B3416" s="1" t="s">
        <v>7693</v>
      </c>
      <c r="C3416" s="1" t="s">
        <v>174</v>
      </c>
      <c r="K3416" s="1" t="s">
        <v>99</v>
      </c>
      <c r="L3416" s="1" t="s">
        <v>27</v>
      </c>
      <c r="N3416" s="1" t="s">
        <v>174</v>
      </c>
      <c r="O3416" s="1" t="s">
        <v>29</v>
      </c>
      <c r="R3416" s="1">
        <v>0.0</v>
      </c>
      <c r="S3416" s="1"/>
    </row>
    <row r="3417" ht="15.75" customHeight="1">
      <c r="A3417" s="1" t="s">
        <v>7694</v>
      </c>
      <c r="B3417" s="1" t="s">
        <v>7695</v>
      </c>
      <c r="C3417" s="1" t="s">
        <v>162</v>
      </c>
      <c r="K3417" s="1" t="s">
        <v>99</v>
      </c>
      <c r="L3417" s="1" t="s">
        <v>27</v>
      </c>
      <c r="N3417" s="1" t="s">
        <v>163</v>
      </c>
      <c r="O3417" s="1" t="s">
        <v>29</v>
      </c>
      <c r="R3417" s="1">
        <v>0.0</v>
      </c>
      <c r="S3417" s="1"/>
    </row>
    <row r="3418" ht="15.75" customHeight="1">
      <c r="A3418" s="1" t="s">
        <v>7696</v>
      </c>
      <c r="B3418" s="1" t="s">
        <v>7697</v>
      </c>
      <c r="C3418" s="1" t="s">
        <v>630</v>
      </c>
      <c r="K3418" s="1" t="s">
        <v>99</v>
      </c>
      <c r="L3418" s="1" t="s">
        <v>27</v>
      </c>
      <c r="N3418" s="1" t="s">
        <v>28</v>
      </c>
      <c r="O3418" s="1" t="s">
        <v>29</v>
      </c>
      <c r="R3418" s="1">
        <v>0.0</v>
      </c>
      <c r="S3418" s="1"/>
    </row>
    <row r="3419" ht="15.75" customHeight="1">
      <c r="A3419" s="1" t="s">
        <v>7698</v>
      </c>
      <c r="B3419" s="1" t="s">
        <v>7699</v>
      </c>
      <c r="C3419" s="1" t="s">
        <v>21</v>
      </c>
      <c r="K3419" s="1" t="s">
        <v>99</v>
      </c>
      <c r="L3419" s="1" t="s">
        <v>27</v>
      </c>
      <c r="N3419" s="1" t="s">
        <v>28</v>
      </c>
      <c r="O3419" s="1" t="s">
        <v>29</v>
      </c>
      <c r="R3419" s="1">
        <v>0.0</v>
      </c>
      <c r="S3419" s="1"/>
    </row>
    <row r="3420" ht="15.75" customHeight="1">
      <c r="A3420" s="1" t="s">
        <v>7700</v>
      </c>
      <c r="B3420" s="1" t="s">
        <v>7701</v>
      </c>
      <c r="C3420" s="1" t="s">
        <v>185</v>
      </c>
      <c r="K3420" s="1" t="s">
        <v>99</v>
      </c>
      <c r="L3420" s="1" t="s">
        <v>27</v>
      </c>
      <c r="N3420" s="1" t="s">
        <v>186</v>
      </c>
      <c r="O3420" s="1" t="s">
        <v>29</v>
      </c>
      <c r="R3420" s="1">
        <v>0.0</v>
      </c>
      <c r="S3420" s="1"/>
    </row>
    <row r="3421" ht="15.75" customHeight="1">
      <c r="A3421" s="1" t="s">
        <v>7702</v>
      </c>
      <c r="B3421" s="1" t="s">
        <v>7703</v>
      </c>
      <c r="C3421" s="1" t="s">
        <v>2089</v>
      </c>
      <c r="K3421" s="1" t="s">
        <v>99</v>
      </c>
      <c r="L3421" s="1" t="s">
        <v>27</v>
      </c>
      <c r="N3421" s="1" t="s">
        <v>506</v>
      </c>
      <c r="O3421" s="1" t="s">
        <v>29</v>
      </c>
      <c r="R3421" s="1">
        <v>0.0</v>
      </c>
      <c r="S3421" s="1"/>
    </row>
    <row r="3422" ht="15.75" customHeight="1">
      <c r="A3422" s="1" t="s">
        <v>7704</v>
      </c>
      <c r="B3422" s="1" t="s">
        <v>7705</v>
      </c>
      <c r="C3422" s="1" t="s">
        <v>162</v>
      </c>
      <c r="K3422" s="1" t="s">
        <v>99</v>
      </c>
      <c r="L3422" s="1" t="s">
        <v>27</v>
      </c>
      <c r="N3422" s="1" t="s">
        <v>163</v>
      </c>
      <c r="O3422" s="1" t="s">
        <v>29</v>
      </c>
      <c r="R3422" s="1">
        <v>0.0</v>
      </c>
      <c r="S3422" s="1"/>
    </row>
    <row r="3423" ht="15.75" customHeight="1">
      <c r="A3423" s="1" t="s">
        <v>7706</v>
      </c>
      <c r="B3423" s="1" t="s">
        <v>7707</v>
      </c>
      <c r="C3423" s="1" t="s">
        <v>946</v>
      </c>
      <c r="K3423" s="1" t="s">
        <v>99</v>
      </c>
      <c r="L3423" s="1" t="s">
        <v>27</v>
      </c>
      <c r="N3423" s="1" t="s">
        <v>123</v>
      </c>
      <c r="O3423" s="1" t="s">
        <v>29</v>
      </c>
      <c r="R3423" s="1">
        <v>0.0</v>
      </c>
      <c r="S3423" s="1"/>
    </row>
    <row r="3424" ht="15.75" customHeight="1">
      <c r="A3424" s="1" t="s">
        <v>7708</v>
      </c>
      <c r="B3424" s="1" t="s">
        <v>7709</v>
      </c>
      <c r="C3424" s="1" t="s">
        <v>3033</v>
      </c>
      <c r="K3424" s="1" t="s">
        <v>99</v>
      </c>
      <c r="L3424" s="1" t="s">
        <v>27</v>
      </c>
      <c r="N3424" s="1" t="s">
        <v>123</v>
      </c>
      <c r="O3424" s="1" t="s">
        <v>29</v>
      </c>
      <c r="R3424" s="1">
        <v>0.0</v>
      </c>
      <c r="S3424" s="1"/>
    </row>
    <row r="3425" ht="15.75" customHeight="1">
      <c r="A3425" s="1" t="s">
        <v>7710</v>
      </c>
      <c r="B3425" s="1" t="s">
        <v>7711</v>
      </c>
      <c r="C3425" s="1" t="s">
        <v>617</v>
      </c>
      <c r="K3425" s="1" t="s">
        <v>99</v>
      </c>
      <c r="L3425" s="1" t="s">
        <v>27</v>
      </c>
      <c r="N3425" s="1" t="s">
        <v>28</v>
      </c>
      <c r="O3425" s="1" t="s">
        <v>29</v>
      </c>
      <c r="R3425" s="1">
        <v>0.0</v>
      </c>
      <c r="S3425" s="1"/>
    </row>
    <row r="3426" ht="15.75" customHeight="1">
      <c r="A3426" s="1" t="s">
        <v>7712</v>
      </c>
      <c r="B3426" s="1" t="s">
        <v>7713</v>
      </c>
      <c r="C3426" s="1" t="s">
        <v>151</v>
      </c>
      <c r="K3426" s="1" t="s">
        <v>1910</v>
      </c>
      <c r="L3426" s="1" t="s">
        <v>1911</v>
      </c>
      <c r="N3426" s="1" t="s">
        <v>143</v>
      </c>
      <c r="O3426" s="1" t="s">
        <v>29</v>
      </c>
      <c r="R3426" s="1">
        <v>0.0</v>
      </c>
      <c r="S3426" s="1"/>
    </row>
    <row r="3427" ht="15.75" customHeight="1">
      <c r="A3427" s="1" t="s">
        <v>7714</v>
      </c>
      <c r="B3427" s="1" t="s">
        <v>7715</v>
      </c>
      <c r="C3427" s="1" t="s">
        <v>848</v>
      </c>
      <c r="K3427" s="1" t="s">
        <v>99</v>
      </c>
      <c r="L3427" s="1" t="s">
        <v>27</v>
      </c>
      <c r="N3427" s="1" t="s">
        <v>849</v>
      </c>
      <c r="O3427" s="1" t="s">
        <v>29</v>
      </c>
      <c r="R3427" s="1">
        <v>0.0</v>
      </c>
      <c r="S3427" s="1"/>
    </row>
    <row r="3428" ht="15.75" customHeight="1">
      <c r="A3428" s="1" t="s">
        <v>7716</v>
      </c>
      <c r="B3428" s="1" t="s">
        <v>7717</v>
      </c>
      <c r="R3428" s="1">
        <v>0.0</v>
      </c>
      <c r="S3428" s="1"/>
    </row>
    <row r="3429" ht="15.75" customHeight="1">
      <c r="A3429" s="1" t="s">
        <v>7718</v>
      </c>
      <c r="B3429" s="1" t="s">
        <v>7719</v>
      </c>
      <c r="C3429" s="1" t="s">
        <v>21</v>
      </c>
      <c r="K3429" s="1" t="s">
        <v>99</v>
      </c>
      <c r="L3429" s="1" t="s">
        <v>27</v>
      </c>
      <c r="N3429" s="1" t="s">
        <v>28</v>
      </c>
      <c r="O3429" s="1" t="s">
        <v>29</v>
      </c>
      <c r="R3429" s="1">
        <v>0.0</v>
      </c>
      <c r="S3429" s="1"/>
    </row>
    <row r="3430" ht="15.75" customHeight="1">
      <c r="A3430" s="1" t="s">
        <v>7720</v>
      </c>
      <c r="B3430" s="1" t="s">
        <v>7721</v>
      </c>
      <c r="C3430" s="1" t="s">
        <v>1209</v>
      </c>
      <c r="K3430" s="1" t="s">
        <v>1910</v>
      </c>
      <c r="L3430" s="1" t="s">
        <v>1911</v>
      </c>
      <c r="N3430" s="1" t="s">
        <v>1210</v>
      </c>
      <c r="O3430" s="1" t="s">
        <v>29</v>
      </c>
      <c r="R3430" s="1">
        <v>0.0</v>
      </c>
      <c r="S3430" s="1"/>
    </row>
    <row r="3431" ht="15.75" customHeight="1">
      <c r="A3431" s="1" t="s">
        <v>7722</v>
      </c>
      <c r="B3431" s="1" t="s">
        <v>7723</v>
      </c>
      <c r="C3431" s="1" t="s">
        <v>38</v>
      </c>
      <c r="K3431" s="1" t="s">
        <v>1910</v>
      </c>
      <c r="L3431" s="1" t="s">
        <v>1911</v>
      </c>
      <c r="N3431" s="1" t="s">
        <v>28</v>
      </c>
      <c r="O3431" s="1" t="s">
        <v>29</v>
      </c>
      <c r="R3431" s="1">
        <v>0.0</v>
      </c>
      <c r="S3431" s="1"/>
    </row>
    <row r="3432" ht="15.75" customHeight="1">
      <c r="A3432" s="1" t="s">
        <v>7724</v>
      </c>
      <c r="B3432" s="1" t="s">
        <v>7725</v>
      </c>
      <c r="C3432" s="1" t="s">
        <v>1786</v>
      </c>
      <c r="K3432" s="1" t="s">
        <v>99</v>
      </c>
      <c r="L3432" s="1" t="s">
        <v>27</v>
      </c>
      <c r="N3432" s="1" t="s">
        <v>1874</v>
      </c>
      <c r="O3432" s="1" t="s">
        <v>29</v>
      </c>
      <c r="R3432" s="1">
        <v>0.0</v>
      </c>
      <c r="S3432" s="1"/>
    </row>
    <row r="3433" ht="15.75" customHeight="1">
      <c r="A3433" s="1" t="s">
        <v>7726</v>
      </c>
      <c r="B3433" s="1" t="s">
        <v>7727</v>
      </c>
      <c r="C3433" s="1" t="s">
        <v>617</v>
      </c>
      <c r="K3433" s="1" t="s">
        <v>99</v>
      </c>
      <c r="L3433" s="1" t="s">
        <v>27</v>
      </c>
      <c r="N3433" s="1" t="s">
        <v>28</v>
      </c>
      <c r="O3433" s="1" t="s">
        <v>29</v>
      </c>
      <c r="R3433" s="1">
        <v>0.0</v>
      </c>
      <c r="S3433" s="1"/>
    </row>
    <row r="3434" ht="15.75" customHeight="1">
      <c r="A3434" s="1" t="s">
        <v>7728</v>
      </c>
      <c r="B3434" s="1" t="s">
        <v>7729</v>
      </c>
      <c r="C3434" s="1" t="s">
        <v>531</v>
      </c>
      <c r="K3434" s="1" t="s">
        <v>99</v>
      </c>
      <c r="L3434" s="1" t="s">
        <v>27</v>
      </c>
      <c r="N3434" s="1" t="s">
        <v>532</v>
      </c>
      <c r="O3434" s="1" t="s">
        <v>29</v>
      </c>
      <c r="R3434" s="1">
        <v>0.0</v>
      </c>
      <c r="S3434" s="1"/>
    </row>
    <row r="3435" ht="15.75" customHeight="1">
      <c r="A3435" s="1" t="s">
        <v>7730</v>
      </c>
      <c r="B3435" s="1" t="s">
        <v>7731</v>
      </c>
      <c r="C3435" s="1" t="s">
        <v>1078</v>
      </c>
      <c r="K3435" s="1" t="s">
        <v>1910</v>
      </c>
      <c r="L3435" s="1" t="s">
        <v>1911</v>
      </c>
      <c r="N3435" s="1" t="s">
        <v>743</v>
      </c>
      <c r="O3435" s="1" t="s">
        <v>29</v>
      </c>
      <c r="R3435" s="1">
        <v>0.0</v>
      </c>
      <c r="S3435" s="1"/>
    </row>
    <row r="3436" ht="15.75" customHeight="1">
      <c r="A3436" s="1" t="s">
        <v>7732</v>
      </c>
      <c r="B3436" s="1" t="s">
        <v>7733</v>
      </c>
      <c r="C3436" s="1" t="s">
        <v>38</v>
      </c>
      <c r="K3436" s="1" t="s">
        <v>99</v>
      </c>
      <c r="L3436" s="1" t="s">
        <v>27</v>
      </c>
      <c r="N3436" s="1" t="s">
        <v>28</v>
      </c>
      <c r="O3436" s="1" t="s">
        <v>29</v>
      </c>
      <c r="R3436" s="1">
        <v>0.0</v>
      </c>
      <c r="S3436" s="1"/>
    </row>
    <row r="3437" ht="15.75" customHeight="1">
      <c r="A3437" s="1" t="s">
        <v>7734</v>
      </c>
      <c r="B3437" s="1" t="s">
        <v>7735</v>
      </c>
      <c r="C3437" s="1" t="s">
        <v>174</v>
      </c>
      <c r="K3437" s="1" t="s">
        <v>99</v>
      </c>
      <c r="L3437" s="1" t="s">
        <v>27</v>
      </c>
      <c r="N3437" s="1" t="s">
        <v>174</v>
      </c>
      <c r="O3437" s="1" t="s">
        <v>29</v>
      </c>
      <c r="R3437" s="1">
        <v>0.0</v>
      </c>
      <c r="S3437" s="1"/>
    </row>
    <row r="3438" ht="15.75" customHeight="1">
      <c r="A3438" s="1" t="s">
        <v>7736</v>
      </c>
      <c r="B3438" s="1" t="s">
        <v>7737</v>
      </c>
      <c r="C3438" s="1" t="s">
        <v>848</v>
      </c>
      <c r="K3438" s="1" t="s">
        <v>99</v>
      </c>
      <c r="L3438" s="1" t="s">
        <v>27</v>
      </c>
      <c r="N3438" s="1" t="s">
        <v>849</v>
      </c>
      <c r="O3438" s="1" t="s">
        <v>29</v>
      </c>
      <c r="R3438" s="1">
        <v>0.0</v>
      </c>
      <c r="S3438" s="1"/>
    </row>
    <row r="3439" ht="15.75" customHeight="1">
      <c r="A3439" s="1" t="s">
        <v>7738</v>
      </c>
      <c r="B3439" s="1" t="s">
        <v>7739</v>
      </c>
      <c r="C3439" s="1" t="s">
        <v>1138</v>
      </c>
      <c r="K3439" s="1" t="s">
        <v>1910</v>
      </c>
      <c r="L3439" s="1" t="s">
        <v>1911</v>
      </c>
      <c r="N3439" s="1" t="s">
        <v>1097</v>
      </c>
      <c r="O3439" s="1" t="s">
        <v>29</v>
      </c>
      <c r="R3439" s="1">
        <v>0.0</v>
      </c>
      <c r="S3439" s="1"/>
    </row>
    <row r="3440" ht="15.75" customHeight="1">
      <c r="A3440" s="1" t="s">
        <v>7740</v>
      </c>
      <c r="B3440" s="1" t="s">
        <v>7741</v>
      </c>
      <c r="C3440" s="1" t="s">
        <v>1786</v>
      </c>
      <c r="K3440" s="1" t="s">
        <v>99</v>
      </c>
      <c r="L3440" s="1" t="s">
        <v>27</v>
      </c>
      <c r="N3440" s="1" t="s">
        <v>1874</v>
      </c>
      <c r="O3440" s="1" t="s">
        <v>29</v>
      </c>
      <c r="R3440" s="1">
        <v>0.0</v>
      </c>
      <c r="S3440" s="1"/>
    </row>
    <row r="3441" ht="15.75" customHeight="1">
      <c r="A3441" s="1" t="s">
        <v>7742</v>
      </c>
      <c r="B3441" s="1" t="s">
        <v>7743</v>
      </c>
      <c r="R3441" s="1">
        <v>0.0</v>
      </c>
      <c r="S3441" s="1"/>
    </row>
    <row r="3442" ht="15.75" customHeight="1">
      <c r="A3442" s="1" t="s">
        <v>7744</v>
      </c>
      <c r="B3442" s="1" t="s">
        <v>7745</v>
      </c>
      <c r="C3442" s="1" t="s">
        <v>497</v>
      </c>
      <c r="K3442" s="1" t="s">
        <v>99</v>
      </c>
      <c r="L3442" s="1" t="s">
        <v>27</v>
      </c>
      <c r="N3442" s="1" t="s">
        <v>498</v>
      </c>
      <c r="O3442" s="1" t="s">
        <v>29</v>
      </c>
      <c r="R3442" s="1">
        <v>0.0</v>
      </c>
      <c r="S3442" s="1"/>
    </row>
    <row r="3443" ht="15.75" customHeight="1">
      <c r="A3443" s="1" t="s">
        <v>7746</v>
      </c>
      <c r="B3443" s="1" t="s">
        <v>7747</v>
      </c>
      <c r="C3443" s="1" t="s">
        <v>1716</v>
      </c>
      <c r="K3443" s="1" t="s">
        <v>99</v>
      </c>
      <c r="L3443" s="1" t="s">
        <v>27</v>
      </c>
      <c r="N3443" s="1" t="s">
        <v>163</v>
      </c>
      <c r="O3443" s="1" t="s">
        <v>29</v>
      </c>
      <c r="R3443" s="1">
        <v>0.0</v>
      </c>
      <c r="S3443" s="1"/>
    </row>
    <row r="3444" ht="15.75" customHeight="1">
      <c r="A3444" s="1" t="s">
        <v>7748</v>
      </c>
      <c r="B3444" s="1" t="s">
        <v>7749</v>
      </c>
      <c r="C3444" s="1" t="s">
        <v>3033</v>
      </c>
      <c r="K3444" s="1" t="s">
        <v>99</v>
      </c>
      <c r="L3444" s="1" t="s">
        <v>27</v>
      </c>
      <c r="N3444" s="1" t="s">
        <v>123</v>
      </c>
      <c r="O3444" s="1" t="s">
        <v>29</v>
      </c>
      <c r="R3444" s="1">
        <v>0.0</v>
      </c>
      <c r="S3444" s="1"/>
    </row>
    <row r="3445" ht="15.75" customHeight="1">
      <c r="A3445" s="1" t="s">
        <v>7750</v>
      </c>
      <c r="B3445" s="1" t="s">
        <v>7751</v>
      </c>
      <c r="C3445" s="1" t="s">
        <v>630</v>
      </c>
      <c r="K3445" s="1" t="s">
        <v>99</v>
      </c>
      <c r="L3445" s="1" t="s">
        <v>27</v>
      </c>
      <c r="N3445" s="1" t="s">
        <v>28</v>
      </c>
      <c r="O3445" s="1" t="s">
        <v>29</v>
      </c>
      <c r="R3445" s="1">
        <v>0.0</v>
      </c>
      <c r="S3445" s="1"/>
    </row>
    <row r="3446" ht="15.75" customHeight="1">
      <c r="A3446" s="1" t="s">
        <v>7752</v>
      </c>
      <c r="B3446" s="1" t="s">
        <v>7753</v>
      </c>
      <c r="C3446" s="1" t="s">
        <v>21</v>
      </c>
      <c r="K3446" s="1" t="s">
        <v>99</v>
      </c>
      <c r="L3446" s="1" t="s">
        <v>27</v>
      </c>
      <c r="N3446" s="1" t="s">
        <v>28</v>
      </c>
      <c r="O3446" s="1" t="s">
        <v>29</v>
      </c>
      <c r="R3446" s="1">
        <v>0.0</v>
      </c>
      <c r="S3446" s="1"/>
    </row>
    <row r="3447" ht="15.75" customHeight="1">
      <c r="A3447" s="1" t="s">
        <v>7754</v>
      </c>
      <c r="B3447" s="1" t="s">
        <v>7755</v>
      </c>
      <c r="C3447" s="1" t="s">
        <v>21</v>
      </c>
      <c r="K3447" s="1" t="s">
        <v>99</v>
      </c>
      <c r="L3447" s="1" t="s">
        <v>27</v>
      </c>
      <c r="N3447" s="1" t="s">
        <v>28</v>
      </c>
      <c r="O3447" s="1" t="s">
        <v>29</v>
      </c>
      <c r="R3447" s="1">
        <v>0.0</v>
      </c>
      <c r="S3447" s="1"/>
    </row>
    <row r="3448" ht="15.75" customHeight="1">
      <c r="A3448" s="1" t="s">
        <v>7756</v>
      </c>
      <c r="B3448" s="1" t="s">
        <v>7757</v>
      </c>
      <c r="C3448" s="1" t="s">
        <v>21</v>
      </c>
      <c r="K3448" s="1" t="s">
        <v>99</v>
      </c>
      <c r="L3448" s="1" t="s">
        <v>27</v>
      </c>
      <c r="N3448" s="1" t="s">
        <v>28</v>
      </c>
      <c r="O3448" s="1" t="s">
        <v>29</v>
      </c>
      <c r="R3448" s="1">
        <v>0.0</v>
      </c>
      <c r="S3448" s="1"/>
    </row>
    <row r="3449" ht="15.75" customHeight="1">
      <c r="A3449" s="1" t="s">
        <v>7758</v>
      </c>
      <c r="B3449" s="1" t="s">
        <v>7759</v>
      </c>
      <c r="C3449" s="1" t="s">
        <v>21</v>
      </c>
      <c r="K3449" s="1" t="s">
        <v>99</v>
      </c>
      <c r="L3449" s="1" t="s">
        <v>27</v>
      </c>
      <c r="N3449" s="1" t="s">
        <v>28</v>
      </c>
      <c r="O3449" s="1" t="s">
        <v>29</v>
      </c>
      <c r="R3449" s="1">
        <v>0.0</v>
      </c>
      <c r="S3449" s="1"/>
    </row>
    <row r="3450" ht="15.75" customHeight="1">
      <c r="A3450" s="1" t="s">
        <v>7760</v>
      </c>
      <c r="B3450" s="1" t="s">
        <v>7761</v>
      </c>
      <c r="C3450" s="1" t="s">
        <v>1786</v>
      </c>
      <c r="K3450" s="1" t="s">
        <v>99</v>
      </c>
      <c r="L3450" s="1" t="s">
        <v>27</v>
      </c>
      <c r="N3450" s="1" t="s">
        <v>1874</v>
      </c>
      <c r="O3450" s="1" t="s">
        <v>29</v>
      </c>
      <c r="R3450" s="1">
        <v>0.0</v>
      </c>
      <c r="S3450" s="1"/>
    </row>
    <row r="3451" ht="15.75" customHeight="1">
      <c r="A3451" s="1" t="s">
        <v>7762</v>
      </c>
      <c r="B3451" s="1" t="s">
        <v>7763</v>
      </c>
      <c r="C3451" s="1" t="s">
        <v>7764</v>
      </c>
      <c r="K3451" s="1" t="s">
        <v>1910</v>
      </c>
      <c r="L3451" s="1" t="s">
        <v>1911</v>
      </c>
      <c r="N3451" s="1" t="s">
        <v>1210</v>
      </c>
      <c r="O3451" s="1" t="s">
        <v>29</v>
      </c>
      <c r="R3451" s="1">
        <v>0.0</v>
      </c>
      <c r="S3451" s="1"/>
    </row>
    <row r="3452" ht="15.75" customHeight="1">
      <c r="A3452" s="1" t="s">
        <v>7765</v>
      </c>
      <c r="B3452" s="1" t="s">
        <v>7766</v>
      </c>
      <c r="C3452" s="1" t="s">
        <v>185</v>
      </c>
      <c r="K3452" s="1" t="s">
        <v>1910</v>
      </c>
      <c r="L3452" s="1" t="s">
        <v>1911</v>
      </c>
      <c r="N3452" s="1" t="s">
        <v>186</v>
      </c>
      <c r="O3452" s="1" t="s">
        <v>29</v>
      </c>
      <c r="R3452" s="1">
        <v>0.0</v>
      </c>
      <c r="S3452" s="1"/>
    </row>
    <row r="3453" ht="15.75" customHeight="1">
      <c r="A3453" s="1" t="s">
        <v>7767</v>
      </c>
      <c r="B3453" s="1" t="s">
        <v>7768</v>
      </c>
      <c r="C3453" s="1" t="s">
        <v>148</v>
      </c>
      <c r="K3453" s="1" t="s">
        <v>1910</v>
      </c>
      <c r="L3453" s="1" t="s">
        <v>1911</v>
      </c>
      <c r="N3453" s="1" t="s">
        <v>143</v>
      </c>
      <c r="O3453" s="1" t="s">
        <v>29</v>
      </c>
      <c r="R3453" s="1">
        <v>0.0</v>
      </c>
      <c r="S3453" s="1"/>
    </row>
    <row r="3454" ht="15.75" customHeight="1">
      <c r="A3454" s="1" t="s">
        <v>7769</v>
      </c>
      <c r="B3454" s="1" t="s">
        <v>7770</v>
      </c>
      <c r="C3454" s="1" t="s">
        <v>1078</v>
      </c>
      <c r="K3454" s="1" t="s">
        <v>1910</v>
      </c>
      <c r="L3454" s="1" t="s">
        <v>1911</v>
      </c>
      <c r="N3454" s="1" t="s">
        <v>743</v>
      </c>
      <c r="O3454" s="1" t="s">
        <v>29</v>
      </c>
      <c r="R3454" s="1">
        <v>0.0</v>
      </c>
      <c r="S3454" s="1"/>
    </row>
    <row r="3455" ht="15.75" customHeight="1">
      <c r="A3455" s="1" t="s">
        <v>7771</v>
      </c>
      <c r="B3455" s="1" t="s">
        <v>7772</v>
      </c>
      <c r="C3455" s="1" t="s">
        <v>848</v>
      </c>
      <c r="K3455" s="1" t="s">
        <v>99</v>
      </c>
      <c r="L3455" s="1" t="s">
        <v>27</v>
      </c>
      <c r="N3455" s="1" t="s">
        <v>849</v>
      </c>
      <c r="O3455" s="1" t="s">
        <v>29</v>
      </c>
      <c r="R3455" s="1">
        <v>0.0</v>
      </c>
      <c r="S3455" s="1"/>
    </row>
    <row r="3456" ht="15.75" customHeight="1">
      <c r="A3456" s="1" t="s">
        <v>7773</v>
      </c>
      <c r="B3456" s="1" t="s">
        <v>7774</v>
      </c>
      <c r="C3456" s="1" t="s">
        <v>737</v>
      </c>
      <c r="K3456" s="1" t="s">
        <v>99</v>
      </c>
      <c r="L3456" s="1" t="s">
        <v>27</v>
      </c>
      <c r="N3456" s="1" t="s">
        <v>732</v>
      </c>
      <c r="O3456" s="1" t="s">
        <v>29</v>
      </c>
      <c r="R3456" s="1">
        <v>0.0</v>
      </c>
      <c r="S3456" s="1"/>
    </row>
    <row r="3457" ht="15.75" customHeight="1">
      <c r="A3457" s="1" t="s">
        <v>7775</v>
      </c>
      <c r="B3457" s="1" t="s">
        <v>7776</v>
      </c>
      <c r="C3457" s="1" t="s">
        <v>1786</v>
      </c>
      <c r="K3457" s="1" t="s">
        <v>99</v>
      </c>
      <c r="L3457" s="1" t="s">
        <v>27</v>
      </c>
      <c r="N3457" s="1" t="s">
        <v>1874</v>
      </c>
      <c r="O3457" s="1" t="s">
        <v>29</v>
      </c>
      <c r="R3457" s="1">
        <v>0.0</v>
      </c>
      <c r="S3457" s="1"/>
    </row>
    <row r="3458" ht="15.75" customHeight="1">
      <c r="A3458" s="1" t="s">
        <v>7777</v>
      </c>
      <c r="B3458" s="1" t="s">
        <v>7778</v>
      </c>
      <c r="C3458" s="1" t="s">
        <v>617</v>
      </c>
      <c r="K3458" s="1" t="s">
        <v>99</v>
      </c>
      <c r="L3458" s="1" t="s">
        <v>27</v>
      </c>
      <c r="N3458" s="1" t="s">
        <v>28</v>
      </c>
      <c r="O3458" s="1" t="s">
        <v>29</v>
      </c>
      <c r="R3458" s="1">
        <v>0.0</v>
      </c>
      <c r="S3458" s="1"/>
    </row>
    <row r="3459" ht="15.75" customHeight="1">
      <c r="A3459" s="1" t="s">
        <v>7779</v>
      </c>
      <c r="B3459" s="1" t="s">
        <v>7780</v>
      </c>
      <c r="C3459" s="1" t="s">
        <v>1786</v>
      </c>
      <c r="K3459" s="1" t="s">
        <v>99</v>
      </c>
      <c r="L3459" s="1" t="s">
        <v>27</v>
      </c>
      <c r="N3459" s="1" t="s">
        <v>1874</v>
      </c>
      <c r="O3459" s="1" t="s">
        <v>29</v>
      </c>
      <c r="R3459" s="1">
        <v>0.0</v>
      </c>
      <c r="S3459" s="1"/>
    </row>
    <row r="3460" ht="15.75" customHeight="1">
      <c r="A3460" s="1" t="s">
        <v>7781</v>
      </c>
      <c r="B3460" s="1" t="s">
        <v>7782</v>
      </c>
      <c r="C3460" s="1" t="s">
        <v>1786</v>
      </c>
      <c r="K3460" s="1" t="s">
        <v>99</v>
      </c>
      <c r="L3460" s="1" t="s">
        <v>27</v>
      </c>
      <c r="N3460" s="1" t="s">
        <v>1874</v>
      </c>
      <c r="O3460" s="1" t="s">
        <v>29</v>
      </c>
      <c r="R3460" s="1">
        <v>0.0</v>
      </c>
      <c r="S3460" s="1"/>
    </row>
    <row r="3461" ht="15.75" customHeight="1">
      <c r="A3461" s="1" t="s">
        <v>7783</v>
      </c>
      <c r="B3461" s="1" t="s">
        <v>7784</v>
      </c>
      <c r="C3461" s="1" t="s">
        <v>630</v>
      </c>
      <c r="K3461" s="1" t="s">
        <v>99</v>
      </c>
      <c r="L3461" s="1" t="s">
        <v>27</v>
      </c>
      <c r="N3461" s="1" t="s">
        <v>28</v>
      </c>
      <c r="O3461" s="1" t="s">
        <v>29</v>
      </c>
      <c r="R3461" s="1">
        <v>0.0</v>
      </c>
      <c r="S3461" s="1"/>
    </row>
    <row r="3462" ht="15.75" customHeight="1">
      <c r="A3462" s="1" t="s">
        <v>7785</v>
      </c>
      <c r="B3462" s="1" t="s">
        <v>7786</v>
      </c>
      <c r="C3462" s="1" t="s">
        <v>21</v>
      </c>
      <c r="K3462" s="1" t="s">
        <v>99</v>
      </c>
      <c r="L3462" s="1" t="s">
        <v>27</v>
      </c>
      <c r="N3462" s="1" t="s">
        <v>28</v>
      </c>
      <c r="O3462" s="1" t="s">
        <v>29</v>
      </c>
      <c r="R3462" s="1">
        <v>0.0</v>
      </c>
      <c r="S3462" s="1"/>
    </row>
    <row r="3463" ht="15.75" customHeight="1">
      <c r="A3463" s="1" t="s">
        <v>7787</v>
      </c>
      <c r="B3463" s="1" t="s">
        <v>7788</v>
      </c>
      <c r="C3463" s="1" t="s">
        <v>531</v>
      </c>
      <c r="K3463" s="1" t="s">
        <v>99</v>
      </c>
      <c r="L3463" s="1" t="s">
        <v>27</v>
      </c>
      <c r="N3463" s="1" t="s">
        <v>532</v>
      </c>
      <c r="O3463" s="1" t="s">
        <v>29</v>
      </c>
      <c r="R3463" s="1">
        <v>0.0</v>
      </c>
      <c r="S3463" s="1"/>
    </row>
    <row r="3464" ht="15.75" customHeight="1">
      <c r="A3464" s="1" t="s">
        <v>7789</v>
      </c>
      <c r="B3464" s="1" t="s">
        <v>7790</v>
      </c>
      <c r="C3464" s="1" t="s">
        <v>174</v>
      </c>
      <c r="K3464" s="1" t="s">
        <v>99</v>
      </c>
      <c r="L3464" s="1" t="s">
        <v>27</v>
      </c>
      <c r="N3464" s="1" t="s">
        <v>174</v>
      </c>
      <c r="O3464" s="1" t="s">
        <v>29</v>
      </c>
      <c r="R3464" s="1">
        <v>0.0</v>
      </c>
      <c r="S3464" s="1"/>
    </row>
    <row r="3465" ht="15.75" customHeight="1">
      <c r="A3465" s="1" t="s">
        <v>7791</v>
      </c>
      <c r="B3465" s="1" t="s">
        <v>7792</v>
      </c>
      <c r="C3465" s="1" t="s">
        <v>737</v>
      </c>
      <c r="K3465" s="1" t="s">
        <v>99</v>
      </c>
      <c r="L3465" s="1" t="s">
        <v>27</v>
      </c>
      <c r="N3465" s="1" t="s">
        <v>732</v>
      </c>
      <c r="O3465" s="1" t="s">
        <v>29</v>
      </c>
      <c r="R3465" s="1">
        <v>0.0</v>
      </c>
      <c r="S3465" s="1"/>
    </row>
    <row r="3466" ht="15.75" customHeight="1">
      <c r="A3466" s="1" t="s">
        <v>7793</v>
      </c>
      <c r="B3466" s="1" t="s">
        <v>7794</v>
      </c>
      <c r="C3466" s="1" t="s">
        <v>1716</v>
      </c>
      <c r="K3466" s="1" t="s">
        <v>99</v>
      </c>
      <c r="L3466" s="1" t="s">
        <v>27</v>
      </c>
      <c r="N3466" s="1" t="s">
        <v>163</v>
      </c>
      <c r="O3466" s="1" t="s">
        <v>29</v>
      </c>
      <c r="R3466" s="1">
        <v>0.0</v>
      </c>
      <c r="S3466" s="1"/>
    </row>
    <row r="3467" ht="15.75" customHeight="1">
      <c r="A3467" s="1" t="s">
        <v>7795</v>
      </c>
      <c r="B3467" s="1" t="s">
        <v>7796</v>
      </c>
      <c r="R3467" s="1">
        <v>0.0</v>
      </c>
      <c r="S3467" s="1"/>
    </row>
    <row r="3468" ht="15.75" customHeight="1">
      <c r="A3468" s="1" t="s">
        <v>7797</v>
      </c>
      <c r="B3468" s="1" t="s">
        <v>7798</v>
      </c>
      <c r="C3468" s="1" t="s">
        <v>617</v>
      </c>
      <c r="K3468" s="1" t="s">
        <v>99</v>
      </c>
      <c r="L3468" s="1" t="s">
        <v>27</v>
      </c>
      <c r="N3468" s="1" t="s">
        <v>28</v>
      </c>
      <c r="O3468" s="1" t="s">
        <v>29</v>
      </c>
      <c r="R3468" s="1">
        <v>0.0</v>
      </c>
      <c r="S3468" s="1"/>
    </row>
    <row r="3469" ht="15.75" customHeight="1">
      <c r="A3469" s="1" t="s">
        <v>7799</v>
      </c>
      <c r="B3469" s="1" t="s">
        <v>7800</v>
      </c>
      <c r="C3469" s="1" t="s">
        <v>630</v>
      </c>
      <c r="K3469" s="1" t="s">
        <v>99</v>
      </c>
      <c r="L3469" s="1" t="s">
        <v>27</v>
      </c>
      <c r="N3469" s="1" t="s">
        <v>28</v>
      </c>
      <c r="O3469" s="1" t="s">
        <v>29</v>
      </c>
      <c r="R3469" s="1">
        <v>0.0</v>
      </c>
      <c r="S3469" s="1"/>
    </row>
    <row r="3470" ht="15.75" customHeight="1">
      <c r="A3470" s="1" t="s">
        <v>7801</v>
      </c>
      <c r="B3470" s="1" t="s">
        <v>7802</v>
      </c>
      <c r="C3470" s="1" t="s">
        <v>21</v>
      </c>
      <c r="K3470" s="1" t="s">
        <v>99</v>
      </c>
      <c r="L3470" s="1" t="s">
        <v>27</v>
      </c>
      <c r="N3470" s="1" t="s">
        <v>28</v>
      </c>
      <c r="O3470" s="1" t="s">
        <v>29</v>
      </c>
      <c r="R3470" s="1">
        <v>0.0</v>
      </c>
      <c r="S3470" s="1"/>
    </row>
    <row r="3471" ht="15.75" customHeight="1">
      <c r="A3471" s="1" t="s">
        <v>7803</v>
      </c>
      <c r="B3471" s="1" t="s">
        <v>7804</v>
      </c>
      <c r="R3471" s="1">
        <v>0.0</v>
      </c>
      <c r="S3471" s="1"/>
    </row>
    <row r="3472" ht="15.75" customHeight="1">
      <c r="A3472" s="1" t="s">
        <v>7805</v>
      </c>
      <c r="B3472" s="1" t="s">
        <v>7806</v>
      </c>
      <c r="C3472" s="1" t="s">
        <v>162</v>
      </c>
      <c r="K3472" s="1" t="s">
        <v>1910</v>
      </c>
      <c r="L3472" s="1" t="s">
        <v>1911</v>
      </c>
      <c r="N3472" s="1" t="s">
        <v>163</v>
      </c>
      <c r="O3472" s="1" t="s">
        <v>29</v>
      </c>
      <c r="R3472" s="1">
        <v>0.0</v>
      </c>
      <c r="S3472" s="1"/>
    </row>
    <row r="3473" ht="15.75" customHeight="1">
      <c r="A3473" s="1" t="s">
        <v>7807</v>
      </c>
      <c r="B3473" s="1" t="s">
        <v>7808</v>
      </c>
      <c r="C3473" s="1" t="s">
        <v>1716</v>
      </c>
      <c r="K3473" s="1" t="s">
        <v>99</v>
      </c>
      <c r="L3473" s="1" t="s">
        <v>27</v>
      </c>
      <c r="N3473" s="1" t="s">
        <v>163</v>
      </c>
      <c r="O3473" s="1" t="s">
        <v>29</v>
      </c>
      <c r="R3473" s="1">
        <v>0.0</v>
      </c>
      <c r="S3473" s="1"/>
    </row>
    <row r="3474" ht="15.75" customHeight="1">
      <c r="A3474" s="1" t="s">
        <v>7809</v>
      </c>
      <c r="B3474" s="1" t="s">
        <v>7810</v>
      </c>
      <c r="C3474" s="1" t="s">
        <v>174</v>
      </c>
      <c r="K3474" s="1" t="s">
        <v>5789</v>
      </c>
      <c r="L3474" s="1" t="s">
        <v>27</v>
      </c>
      <c r="N3474" s="1" t="s">
        <v>174</v>
      </c>
      <c r="O3474" s="1" t="s">
        <v>29</v>
      </c>
      <c r="R3474" s="1">
        <v>0.0</v>
      </c>
      <c r="S3474" s="1"/>
    </row>
    <row r="3475" ht="15.75" customHeight="1">
      <c r="A3475" s="1" t="s">
        <v>7811</v>
      </c>
      <c r="B3475" s="1" t="s">
        <v>7812</v>
      </c>
      <c r="C3475" s="1" t="s">
        <v>1786</v>
      </c>
      <c r="K3475" s="1" t="s">
        <v>99</v>
      </c>
      <c r="L3475" s="1" t="s">
        <v>27</v>
      </c>
      <c r="N3475" s="1" t="s">
        <v>1874</v>
      </c>
      <c r="O3475" s="1" t="s">
        <v>29</v>
      </c>
      <c r="R3475" s="1">
        <v>0.0</v>
      </c>
      <c r="S3475" s="1"/>
    </row>
    <row r="3476" ht="15.75" customHeight="1">
      <c r="A3476" s="1" t="s">
        <v>7813</v>
      </c>
      <c r="B3476" s="1" t="s">
        <v>7814</v>
      </c>
      <c r="C3476" s="1" t="s">
        <v>242</v>
      </c>
      <c r="K3476" s="1" t="s">
        <v>5789</v>
      </c>
      <c r="L3476" s="1" t="s">
        <v>27</v>
      </c>
      <c r="N3476" s="1" t="s">
        <v>216</v>
      </c>
      <c r="O3476" s="1" t="s">
        <v>29</v>
      </c>
      <c r="R3476" s="1">
        <v>0.0</v>
      </c>
      <c r="S3476" s="1"/>
    </row>
    <row r="3477" ht="15.75" customHeight="1">
      <c r="A3477" s="1" t="s">
        <v>7815</v>
      </c>
      <c r="B3477" s="1" t="s">
        <v>7816</v>
      </c>
      <c r="C3477" s="1" t="s">
        <v>1225</v>
      </c>
      <c r="K3477" s="1" t="s">
        <v>99</v>
      </c>
      <c r="L3477" s="1" t="s">
        <v>27</v>
      </c>
      <c r="N3477" s="1" t="s">
        <v>464</v>
      </c>
      <c r="O3477" s="1" t="s">
        <v>29</v>
      </c>
      <c r="R3477" s="1">
        <v>0.0</v>
      </c>
      <c r="S3477" s="1"/>
    </row>
    <row r="3478" ht="15.75" customHeight="1">
      <c r="A3478" s="1" t="s">
        <v>7817</v>
      </c>
      <c r="B3478" s="1" t="s">
        <v>7818</v>
      </c>
      <c r="C3478" s="1" t="s">
        <v>1716</v>
      </c>
      <c r="K3478" s="1" t="s">
        <v>99</v>
      </c>
      <c r="L3478" s="1" t="s">
        <v>27</v>
      </c>
      <c r="N3478" s="1" t="s">
        <v>163</v>
      </c>
      <c r="O3478" s="1" t="s">
        <v>29</v>
      </c>
      <c r="R3478" s="1">
        <v>0.0</v>
      </c>
      <c r="S3478" s="1"/>
    </row>
    <row r="3479" ht="15.75" customHeight="1">
      <c r="A3479" s="1" t="s">
        <v>7819</v>
      </c>
      <c r="B3479" s="1" t="s">
        <v>7820</v>
      </c>
      <c r="C3479" s="1" t="s">
        <v>142</v>
      </c>
      <c r="K3479" s="1" t="s">
        <v>99</v>
      </c>
      <c r="L3479" s="1" t="s">
        <v>27</v>
      </c>
      <c r="N3479" s="1" t="s">
        <v>143</v>
      </c>
      <c r="O3479" s="1" t="s">
        <v>29</v>
      </c>
      <c r="R3479" s="1">
        <v>0.0</v>
      </c>
      <c r="S3479" s="1"/>
    </row>
    <row r="3480" ht="15.75" customHeight="1">
      <c r="A3480" s="1" t="s">
        <v>7821</v>
      </c>
      <c r="B3480" s="1" t="s">
        <v>7822</v>
      </c>
      <c r="C3480" s="1" t="s">
        <v>3033</v>
      </c>
      <c r="K3480" s="1" t="s">
        <v>99</v>
      </c>
      <c r="L3480" s="1" t="s">
        <v>27</v>
      </c>
      <c r="N3480" s="1" t="s">
        <v>123</v>
      </c>
      <c r="O3480" s="1" t="s">
        <v>29</v>
      </c>
      <c r="R3480" s="1">
        <v>0.0</v>
      </c>
      <c r="S3480" s="1"/>
    </row>
    <row r="3481" ht="15.75" customHeight="1">
      <c r="A3481" s="1" t="s">
        <v>7823</v>
      </c>
      <c r="B3481" s="1" t="s">
        <v>7824</v>
      </c>
      <c r="C3481" s="1" t="s">
        <v>115</v>
      </c>
      <c r="K3481" s="1" t="s">
        <v>99</v>
      </c>
      <c r="L3481" s="1" t="s">
        <v>27</v>
      </c>
      <c r="N3481" s="1" t="s">
        <v>123</v>
      </c>
      <c r="O3481" s="1" t="s">
        <v>29</v>
      </c>
      <c r="R3481" s="1">
        <v>0.0</v>
      </c>
      <c r="S3481" s="1"/>
    </row>
    <row r="3482" ht="15.75" customHeight="1">
      <c r="A3482" s="1" t="s">
        <v>7825</v>
      </c>
      <c r="B3482" s="1" t="s">
        <v>7826</v>
      </c>
      <c r="C3482" s="1" t="s">
        <v>531</v>
      </c>
      <c r="K3482" s="1" t="s">
        <v>1910</v>
      </c>
      <c r="L3482" s="1" t="s">
        <v>1911</v>
      </c>
      <c r="N3482" s="1" t="s">
        <v>532</v>
      </c>
      <c r="O3482" s="1" t="s">
        <v>29</v>
      </c>
      <c r="R3482" s="1">
        <v>0.0</v>
      </c>
      <c r="S3482" s="1"/>
    </row>
    <row r="3483" ht="15.75" customHeight="1">
      <c r="A3483" s="1" t="s">
        <v>7827</v>
      </c>
      <c r="B3483" s="1" t="s">
        <v>7828</v>
      </c>
      <c r="C3483" s="1" t="s">
        <v>174</v>
      </c>
      <c r="K3483" s="1" t="s">
        <v>1910</v>
      </c>
      <c r="L3483" s="1" t="s">
        <v>1911</v>
      </c>
      <c r="N3483" s="1" t="s">
        <v>174</v>
      </c>
      <c r="O3483" s="1" t="s">
        <v>29</v>
      </c>
      <c r="R3483" s="1">
        <v>0.0</v>
      </c>
      <c r="S3483" s="1"/>
    </row>
    <row r="3484" ht="15.75" customHeight="1">
      <c r="A3484" s="1" t="s">
        <v>7829</v>
      </c>
      <c r="B3484" s="1" t="s">
        <v>7830</v>
      </c>
      <c r="C3484" s="1" t="s">
        <v>174</v>
      </c>
      <c r="K3484" s="1" t="s">
        <v>99</v>
      </c>
      <c r="L3484" s="1" t="s">
        <v>27</v>
      </c>
      <c r="N3484" s="1" t="s">
        <v>174</v>
      </c>
      <c r="O3484" s="1" t="s">
        <v>29</v>
      </c>
      <c r="R3484" s="1">
        <v>0.0</v>
      </c>
      <c r="S3484" s="1"/>
    </row>
    <row r="3485" ht="15.75" customHeight="1">
      <c r="A3485" s="1" t="s">
        <v>7831</v>
      </c>
      <c r="B3485" s="1" t="s">
        <v>7832</v>
      </c>
      <c r="C3485" s="1" t="s">
        <v>174</v>
      </c>
      <c r="K3485" s="1" t="s">
        <v>2892</v>
      </c>
      <c r="L3485" s="1" t="s">
        <v>27</v>
      </c>
      <c r="N3485" s="1" t="s">
        <v>174</v>
      </c>
      <c r="O3485" s="1" t="s">
        <v>29</v>
      </c>
      <c r="R3485" s="1">
        <v>0.0</v>
      </c>
      <c r="S3485" s="1"/>
    </row>
    <row r="3486" ht="15.75" customHeight="1">
      <c r="A3486" s="1" t="s">
        <v>7833</v>
      </c>
      <c r="B3486" s="1" t="s">
        <v>7834</v>
      </c>
      <c r="C3486" s="1" t="s">
        <v>1716</v>
      </c>
      <c r="K3486" s="1" t="s">
        <v>99</v>
      </c>
      <c r="L3486" s="1" t="s">
        <v>27</v>
      </c>
      <c r="N3486" s="1" t="s">
        <v>163</v>
      </c>
      <c r="O3486" s="1" t="s">
        <v>29</v>
      </c>
      <c r="R3486" s="1">
        <v>0.0</v>
      </c>
      <c r="S3486" s="1"/>
    </row>
    <row r="3487" ht="15.75" customHeight="1">
      <c r="A3487" s="1" t="s">
        <v>7835</v>
      </c>
      <c r="B3487" s="1" t="s">
        <v>7836</v>
      </c>
      <c r="C3487" s="1" t="s">
        <v>848</v>
      </c>
      <c r="K3487" s="1" t="s">
        <v>99</v>
      </c>
      <c r="L3487" s="1" t="s">
        <v>27</v>
      </c>
      <c r="N3487" s="1" t="s">
        <v>849</v>
      </c>
      <c r="O3487" s="1" t="s">
        <v>29</v>
      </c>
      <c r="R3487" s="1">
        <v>0.0</v>
      </c>
      <c r="S3487" s="1"/>
    </row>
    <row r="3488" ht="15.75" customHeight="1">
      <c r="A3488" s="1" t="s">
        <v>7837</v>
      </c>
      <c r="B3488" s="1" t="s">
        <v>7838</v>
      </c>
      <c r="C3488" s="1" t="s">
        <v>21</v>
      </c>
      <c r="K3488" s="1" t="s">
        <v>99</v>
      </c>
      <c r="L3488" s="1" t="s">
        <v>27</v>
      </c>
      <c r="N3488" s="1" t="s">
        <v>28</v>
      </c>
      <c r="O3488" s="1" t="s">
        <v>29</v>
      </c>
      <c r="R3488" s="1">
        <v>0.0</v>
      </c>
      <c r="S3488" s="1"/>
    </row>
    <row r="3489" ht="15.75" customHeight="1">
      <c r="A3489" s="1" t="s">
        <v>7839</v>
      </c>
      <c r="B3489" s="1" t="s">
        <v>7840</v>
      </c>
      <c r="C3489" s="1" t="s">
        <v>174</v>
      </c>
      <c r="K3489" s="1" t="s">
        <v>99</v>
      </c>
      <c r="L3489" s="1" t="s">
        <v>27</v>
      </c>
      <c r="N3489" s="1" t="s">
        <v>174</v>
      </c>
      <c r="O3489" s="1" t="s">
        <v>29</v>
      </c>
      <c r="R3489" s="1">
        <v>0.0</v>
      </c>
      <c r="S3489" s="1"/>
    </row>
    <row r="3490" ht="15.75" customHeight="1">
      <c r="A3490" s="1" t="s">
        <v>7841</v>
      </c>
      <c r="B3490" s="1" t="s">
        <v>7842</v>
      </c>
      <c r="C3490" s="1" t="s">
        <v>7843</v>
      </c>
      <c r="K3490" s="1" t="s">
        <v>1910</v>
      </c>
      <c r="L3490" s="1" t="s">
        <v>1911</v>
      </c>
      <c r="N3490" s="1" t="s">
        <v>1210</v>
      </c>
      <c r="O3490" s="1" t="s">
        <v>29</v>
      </c>
      <c r="R3490" s="1">
        <v>0.0</v>
      </c>
      <c r="S3490" s="1"/>
    </row>
    <row r="3491" ht="15.75" customHeight="1">
      <c r="A3491" s="1" t="s">
        <v>7844</v>
      </c>
      <c r="B3491" s="1" t="s">
        <v>7845</v>
      </c>
      <c r="C3491" s="1" t="s">
        <v>1786</v>
      </c>
      <c r="K3491" s="1" t="s">
        <v>99</v>
      </c>
      <c r="L3491" s="1" t="s">
        <v>27</v>
      </c>
      <c r="N3491" s="1" t="s">
        <v>1874</v>
      </c>
      <c r="O3491" s="1" t="s">
        <v>29</v>
      </c>
      <c r="R3491" s="1">
        <v>0.0</v>
      </c>
      <c r="S3491" s="1"/>
    </row>
    <row r="3492" ht="15.75" customHeight="1">
      <c r="A3492" s="1" t="s">
        <v>7846</v>
      </c>
      <c r="B3492" s="1" t="s">
        <v>7847</v>
      </c>
      <c r="C3492" s="1" t="s">
        <v>6193</v>
      </c>
      <c r="K3492" s="1" t="s">
        <v>99</v>
      </c>
      <c r="L3492" s="1" t="s">
        <v>27</v>
      </c>
      <c r="N3492" s="1" t="s">
        <v>1210</v>
      </c>
      <c r="O3492" s="1" t="s">
        <v>29</v>
      </c>
      <c r="R3492" s="1">
        <v>0.0</v>
      </c>
      <c r="S3492" s="1"/>
    </row>
    <row r="3493" ht="15.75" customHeight="1">
      <c r="A3493" s="1" t="s">
        <v>7848</v>
      </c>
      <c r="B3493" s="1" t="s">
        <v>7849</v>
      </c>
      <c r="C3493" s="1" t="s">
        <v>1786</v>
      </c>
      <c r="K3493" s="1" t="s">
        <v>99</v>
      </c>
      <c r="L3493" s="1" t="s">
        <v>27</v>
      </c>
      <c r="N3493" s="1" t="s">
        <v>1874</v>
      </c>
      <c r="O3493" s="1" t="s">
        <v>29</v>
      </c>
      <c r="R3493" s="1">
        <v>0.0</v>
      </c>
      <c r="S3493" s="1"/>
    </row>
    <row r="3494" ht="15.75" customHeight="1">
      <c r="A3494" s="1" t="s">
        <v>7850</v>
      </c>
      <c r="B3494" s="1" t="s">
        <v>7851</v>
      </c>
      <c r="C3494" s="1" t="s">
        <v>21</v>
      </c>
      <c r="K3494" s="1" t="s">
        <v>99</v>
      </c>
      <c r="L3494" s="1" t="s">
        <v>27</v>
      </c>
      <c r="N3494" s="1" t="s">
        <v>28</v>
      </c>
      <c r="O3494" s="1" t="s">
        <v>29</v>
      </c>
      <c r="R3494" s="1">
        <v>0.0</v>
      </c>
      <c r="S3494" s="1"/>
    </row>
    <row r="3495" ht="15.75" customHeight="1">
      <c r="A3495" s="1" t="s">
        <v>7852</v>
      </c>
      <c r="B3495" s="1" t="s">
        <v>7853</v>
      </c>
      <c r="C3495" s="1" t="s">
        <v>630</v>
      </c>
      <c r="K3495" s="1" t="s">
        <v>99</v>
      </c>
      <c r="L3495" s="1" t="s">
        <v>27</v>
      </c>
      <c r="N3495" s="1" t="s">
        <v>28</v>
      </c>
      <c r="O3495" s="1" t="s">
        <v>29</v>
      </c>
      <c r="R3495" s="1">
        <v>0.0</v>
      </c>
      <c r="S3495" s="1"/>
    </row>
    <row r="3496" ht="15.75" customHeight="1">
      <c r="A3496" s="1" t="s">
        <v>7854</v>
      </c>
      <c r="B3496" s="1" t="s">
        <v>7855</v>
      </c>
      <c r="C3496" s="1" t="s">
        <v>21</v>
      </c>
      <c r="K3496" s="1" t="s">
        <v>99</v>
      </c>
      <c r="L3496" s="1" t="s">
        <v>27</v>
      </c>
      <c r="N3496" s="1" t="s">
        <v>28</v>
      </c>
      <c r="O3496" s="1" t="s">
        <v>29</v>
      </c>
      <c r="R3496" s="1">
        <v>0.0</v>
      </c>
      <c r="S3496" s="1"/>
    </row>
    <row r="3497" ht="15.75" customHeight="1">
      <c r="A3497" s="1" t="s">
        <v>7856</v>
      </c>
      <c r="B3497" s="1" t="s">
        <v>7857</v>
      </c>
      <c r="C3497" s="1" t="s">
        <v>21</v>
      </c>
      <c r="K3497" s="1" t="s">
        <v>99</v>
      </c>
      <c r="L3497" s="1" t="s">
        <v>27</v>
      </c>
      <c r="N3497" s="1" t="s">
        <v>28</v>
      </c>
      <c r="O3497" s="1" t="s">
        <v>29</v>
      </c>
      <c r="R3497" s="1">
        <v>0.0</v>
      </c>
      <c r="S3497" s="1"/>
    </row>
    <row r="3498" ht="15.75" customHeight="1">
      <c r="A3498" s="1" t="s">
        <v>7858</v>
      </c>
      <c r="B3498" s="1" t="s">
        <v>7859</v>
      </c>
      <c r="C3498" s="1" t="s">
        <v>1062</v>
      </c>
      <c r="K3498" s="1" t="s">
        <v>99</v>
      </c>
      <c r="L3498" s="1" t="s">
        <v>27</v>
      </c>
      <c r="N3498" s="1" t="s">
        <v>532</v>
      </c>
      <c r="O3498" s="1" t="s">
        <v>29</v>
      </c>
      <c r="R3498" s="1">
        <v>0.0</v>
      </c>
      <c r="S3498" s="1"/>
    </row>
    <row r="3499" ht="15.75" customHeight="1">
      <c r="A3499" s="1" t="s">
        <v>7860</v>
      </c>
      <c r="B3499" s="1" t="s">
        <v>7861</v>
      </c>
      <c r="C3499" s="1" t="s">
        <v>115</v>
      </c>
      <c r="K3499" s="1" t="s">
        <v>99</v>
      </c>
      <c r="L3499" s="1" t="s">
        <v>27</v>
      </c>
      <c r="N3499" s="1" t="s">
        <v>123</v>
      </c>
      <c r="O3499" s="1" t="s">
        <v>29</v>
      </c>
      <c r="R3499" s="1">
        <v>0.0</v>
      </c>
      <c r="S3499" s="1"/>
    </row>
    <row r="3500" ht="15.75" customHeight="1">
      <c r="A3500" s="1" t="s">
        <v>7862</v>
      </c>
      <c r="B3500" s="1" t="s">
        <v>7863</v>
      </c>
      <c r="C3500" s="1" t="s">
        <v>151</v>
      </c>
      <c r="K3500" s="1" t="s">
        <v>1910</v>
      </c>
      <c r="L3500" s="1" t="s">
        <v>1911</v>
      </c>
      <c r="N3500" s="1" t="s">
        <v>143</v>
      </c>
      <c r="O3500" s="1" t="s">
        <v>29</v>
      </c>
      <c r="R3500" s="1">
        <v>0.0</v>
      </c>
      <c r="S3500" s="1"/>
    </row>
    <row r="3501" ht="15.75" customHeight="1">
      <c r="A3501" s="1" t="s">
        <v>7864</v>
      </c>
      <c r="B3501" s="1" t="s">
        <v>7865</v>
      </c>
      <c r="C3501" s="1" t="s">
        <v>1078</v>
      </c>
      <c r="K3501" s="1" t="s">
        <v>1910</v>
      </c>
      <c r="L3501" s="1" t="s">
        <v>1911</v>
      </c>
      <c r="N3501" s="1" t="s">
        <v>743</v>
      </c>
      <c r="O3501" s="1" t="s">
        <v>29</v>
      </c>
      <c r="R3501" s="1">
        <v>0.0</v>
      </c>
      <c r="S3501" s="1"/>
    </row>
    <row r="3502" ht="15.75" customHeight="1">
      <c r="A3502" s="1" t="s">
        <v>7866</v>
      </c>
      <c r="B3502" s="1" t="s">
        <v>7867</v>
      </c>
      <c r="C3502" s="1" t="s">
        <v>148</v>
      </c>
      <c r="K3502" s="1" t="s">
        <v>1910</v>
      </c>
      <c r="L3502" s="1" t="s">
        <v>1911</v>
      </c>
      <c r="N3502" s="1" t="s">
        <v>143</v>
      </c>
      <c r="O3502" s="1" t="s">
        <v>29</v>
      </c>
      <c r="R3502" s="1">
        <v>0.0</v>
      </c>
      <c r="S3502" s="1"/>
    </row>
    <row r="3503" ht="15.75" customHeight="1">
      <c r="A3503" s="1" t="s">
        <v>7868</v>
      </c>
      <c r="B3503" s="1" t="s">
        <v>7869</v>
      </c>
      <c r="C3503" s="1" t="s">
        <v>946</v>
      </c>
      <c r="K3503" s="1" t="s">
        <v>99</v>
      </c>
      <c r="L3503" s="1" t="s">
        <v>27</v>
      </c>
      <c r="N3503" s="1" t="s">
        <v>123</v>
      </c>
      <c r="O3503" s="1" t="s">
        <v>29</v>
      </c>
      <c r="R3503" s="1">
        <v>0.0</v>
      </c>
      <c r="S3503" s="1"/>
    </row>
    <row r="3504" ht="15.75" customHeight="1">
      <c r="A3504" s="1" t="s">
        <v>7870</v>
      </c>
      <c r="B3504" s="1" t="s">
        <v>7871</v>
      </c>
      <c r="C3504" s="1" t="s">
        <v>162</v>
      </c>
      <c r="K3504" s="1" t="s">
        <v>99</v>
      </c>
      <c r="L3504" s="1" t="s">
        <v>27</v>
      </c>
      <c r="N3504" s="1" t="s">
        <v>163</v>
      </c>
      <c r="O3504" s="1" t="s">
        <v>29</v>
      </c>
      <c r="R3504" s="1">
        <v>0.0</v>
      </c>
      <c r="S3504" s="1"/>
    </row>
    <row r="3505" ht="15.75" customHeight="1">
      <c r="A3505" s="1" t="s">
        <v>7872</v>
      </c>
      <c r="B3505" s="1" t="s">
        <v>7873</v>
      </c>
      <c r="C3505" s="1" t="s">
        <v>4454</v>
      </c>
      <c r="K3505" s="1" t="s">
        <v>99</v>
      </c>
      <c r="L3505" s="1" t="s">
        <v>27</v>
      </c>
      <c r="N3505" s="1" t="s">
        <v>532</v>
      </c>
      <c r="O3505" s="1" t="s">
        <v>29</v>
      </c>
      <c r="R3505" s="1">
        <v>0.0</v>
      </c>
      <c r="S3505" s="1"/>
    </row>
    <row r="3506" ht="15.75" customHeight="1">
      <c r="A3506" s="1" t="s">
        <v>7874</v>
      </c>
      <c r="B3506" s="1" t="s">
        <v>7875</v>
      </c>
      <c r="C3506" s="1" t="s">
        <v>1112</v>
      </c>
      <c r="K3506" s="1" t="s">
        <v>1910</v>
      </c>
      <c r="L3506" s="1" t="s">
        <v>1911</v>
      </c>
      <c r="N3506" s="1" t="s">
        <v>1097</v>
      </c>
      <c r="O3506" s="1" t="s">
        <v>29</v>
      </c>
      <c r="R3506" s="1">
        <v>0.0</v>
      </c>
      <c r="S3506" s="1"/>
    </row>
    <row r="3507" ht="15.75" customHeight="1">
      <c r="A3507" s="1" t="s">
        <v>7876</v>
      </c>
      <c r="B3507" s="1" t="s">
        <v>7877</v>
      </c>
      <c r="C3507" s="1" t="s">
        <v>2089</v>
      </c>
      <c r="K3507" s="1" t="s">
        <v>99</v>
      </c>
      <c r="L3507" s="1" t="s">
        <v>27</v>
      </c>
      <c r="N3507" s="1" t="s">
        <v>506</v>
      </c>
      <c r="O3507" s="1" t="s">
        <v>29</v>
      </c>
      <c r="R3507" s="1">
        <v>0.0</v>
      </c>
      <c r="S3507" s="1"/>
    </row>
    <row r="3508" ht="15.75" customHeight="1">
      <c r="A3508" s="1" t="s">
        <v>7878</v>
      </c>
      <c r="B3508" s="1" t="s">
        <v>7879</v>
      </c>
      <c r="C3508" s="1" t="s">
        <v>1716</v>
      </c>
      <c r="K3508" s="1" t="s">
        <v>99</v>
      </c>
      <c r="L3508" s="1" t="s">
        <v>27</v>
      </c>
      <c r="N3508" s="1" t="s">
        <v>163</v>
      </c>
      <c r="O3508" s="1" t="s">
        <v>29</v>
      </c>
      <c r="R3508" s="1">
        <v>0.0</v>
      </c>
      <c r="S3508" s="1"/>
    </row>
    <row r="3509" ht="15.75" customHeight="1">
      <c r="A3509" s="1" t="s">
        <v>7880</v>
      </c>
      <c r="B3509" s="1" t="s">
        <v>7881</v>
      </c>
      <c r="C3509" s="1" t="s">
        <v>617</v>
      </c>
      <c r="K3509" s="1" t="s">
        <v>99</v>
      </c>
      <c r="L3509" s="1" t="s">
        <v>27</v>
      </c>
      <c r="N3509" s="1" t="s">
        <v>28</v>
      </c>
      <c r="O3509" s="1" t="s">
        <v>29</v>
      </c>
      <c r="R3509" s="1">
        <v>0.0</v>
      </c>
      <c r="S3509" s="1"/>
    </row>
    <row r="3510" ht="15.75" customHeight="1">
      <c r="A3510" s="1" t="s">
        <v>7882</v>
      </c>
      <c r="B3510" s="1" t="s">
        <v>7883</v>
      </c>
      <c r="C3510" s="1" t="s">
        <v>21</v>
      </c>
      <c r="K3510" s="1" t="s">
        <v>99</v>
      </c>
      <c r="L3510" s="1" t="s">
        <v>27</v>
      </c>
      <c r="N3510" s="1" t="s">
        <v>28</v>
      </c>
      <c r="O3510" s="1" t="s">
        <v>29</v>
      </c>
      <c r="R3510" s="1">
        <v>0.0</v>
      </c>
      <c r="S3510" s="1"/>
    </row>
    <row r="3511" ht="15.75" customHeight="1">
      <c r="A3511" s="1" t="s">
        <v>7884</v>
      </c>
      <c r="B3511" s="1" t="s">
        <v>7885</v>
      </c>
      <c r="C3511" s="1" t="s">
        <v>617</v>
      </c>
      <c r="K3511" s="1" t="s">
        <v>1910</v>
      </c>
      <c r="L3511" s="1" t="s">
        <v>1911</v>
      </c>
      <c r="N3511" s="1" t="s">
        <v>28</v>
      </c>
      <c r="O3511" s="1" t="s">
        <v>29</v>
      </c>
      <c r="R3511" s="1">
        <v>0.0</v>
      </c>
      <c r="S3511" s="1"/>
    </row>
    <row r="3512" ht="15.75" customHeight="1">
      <c r="A3512" s="1" t="s">
        <v>7886</v>
      </c>
      <c r="B3512" s="1" t="s">
        <v>7887</v>
      </c>
      <c r="C3512" s="1" t="s">
        <v>1716</v>
      </c>
      <c r="K3512" s="1" t="s">
        <v>5789</v>
      </c>
      <c r="L3512" s="1" t="s">
        <v>27</v>
      </c>
      <c r="N3512" s="1" t="s">
        <v>163</v>
      </c>
      <c r="O3512" s="1" t="s">
        <v>29</v>
      </c>
      <c r="R3512" s="1">
        <v>0.0</v>
      </c>
      <c r="S3512" s="1"/>
    </row>
    <row r="3513" ht="15.75" customHeight="1">
      <c r="A3513" s="1" t="s">
        <v>7888</v>
      </c>
      <c r="B3513" s="1" t="s">
        <v>7889</v>
      </c>
      <c r="C3513" s="1" t="s">
        <v>497</v>
      </c>
      <c r="K3513" s="1" t="s">
        <v>5789</v>
      </c>
      <c r="L3513" s="1" t="s">
        <v>27</v>
      </c>
      <c r="N3513" s="1" t="s">
        <v>498</v>
      </c>
      <c r="O3513" s="1" t="s">
        <v>29</v>
      </c>
      <c r="R3513" s="1">
        <v>0.0</v>
      </c>
      <c r="S3513" s="1"/>
    </row>
    <row r="3514" ht="15.75" customHeight="1">
      <c r="A3514" s="1" t="s">
        <v>7890</v>
      </c>
      <c r="B3514" s="1" t="s">
        <v>7891</v>
      </c>
      <c r="C3514" s="1" t="s">
        <v>1786</v>
      </c>
      <c r="K3514" s="1" t="s">
        <v>99</v>
      </c>
      <c r="L3514" s="1" t="s">
        <v>27</v>
      </c>
      <c r="N3514" s="1" t="s">
        <v>1874</v>
      </c>
      <c r="O3514" s="1" t="s">
        <v>29</v>
      </c>
      <c r="R3514" s="1">
        <v>0.0</v>
      </c>
      <c r="S3514" s="1"/>
    </row>
    <row r="3515" ht="15.75" customHeight="1">
      <c r="A3515" s="1" t="s">
        <v>7892</v>
      </c>
      <c r="B3515" s="1" t="s">
        <v>7893</v>
      </c>
      <c r="C3515" s="1" t="s">
        <v>1988</v>
      </c>
      <c r="K3515" s="1" t="s">
        <v>99</v>
      </c>
      <c r="L3515" s="1" t="s">
        <v>27</v>
      </c>
      <c r="N3515" s="1" t="s">
        <v>1989</v>
      </c>
      <c r="O3515" s="1" t="s">
        <v>29</v>
      </c>
      <c r="R3515" s="1">
        <v>0.0</v>
      </c>
      <c r="S3515" s="1"/>
    </row>
    <row r="3516" ht="15.75" customHeight="1">
      <c r="A3516" s="1" t="s">
        <v>7894</v>
      </c>
      <c r="B3516" s="1" t="s">
        <v>7895</v>
      </c>
      <c r="C3516" s="1" t="s">
        <v>215</v>
      </c>
      <c r="K3516" s="1" t="s">
        <v>2892</v>
      </c>
      <c r="L3516" s="1" t="s">
        <v>27</v>
      </c>
      <c r="N3516" s="1" t="s">
        <v>216</v>
      </c>
      <c r="O3516" s="1" t="s">
        <v>29</v>
      </c>
      <c r="R3516" s="1">
        <v>0.0</v>
      </c>
      <c r="S3516" s="1"/>
    </row>
    <row r="3517" ht="15.75" customHeight="1">
      <c r="A3517" s="1" t="s">
        <v>7896</v>
      </c>
      <c r="B3517" s="1" t="s">
        <v>7897</v>
      </c>
      <c r="C3517" s="1" t="s">
        <v>215</v>
      </c>
      <c r="K3517" s="1" t="s">
        <v>2892</v>
      </c>
      <c r="L3517" s="1" t="s">
        <v>27</v>
      </c>
      <c r="N3517" s="1" t="s">
        <v>216</v>
      </c>
      <c r="O3517" s="1" t="s">
        <v>29</v>
      </c>
      <c r="R3517" s="1">
        <v>0.0</v>
      </c>
      <c r="S3517" s="1"/>
    </row>
    <row r="3518" ht="15.75" customHeight="1">
      <c r="A3518" s="1" t="s">
        <v>7898</v>
      </c>
      <c r="B3518" s="1" t="s">
        <v>7899</v>
      </c>
      <c r="C3518" s="1" t="s">
        <v>215</v>
      </c>
      <c r="K3518" s="1" t="s">
        <v>2892</v>
      </c>
      <c r="L3518" s="1" t="s">
        <v>27</v>
      </c>
      <c r="N3518" s="1" t="s">
        <v>216</v>
      </c>
      <c r="O3518" s="1" t="s">
        <v>29</v>
      </c>
      <c r="R3518" s="1">
        <v>0.0</v>
      </c>
      <c r="S3518" s="1"/>
    </row>
    <row r="3519" ht="15.75" customHeight="1">
      <c r="A3519" s="1" t="s">
        <v>7900</v>
      </c>
      <c r="B3519" s="1" t="s">
        <v>7901</v>
      </c>
      <c r="C3519" s="1" t="s">
        <v>3104</v>
      </c>
      <c r="K3519" s="1" t="s">
        <v>99</v>
      </c>
      <c r="L3519" s="1" t="s">
        <v>27</v>
      </c>
      <c r="N3519" s="1" t="s">
        <v>849</v>
      </c>
      <c r="O3519" s="1" t="s">
        <v>29</v>
      </c>
      <c r="R3519" s="1">
        <v>0.0</v>
      </c>
      <c r="S3519" s="1"/>
    </row>
    <row r="3520" ht="15.75" customHeight="1">
      <c r="A3520" s="1" t="s">
        <v>7902</v>
      </c>
      <c r="B3520" s="1" t="s">
        <v>7903</v>
      </c>
      <c r="C3520" s="1" t="s">
        <v>148</v>
      </c>
      <c r="K3520" s="1" t="s">
        <v>99</v>
      </c>
      <c r="L3520" s="1" t="s">
        <v>27</v>
      </c>
      <c r="N3520" s="1" t="s">
        <v>143</v>
      </c>
      <c r="O3520" s="1" t="s">
        <v>29</v>
      </c>
      <c r="R3520" s="1">
        <v>0.0</v>
      </c>
      <c r="S3520" s="1"/>
    </row>
    <row r="3521" ht="15.75" customHeight="1">
      <c r="A3521" s="1" t="s">
        <v>7904</v>
      </c>
      <c r="B3521" s="1" t="s">
        <v>7905</v>
      </c>
      <c r="C3521" s="1" t="s">
        <v>162</v>
      </c>
      <c r="K3521" s="1" t="s">
        <v>1910</v>
      </c>
      <c r="L3521" s="1" t="s">
        <v>1911</v>
      </c>
      <c r="N3521" s="1" t="s">
        <v>163</v>
      </c>
      <c r="O3521" s="1" t="s">
        <v>29</v>
      </c>
      <c r="R3521" s="1">
        <v>0.0</v>
      </c>
      <c r="S3521" s="1"/>
    </row>
    <row r="3522" ht="15.75" customHeight="1">
      <c r="A3522" s="1" t="s">
        <v>7906</v>
      </c>
      <c r="B3522" s="1" t="s">
        <v>7907</v>
      </c>
      <c r="C3522" s="1" t="s">
        <v>174</v>
      </c>
      <c r="K3522" s="1" t="s">
        <v>99</v>
      </c>
      <c r="L3522" s="1" t="s">
        <v>27</v>
      </c>
      <c r="N3522" s="1" t="s">
        <v>174</v>
      </c>
      <c r="O3522" s="1" t="s">
        <v>29</v>
      </c>
      <c r="R3522" s="1">
        <v>0.0</v>
      </c>
      <c r="S3522" s="1"/>
    </row>
    <row r="3523" ht="15.75" customHeight="1">
      <c r="A3523" s="1" t="s">
        <v>7908</v>
      </c>
      <c r="B3523" s="1" t="s">
        <v>7909</v>
      </c>
      <c r="C3523" s="1" t="s">
        <v>5344</v>
      </c>
      <c r="K3523" s="1" t="s">
        <v>99</v>
      </c>
      <c r="L3523" s="1" t="s">
        <v>27</v>
      </c>
      <c r="N3523" s="1" t="s">
        <v>5345</v>
      </c>
      <c r="O3523" s="1" t="s">
        <v>29</v>
      </c>
      <c r="R3523" s="1">
        <v>0.0</v>
      </c>
      <c r="S3523" s="1"/>
    </row>
    <row r="3524" ht="15.75" customHeight="1">
      <c r="A3524" s="1" t="s">
        <v>7910</v>
      </c>
      <c r="B3524" s="1" t="s">
        <v>7911</v>
      </c>
      <c r="C3524" s="1" t="s">
        <v>1786</v>
      </c>
      <c r="K3524" s="1" t="s">
        <v>99</v>
      </c>
      <c r="L3524" s="1" t="s">
        <v>27</v>
      </c>
      <c r="N3524" s="1" t="s">
        <v>1874</v>
      </c>
      <c r="O3524" s="1" t="s">
        <v>29</v>
      </c>
      <c r="R3524" s="1">
        <v>0.0</v>
      </c>
      <c r="S3524" s="1"/>
    </row>
    <row r="3525" ht="15.75" customHeight="1">
      <c r="A3525" s="1" t="s">
        <v>7912</v>
      </c>
      <c r="B3525" s="1" t="s">
        <v>7913</v>
      </c>
      <c r="C3525" s="1" t="s">
        <v>215</v>
      </c>
      <c r="K3525" s="1" t="s">
        <v>5789</v>
      </c>
      <c r="L3525" s="1" t="s">
        <v>27</v>
      </c>
      <c r="N3525" s="1" t="s">
        <v>216</v>
      </c>
      <c r="O3525" s="1" t="s">
        <v>29</v>
      </c>
      <c r="R3525" s="1">
        <v>0.0</v>
      </c>
      <c r="S3525" s="1"/>
    </row>
    <row r="3526" ht="15.75" customHeight="1">
      <c r="A3526" s="1" t="s">
        <v>7914</v>
      </c>
      <c r="B3526" s="1" t="s">
        <v>7915</v>
      </c>
      <c r="C3526" s="1" t="s">
        <v>1988</v>
      </c>
      <c r="K3526" s="1" t="s">
        <v>99</v>
      </c>
      <c r="L3526" s="1" t="s">
        <v>27</v>
      </c>
      <c r="N3526" s="1" t="s">
        <v>1989</v>
      </c>
      <c r="O3526" s="1" t="s">
        <v>29</v>
      </c>
      <c r="R3526" s="1">
        <v>0.0</v>
      </c>
      <c r="S3526" s="1"/>
    </row>
    <row r="3527" ht="15.75" customHeight="1">
      <c r="A3527" s="1" t="s">
        <v>7916</v>
      </c>
      <c r="B3527" s="1" t="s">
        <v>7917</v>
      </c>
      <c r="C3527" s="1" t="s">
        <v>215</v>
      </c>
      <c r="K3527" s="1" t="s">
        <v>2892</v>
      </c>
      <c r="L3527" s="1" t="s">
        <v>27</v>
      </c>
      <c r="N3527" s="1" t="s">
        <v>216</v>
      </c>
      <c r="O3527" s="1" t="s">
        <v>29</v>
      </c>
      <c r="R3527" s="1">
        <v>0.0</v>
      </c>
      <c r="S3527" s="1"/>
    </row>
    <row r="3528" ht="15.75" customHeight="1">
      <c r="A3528" s="1" t="s">
        <v>7918</v>
      </c>
      <c r="B3528" s="1" t="s">
        <v>7919</v>
      </c>
      <c r="C3528" s="1" t="s">
        <v>215</v>
      </c>
      <c r="K3528" s="1" t="s">
        <v>2892</v>
      </c>
      <c r="L3528" s="1" t="s">
        <v>27</v>
      </c>
      <c r="N3528" s="1" t="s">
        <v>216</v>
      </c>
      <c r="O3528" s="1" t="s">
        <v>29</v>
      </c>
      <c r="R3528" s="1">
        <v>0.0</v>
      </c>
      <c r="S3528" s="1"/>
    </row>
    <row r="3529" ht="15.75" customHeight="1">
      <c r="A3529" s="1" t="s">
        <v>7920</v>
      </c>
      <c r="B3529" s="1" t="s">
        <v>7921</v>
      </c>
      <c r="C3529" s="1" t="s">
        <v>215</v>
      </c>
      <c r="K3529" s="1" t="s">
        <v>2892</v>
      </c>
      <c r="L3529" s="1" t="s">
        <v>27</v>
      </c>
      <c r="N3529" s="1" t="s">
        <v>216</v>
      </c>
      <c r="O3529" s="1" t="s">
        <v>29</v>
      </c>
      <c r="R3529" s="1">
        <v>0.0</v>
      </c>
      <c r="S3529" s="1"/>
    </row>
    <row r="3530" ht="15.75" customHeight="1">
      <c r="A3530" s="1" t="s">
        <v>7922</v>
      </c>
      <c r="B3530" s="1" t="s">
        <v>7923</v>
      </c>
      <c r="C3530" s="1" t="s">
        <v>215</v>
      </c>
      <c r="K3530" s="1" t="s">
        <v>2892</v>
      </c>
      <c r="L3530" s="1" t="s">
        <v>27</v>
      </c>
      <c r="N3530" s="1" t="s">
        <v>216</v>
      </c>
      <c r="O3530" s="1" t="s">
        <v>29</v>
      </c>
      <c r="R3530" s="1">
        <v>0.0</v>
      </c>
      <c r="S3530" s="1"/>
    </row>
    <row r="3531" ht="15.75" customHeight="1">
      <c r="A3531" s="1" t="s">
        <v>7924</v>
      </c>
      <c r="B3531" s="1" t="s">
        <v>7925</v>
      </c>
      <c r="C3531" s="1" t="s">
        <v>1225</v>
      </c>
      <c r="K3531" s="1" t="s">
        <v>99</v>
      </c>
      <c r="L3531" s="1" t="s">
        <v>27</v>
      </c>
      <c r="N3531" s="1" t="s">
        <v>464</v>
      </c>
      <c r="O3531" s="1" t="s">
        <v>29</v>
      </c>
      <c r="R3531" s="1">
        <v>0.0</v>
      </c>
      <c r="S3531" s="1"/>
    </row>
    <row r="3532" ht="15.75" customHeight="1">
      <c r="A3532" s="1" t="s">
        <v>7926</v>
      </c>
      <c r="B3532" s="1" t="s">
        <v>7927</v>
      </c>
      <c r="C3532" s="1" t="s">
        <v>531</v>
      </c>
      <c r="K3532" s="1" t="s">
        <v>99</v>
      </c>
      <c r="L3532" s="1" t="s">
        <v>27</v>
      </c>
      <c r="N3532" s="1" t="s">
        <v>532</v>
      </c>
      <c r="O3532" s="1" t="s">
        <v>29</v>
      </c>
      <c r="R3532" s="1">
        <v>0.0</v>
      </c>
      <c r="S3532" s="1"/>
    </row>
    <row r="3533" ht="15.75" customHeight="1">
      <c r="A3533" s="1" t="s">
        <v>7928</v>
      </c>
      <c r="B3533" s="1" t="s">
        <v>7929</v>
      </c>
      <c r="C3533" s="1" t="s">
        <v>914</v>
      </c>
      <c r="K3533" s="1" t="s">
        <v>99</v>
      </c>
      <c r="L3533" s="1" t="s">
        <v>27</v>
      </c>
      <c r="N3533" s="1" t="s">
        <v>849</v>
      </c>
      <c r="O3533" s="1" t="s">
        <v>29</v>
      </c>
      <c r="R3533" s="1">
        <v>0.0</v>
      </c>
      <c r="S3533" s="1"/>
    </row>
    <row r="3534" ht="15.75" customHeight="1">
      <c r="A3534" s="1" t="s">
        <v>7930</v>
      </c>
      <c r="B3534" s="1" t="s">
        <v>7931</v>
      </c>
      <c r="C3534" s="1" t="s">
        <v>53</v>
      </c>
      <c r="K3534" s="1" t="s">
        <v>99</v>
      </c>
      <c r="L3534" s="1" t="s">
        <v>27</v>
      </c>
      <c r="N3534" s="1" t="s">
        <v>28</v>
      </c>
      <c r="O3534" s="1" t="s">
        <v>29</v>
      </c>
      <c r="R3534" s="1">
        <v>0.0</v>
      </c>
      <c r="S3534" s="1"/>
    </row>
    <row r="3535" ht="15.75" customHeight="1">
      <c r="A3535" s="1" t="s">
        <v>7932</v>
      </c>
      <c r="B3535" s="1" t="s">
        <v>7933</v>
      </c>
      <c r="C3535" s="1" t="s">
        <v>38</v>
      </c>
      <c r="K3535" s="1" t="s">
        <v>99</v>
      </c>
      <c r="L3535" s="1" t="s">
        <v>27</v>
      </c>
      <c r="N3535" s="1" t="s">
        <v>28</v>
      </c>
      <c r="O3535" s="1" t="s">
        <v>29</v>
      </c>
      <c r="R3535" s="1">
        <v>0.0</v>
      </c>
      <c r="S3535" s="1"/>
    </row>
    <row r="3536" ht="15.75" customHeight="1">
      <c r="A3536" s="1" t="s">
        <v>7934</v>
      </c>
      <c r="B3536" s="1" t="s">
        <v>7935</v>
      </c>
      <c r="C3536" s="1" t="s">
        <v>531</v>
      </c>
      <c r="K3536" s="1" t="s">
        <v>99</v>
      </c>
      <c r="L3536" s="1" t="s">
        <v>27</v>
      </c>
      <c r="N3536" s="1" t="s">
        <v>532</v>
      </c>
      <c r="O3536" s="1" t="s">
        <v>29</v>
      </c>
      <c r="R3536" s="1">
        <v>0.0</v>
      </c>
      <c r="S3536" s="1"/>
    </row>
    <row r="3537" ht="15.75" customHeight="1">
      <c r="A3537" s="1" t="s">
        <v>7936</v>
      </c>
      <c r="B3537" s="1" t="s">
        <v>7937</v>
      </c>
      <c r="C3537" s="1" t="s">
        <v>151</v>
      </c>
      <c r="K3537" s="1" t="s">
        <v>1910</v>
      </c>
      <c r="L3537" s="1" t="s">
        <v>1911</v>
      </c>
      <c r="N3537" s="1" t="s">
        <v>143</v>
      </c>
      <c r="O3537" s="1" t="s">
        <v>29</v>
      </c>
      <c r="R3537" s="1">
        <v>0.0</v>
      </c>
      <c r="S3537" s="1"/>
    </row>
    <row r="3538" ht="15.75" customHeight="1">
      <c r="A3538" s="1" t="s">
        <v>7938</v>
      </c>
      <c r="B3538" s="1" t="s">
        <v>7939</v>
      </c>
      <c r="C3538" s="1" t="s">
        <v>2372</v>
      </c>
      <c r="K3538" s="1" t="s">
        <v>1910</v>
      </c>
      <c r="L3538" s="1" t="s">
        <v>1911</v>
      </c>
      <c r="N3538" s="1" t="s">
        <v>1210</v>
      </c>
      <c r="O3538" s="1" t="s">
        <v>29</v>
      </c>
      <c r="R3538" s="1">
        <v>0.0</v>
      </c>
      <c r="S3538" s="1"/>
    </row>
    <row r="3539" ht="15.75" customHeight="1">
      <c r="A3539" s="1" t="s">
        <v>7940</v>
      </c>
      <c r="B3539" s="1" t="s">
        <v>7941</v>
      </c>
      <c r="C3539" s="1" t="s">
        <v>946</v>
      </c>
      <c r="K3539" s="1" t="s">
        <v>5789</v>
      </c>
      <c r="L3539" s="1" t="s">
        <v>27</v>
      </c>
      <c r="N3539" s="1" t="s">
        <v>123</v>
      </c>
      <c r="O3539" s="1" t="s">
        <v>29</v>
      </c>
      <c r="R3539" s="1">
        <v>0.0</v>
      </c>
      <c r="S3539" s="1"/>
    </row>
    <row r="3540" ht="15.75" customHeight="1">
      <c r="A3540" s="1" t="s">
        <v>7942</v>
      </c>
      <c r="B3540" s="1" t="s">
        <v>7943</v>
      </c>
      <c r="C3540" s="1" t="s">
        <v>185</v>
      </c>
      <c r="K3540" s="1" t="s">
        <v>99</v>
      </c>
      <c r="L3540" s="1" t="s">
        <v>27</v>
      </c>
      <c r="N3540" s="1" t="s">
        <v>186</v>
      </c>
      <c r="O3540" s="1" t="s">
        <v>29</v>
      </c>
      <c r="R3540" s="1">
        <v>0.0</v>
      </c>
      <c r="S3540" s="1"/>
    </row>
    <row r="3541" ht="15.75" customHeight="1">
      <c r="A3541" s="1" t="s">
        <v>7944</v>
      </c>
      <c r="B3541" s="1" t="s">
        <v>7945</v>
      </c>
      <c r="C3541" s="1" t="s">
        <v>617</v>
      </c>
      <c r="K3541" s="1" t="s">
        <v>99</v>
      </c>
      <c r="L3541" s="1" t="s">
        <v>27</v>
      </c>
      <c r="N3541" s="1" t="s">
        <v>28</v>
      </c>
      <c r="O3541" s="1" t="s">
        <v>29</v>
      </c>
      <c r="R3541" s="1">
        <v>0.0</v>
      </c>
      <c r="S3541" s="1"/>
    </row>
    <row r="3542" ht="15.75" customHeight="1">
      <c r="A3542" s="1" t="s">
        <v>7946</v>
      </c>
      <c r="B3542" s="1" t="s">
        <v>7947</v>
      </c>
      <c r="C3542" s="1" t="s">
        <v>3033</v>
      </c>
      <c r="K3542" s="1" t="s">
        <v>99</v>
      </c>
      <c r="L3542" s="1" t="s">
        <v>27</v>
      </c>
      <c r="N3542" s="1" t="s">
        <v>123</v>
      </c>
      <c r="O3542" s="1" t="s">
        <v>29</v>
      </c>
      <c r="R3542" s="1">
        <v>0.0</v>
      </c>
      <c r="S3542" s="1"/>
    </row>
    <row r="3543" ht="15.75" customHeight="1">
      <c r="A3543" s="1" t="s">
        <v>7948</v>
      </c>
      <c r="B3543" s="1" t="s">
        <v>7949</v>
      </c>
      <c r="C3543" s="1" t="s">
        <v>848</v>
      </c>
      <c r="K3543" s="1" t="s">
        <v>99</v>
      </c>
      <c r="L3543" s="1" t="s">
        <v>27</v>
      </c>
      <c r="N3543" s="1" t="s">
        <v>849</v>
      </c>
      <c r="O3543" s="1" t="s">
        <v>29</v>
      </c>
      <c r="R3543" s="1">
        <v>0.0</v>
      </c>
      <c r="S3543" s="1"/>
    </row>
    <row r="3544" ht="15.75" customHeight="1">
      <c r="A3544" s="1" t="s">
        <v>7950</v>
      </c>
      <c r="B3544" s="1" t="s">
        <v>7951</v>
      </c>
      <c r="C3544" s="1" t="s">
        <v>38</v>
      </c>
      <c r="K3544" s="1" t="s">
        <v>99</v>
      </c>
      <c r="L3544" s="1" t="s">
        <v>27</v>
      </c>
      <c r="N3544" s="1" t="s">
        <v>28</v>
      </c>
      <c r="O3544" s="1" t="s">
        <v>29</v>
      </c>
      <c r="R3544" s="1">
        <v>0.0</v>
      </c>
      <c r="S3544" s="1"/>
    </row>
    <row r="3545" ht="15.75" customHeight="1">
      <c r="A3545" s="1" t="s">
        <v>7952</v>
      </c>
      <c r="B3545" s="1" t="s">
        <v>7953</v>
      </c>
      <c r="C3545" s="1" t="s">
        <v>4509</v>
      </c>
      <c r="K3545" s="1" t="s">
        <v>99</v>
      </c>
      <c r="L3545" s="1" t="s">
        <v>27</v>
      </c>
      <c r="N3545" s="1" t="s">
        <v>28</v>
      </c>
      <c r="O3545" s="1" t="s">
        <v>29</v>
      </c>
      <c r="R3545" s="1">
        <v>0.0</v>
      </c>
      <c r="S3545" s="1"/>
    </row>
    <row r="3546" ht="15.75" customHeight="1">
      <c r="A3546" s="1" t="s">
        <v>7954</v>
      </c>
      <c r="B3546" s="1" t="s">
        <v>7955</v>
      </c>
      <c r="C3546" s="1" t="s">
        <v>38</v>
      </c>
      <c r="K3546" s="1" t="s">
        <v>99</v>
      </c>
      <c r="L3546" s="1" t="s">
        <v>27</v>
      </c>
      <c r="N3546" s="1" t="s">
        <v>28</v>
      </c>
      <c r="O3546" s="1" t="s">
        <v>29</v>
      </c>
      <c r="R3546" s="1">
        <v>0.0</v>
      </c>
      <c r="S3546" s="1"/>
    </row>
    <row r="3547" ht="15.75" customHeight="1">
      <c r="A3547" s="1" t="s">
        <v>7956</v>
      </c>
      <c r="B3547" s="1" t="s">
        <v>7957</v>
      </c>
      <c r="C3547" s="1" t="s">
        <v>21</v>
      </c>
      <c r="K3547" s="1" t="s">
        <v>99</v>
      </c>
      <c r="L3547" s="1" t="s">
        <v>27</v>
      </c>
      <c r="N3547" s="1" t="s">
        <v>28</v>
      </c>
      <c r="O3547" s="1" t="s">
        <v>29</v>
      </c>
      <c r="R3547" s="1">
        <v>0.0</v>
      </c>
      <c r="S3547" s="1"/>
    </row>
    <row r="3548" ht="15.75" customHeight="1">
      <c r="A3548" s="1" t="s">
        <v>7958</v>
      </c>
      <c r="B3548" s="1" t="s">
        <v>7959</v>
      </c>
      <c r="C3548" s="1" t="s">
        <v>1988</v>
      </c>
      <c r="K3548" s="1" t="s">
        <v>99</v>
      </c>
      <c r="L3548" s="1" t="s">
        <v>27</v>
      </c>
      <c r="N3548" s="1" t="s">
        <v>1989</v>
      </c>
      <c r="O3548" s="1" t="s">
        <v>29</v>
      </c>
      <c r="R3548" s="1">
        <v>0.0</v>
      </c>
      <c r="S3548" s="1"/>
    </row>
    <row r="3549" ht="15.75" customHeight="1">
      <c r="A3549" s="1" t="s">
        <v>7960</v>
      </c>
      <c r="B3549" s="1" t="s">
        <v>7961</v>
      </c>
      <c r="C3549" s="1" t="s">
        <v>5279</v>
      </c>
      <c r="K3549" s="1" t="s">
        <v>99</v>
      </c>
      <c r="L3549" s="1" t="s">
        <v>27</v>
      </c>
      <c r="N3549" s="1" t="s">
        <v>3172</v>
      </c>
      <c r="O3549" s="1" t="s">
        <v>29</v>
      </c>
      <c r="R3549" s="1">
        <v>0.0</v>
      </c>
      <c r="S3549" s="1"/>
    </row>
    <row r="3550" ht="15.75" customHeight="1">
      <c r="A3550" s="1" t="s">
        <v>7962</v>
      </c>
      <c r="B3550" s="1" t="s">
        <v>7963</v>
      </c>
      <c r="C3550" s="1" t="s">
        <v>946</v>
      </c>
      <c r="K3550" s="1" t="s">
        <v>99</v>
      </c>
      <c r="L3550" s="1" t="s">
        <v>27</v>
      </c>
      <c r="N3550" s="1" t="s">
        <v>123</v>
      </c>
      <c r="O3550" s="1" t="s">
        <v>29</v>
      </c>
      <c r="R3550" s="1">
        <v>0.0</v>
      </c>
      <c r="S3550" s="1"/>
    </row>
    <row r="3551" ht="15.75" customHeight="1">
      <c r="A3551" s="1" t="s">
        <v>7964</v>
      </c>
      <c r="B3551" s="1" t="s">
        <v>7965</v>
      </c>
      <c r="C3551" s="1" t="s">
        <v>215</v>
      </c>
      <c r="K3551" s="1" t="s">
        <v>2892</v>
      </c>
      <c r="L3551" s="1" t="s">
        <v>27</v>
      </c>
      <c r="N3551" s="1" t="s">
        <v>216</v>
      </c>
      <c r="O3551" s="1" t="s">
        <v>29</v>
      </c>
      <c r="R3551" s="1">
        <v>0.0</v>
      </c>
      <c r="S3551" s="1"/>
    </row>
    <row r="3552" ht="15.75" customHeight="1">
      <c r="A3552" s="1" t="s">
        <v>7966</v>
      </c>
      <c r="B3552" s="1" t="s">
        <v>7967</v>
      </c>
      <c r="C3552" s="1" t="s">
        <v>215</v>
      </c>
      <c r="K3552" s="1" t="s">
        <v>2892</v>
      </c>
      <c r="L3552" s="1" t="s">
        <v>27</v>
      </c>
      <c r="N3552" s="1" t="s">
        <v>216</v>
      </c>
      <c r="O3552" s="1" t="s">
        <v>29</v>
      </c>
      <c r="R3552" s="1">
        <v>0.0</v>
      </c>
      <c r="S3552" s="1"/>
    </row>
    <row r="3553" ht="15.75" customHeight="1">
      <c r="A3553" s="1" t="s">
        <v>7968</v>
      </c>
      <c r="B3553" s="1" t="s">
        <v>7969</v>
      </c>
      <c r="C3553" s="1" t="s">
        <v>768</v>
      </c>
      <c r="K3553" s="1" t="s">
        <v>99</v>
      </c>
      <c r="L3553" s="1" t="s">
        <v>27</v>
      </c>
      <c r="N3553" s="1" t="s">
        <v>732</v>
      </c>
      <c r="O3553" s="1" t="s">
        <v>29</v>
      </c>
      <c r="R3553" s="1">
        <v>0.0</v>
      </c>
      <c r="S3553" s="1"/>
    </row>
    <row r="3554" ht="15.75" customHeight="1">
      <c r="A3554" s="1" t="s">
        <v>7970</v>
      </c>
      <c r="B3554" s="1" t="s">
        <v>7971</v>
      </c>
      <c r="C3554" s="1" t="s">
        <v>946</v>
      </c>
      <c r="K3554" s="1" t="s">
        <v>99</v>
      </c>
      <c r="L3554" s="1" t="s">
        <v>27</v>
      </c>
      <c r="N3554" s="1" t="s">
        <v>123</v>
      </c>
      <c r="O3554" s="1" t="s">
        <v>29</v>
      </c>
      <c r="R3554" s="1">
        <v>0.0</v>
      </c>
      <c r="S3554" s="1"/>
    </row>
    <row r="3555" ht="15.75" customHeight="1">
      <c r="A3555" s="1" t="s">
        <v>7972</v>
      </c>
      <c r="B3555" s="1" t="s">
        <v>7973</v>
      </c>
      <c r="C3555" s="1" t="s">
        <v>531</v>
      </c>
      <c r="K3555" s="1" t="s">
        <v>99</v>
      </c>
      <c r="L3555" s="1" t="s">
        <v>27</v>
      </c>
      <c r="N3555" s="1" t="s">
        <v>532</v>
      </c>
      <c r="O3555" s="1" t="s">
        <v>29</v>
      </c>
      <c r="R3555" s="1">
        <v>0.0</v>
      </c>
      <c r="S3555" s="1"/>
    </row>
    <row r="3556" ht="15.75" customHeight="1">
      <c r="A3556" s="1" t="s">
        <v>7974</v>
      </c>
      <c r="B3556" s="1" t="s">
        <v>7975</v>
      </c>
      <c r="C3556" s="1" t="s">
        <v>737</v>
      </c>
      <c r="K3556" s="1" t="s">
        <v>99</v>
      </c>
      <c r="L3556" s="1" t="s">
        <v>27</v>
      </c>
      <c r="N3556" s="1" t="s">
        <v>732</v>
      </c>
      <c r="O3556" s="1" t="s">
        <v>29</v>
      </c>
      <c r="R3556" s="1">
        <v>0.0</v>
      </c>
      <c r="S3556" s="1"/>
    </row>
    <row r="3557" ht="15.75" customHeight="1">
      <c r="A3557" s="1" t="s">
        <v>7976</v>
      </c>
      <c r="B3557" s="1" t="s">
        <v>7977</v>
      </c>
      <c r="C3557" s="1" t="s">
        <v>1786</v>
      </c>
      <c r="K3557" s="1" t="s">
        <v>99</v>
      </c>
      <c r="L3557" s="1" t="s">
        <v>27</v>
      </c>
      <c r="N3557" s="1" t="s">
        <v>1874</v>
      </c>
      <c r="O3557" s="1" t="s">
        <v>29</v>
      </c>
      <c r="R3557" s="1">
        <v>0.0</v>
      </c>
      <c r="S3557" s="1"/>
    </row>
    <row r="3558" ht="15.75" customHeight="1">
      <c r="A3558" s="1" t="s">
        <v>7978</v>
      </c>
      <c r="B3558" s="1" t="s">
        <v>7979</v>
      </c>
      <c r="C3558" s="1" t="s">
        <v>617</v>
      </c>
      <c r="K3558" s="1" t="s">
        <v>99</v>
      </c>
      <c r="L3558" s="1" t="s">
        <v>27</v>
      </c>
      <c r="N3558" s="1" t="s">
        <v>28</v>
      </c>
      <c r="O3558" s="1" t="s">
        <v>29</v>
      </c>
      <c r="R3558" s="1">
        <v>0.0</v>
      </c>
      <c r="S3558" s="1"/>
    </row>
    <row r="3559" ht="15.75" customHeight="1">
      <c r="A3559" s="1" t="s">
        <v>7980</v>
      </c>
      <c r="B3559" s="1" t="s">
        <v>7981</v>
      </c>
      <c r="C3559" s="1" t="s">
        <v>21</v>
      </c>
      <c r="K3559" s="1" t="s">
        <v>99</v>
      </c>
      <c r="L3559" s="1" t="s">
        <v>27</v>
      </c>
      <c r="N3559" s="1" t="s">
        <v>28</v>
      </c>
      <c r="O3559" s="1" t="s">
        <v>29</v>
      </c>
      <c r="R3559" s="1">
        <v>0.0</v>
      </c>
      <c r="S3559" s="1"/>
    </row>
    <row r="3560" ht="15.75" customHeight="1">
      <c r="A3560" s="1" t="s">
        <v>7982</v>
      </c>
      <c r="B3560" s="1" t="s">
        <v>7983</v>
      </c>
      <c r="C3560" s="1" t="s">
        <v>549</v>
      </c>
      <c r="K3560" s="1" t="s">
        <v>99</v>
      </c>
      <c r="L3560" s="1" t="s">
        <v>27</v>
      </c>
      <c r="N3560" s="1" t="s">
        <v>549</v>
      </c>
      <c r="O3560" s="1" t="s">
        <v>29</v>
      </c>
      <c r="R3560" s="1">
        <v>0.0</v>
      </c>
      <c r="S3560" s="1"/>
    </row>
    <row r="3561" ht="15.75" customHeight="1">
      <c r="A3561" s="1" t="s">
        <v>7984</v>
      </c>
      <c r="B3561" s="1" t="s">
        <v>7985</v>
      </c>
      <c r="C3561" s="1" t="s">
        <v>2089</v>
      </c>
      <c r="K3561" s="1" t="s">
        <v>99</v>
      </c>
      <c r="L3561" s="1" t="s">
        <v>27</v>
      </c>
      <c r="N3561" s="1" t="s">
        <v>506</v>
      </c>
      <c r="O3561" s="1" t="s">
        <v>29</v>
      </c>
      <c r="R3561" s="1">
        <v>0.0</v>
      </c>
      <c r="S3561" s="1"/>
    </row>
    <row r="3562" ht="15.75" customHeight="1">
      <c r="A3562" s="1" t="s">
        <v>7986</v>
      </c>
      <c r="B3562" s="1" t="s">
        <v>7987</v>
      </c>
      <c r="C3562" s="1" t="s">
        <v>497</v>
      </c>
      <c r="K3562" s="1" t="s">
        <v>5789</v>
      </c>
      <c r="L3562" s="1" t="s">
        <v>27</v>
      </c>
      <c r="N3562" s="1" t="s">
        <v>498</v>
      </c>
      <c r="O3562" s="1" t="s">
        <v>29</v>
      </c>
      <c r="R3562" s="1">
        <v>0.0</v>
      </c>
      <c r="S3562" s="1"/>
    </row>
    <row r="3563" ht="15.75" customHeight="1">
      <c r="A3563" s="1" t="s">
        <v>7988</v>
      </c>
      <c r="B3563" s="1" t="s">
        <v>7989</v>
      </c>
      <c r="C3563" s="1" t="s">
        <v>848</v>
      </c>
      <c r="K3563" s="1" t="s">
        <v>5789</v>
      </c>
      <c r="L3563" s="1" t="s">
        <v>27</v>
      </c>
      <c r="N3563" s="1" t="s">
        <v>849</v>
      </c>
      <c r="O3563" s="1" t="s">
        <v>29</v>
      </c>
      <c r="R3563" s="1">
        <v>0.0</v>
      </c>
      <c r="S3563" s="1"/>
    </row>
    <row r="3564" ht="15.75" customHeight="1">
      <c r="A3564" s="1" t="s">
        <v>7990</v>
      </c>
      <c r="B3564" s="1" t="s">
        <v>7991</v>
      </c>
      <c r="C3564" s="1" t="s">
        <v>215</v>
      </c>
      <c r="K3564" s="1" t="s">
        <v>2892</v>
      </c>
      <c r="L3564" s="1" t="s">
        <v>27</v>
      </c>
      <c r="N3564" s="1" t="s">
        <v>216</v>
      </c>
      <c r="O3564" s="1" t="s">
        <v>29</v>
      </c>
      <c r="R3564" s="1">
        <v>0.0</v>
      </c>
      <c r="S3564" s="1"/>
    </row>
    <row r="3565" ht="15.75" customHeight="1">
      <c r="A3565" s="1" t="s">
        <v>7992</v>
      </c>
      <c r="B3565" s="1" t="s">
        <v>7993</v>
      </c>
      <c r="C3565" s="1" t="s">
        <v>215</v>
      </c>
      <c r="K3565" s="1" t="s">
        <v>2892</v>
      </c>
      <c r="L3565" s="1" t="s">
        <v>27</v>
      </c>
      <c r="N3565" s="1" t="s">
        <v>216</v>
      </c>
      <c r="O3565" s="1" t="s">
        <v>29</v>
      </c>
      <c r="R3565" s="1">
        <v>0.0</v>
      </c>
      <c r="S3565" s="1"/>
    </row>
    <row r="3566" ht="15.75" customHeight="1">
      <c r="A3566" s="1" t="s">
        <v>7994</v>
      </c>
      <c r="B3566" s="1" t="s">
        <v>7995</v>
      </c>
      <c r="C3566" s="1" t="s">
        <v>215</v>
      </c>
      <c r="K3566" s="1" t="s">
        <v>2892</v>
      </c>
      <c r="L3566" s="1" t="s">
        <v>27</v>
      </c>
      <c r="N3566" s="1" t="s">
        <v>216</v>
      </c>
      <c r="O3566" s="1" t="s">
        <v>29</v>
      </c>
      <c r="R3566" s="1">
        <v>0.0</v>
      </c>
      <c r="S3566" s="1"/>
    </row>
    <row r="3567" ht="15.75" customHeight="1">
      <c r="A3567" s="1" t="s">
        <v>7996</v>
      </c>
      <c r="B3567" s="1" t="s">
        <v>7997</v>
      </c>
      <c r="C3567" s="1" t="s">
        <v>768</v>
      </c>
      <c r="K3567" s="1" t="s">
        <v>99</v>
      </c>
      <c r="L3567" s="1" t="s">
        <v>27</v>
      </c>
      <c r="N3567" s="1" t="s">
        <v>732</v>
      </c>
      <c r="O3567" s="1" t="s">
        <v>29</v>
      </c>
      <c r="R3567" s="1">
        <v>0.0</v>
      </c>
      <c r="S3567" s="1"/>
    </row>
    <row r="3568" ht="15.75" customHeight="1">
      <c r="A3568" s="1" t="s">
        <v>7998</v>
      </c>
      <c r="B3568" s="1" t="s">
        <v>7999</v>
      </c>
      <c r="C3568" s="1" t="s">
        <v>946</v>
      </c>
      <c r="K3568" s="1" t="s">
        <v>99</v>
      </c>
      <c r="L3568" s="1" t="s">
        <v>27</v>
      </c>
      <c r="N3568" s="1" t="s">
        <v>123</v>
      </c>
      <c r="O3568" s="1" t="s">
        <v>29</v>
      </c>
      <c r="R3568" s="1">
        <v>0.0</v>
      </c>
      <c r="S3568" s="1"/>
    </row>
    <row r="3569" ht="15.75" customHeight="1">
      <c r="A3569" s="1" t="s">
        <v>8000</v>
      </c>
      <c r="B3569" s="1" t="s">
        <v>8001</v>
      </c>
      <c r="C3569" s="1" t="s">
        <v>617</v>
      </c>
      <c r="K3569" s="1" t="s">
        <v>99</v>
      </c>
      <c r="L3569" s="1" t="s">
        <v>27</v>
      </c>
      <c r="N3569" s="1" t="s">
        <v>28</v>
      </c>
      <c r="O3569" s="1" t="s">
        <v>29</v>
      </c>
      <c r="R3569" s="1">
        <v>0.0</v>
      </c>
      <c r="S3569" s="1"/>
    </row>
    <row r="3570" ht="15.75" customHeight="1">
      <c r="A3570" s="1" t="s">
        <v>8002</v>
      </c>
      <c r="B3570" s="1" t="s">
        <v>8003</v>
      </c>
      <c r="C3570" s="1" t="s">
        <v>497</v>
      </c>
      <c r="K3570" s="1" t="s">
        <v>99</v>
      </c>
      <c r="L3570" s="1" t="s">
        <v>27</v>
      </c>
      <c r="N3570" s="1" t="s">
        <v>498</v>
      </c>
      <c r="O3570" s="1" t="s">
        <v>29</v>
      </c>
      <c r="R3570" s="1">
        <v>0.0</v>
      </c>
      <c r="S3570" s="1"/>
    </row>
    <row r="3571" ht="15.75" customHeight="1">
      <c r="A3571" s="1" t="s">
        <v>8004</v>
      </c>
      <c r="B3571" s="1" t="s">
        <v>8005</v>
      </c>
      <c r="C3571" s="1" t="s">
        <v>215</v>
      </c>
      <c r="K3571" s="1" t="s">
        <v>2892</v>
      </c>
      <c r="L3571" s="1" t="s">
        <v>27</v>
      </c>
      <c r="N3571" s="1" t="s">
        <v>216</v>
      </c>
      <c r="O3571" s="1" t="s">
        <v>29</v>
      </c>
      <c r="R3571" s="1">
        <v>0.0</v>
      </c>
      <c r="S3571" s="1"/>
    </row>
    <row r="3572" ht="15.75" customHeight="1">
      <c r="A3572" s="1" t="s">
        <v>8006</v>
      </c>
      <c r="B3572" s="1" t="s">
        <v>8007</v>
      </c>
      <c r="C3572" s="1" t="s">
        <v>617</v>
      </c>
      <c r="K3572" s="1" t="s">
        <v>99</v>
      </c>
      <c r="L3572" s="1" t="s">
        <v>27</v>
      </c>
      <c r="N3572" s="1" t="s">
        <v>28</v>
      </c>
      <c r="O3572" s="1" t="s">
        <v>29</v>
      </c>
      <c r="R3572" s="1">
        <v>0.0</v>
      </c>
      <c r="S3572" s="1"/>
    </row>
    <row r="3573" ht="15.75" customHeight="1">
      <c r="A3573" s="1" t="s">
        <v>8008</v>
      </c>
      <c r="B3573" s="1" t="s">
        <v>8009</v>
      </c>
      <c r="C3573" s="1" t="s">
        <v>21</v>
      </c>
      <c r="K3573" s="1" t="s">
        <v>99</v>
      </c>
      <c r="L3573" s="1" t="s">
        <v>27</v>
      </c>
      <c r="N3573" s="1" t="s">
        <v>28</v>
      </c>
      <c r="O3573" s="1" t="s">
        <v>29</v>
      </c>
      <c r="R3573" s="1">
        <v>0.0</v>
      </c>
      <c r="S3573" s="1"/>
    </row>
    <row r="3574" ht="15.75" customHeight="1">
      <c r="A3574" s="1" t="s">
        <v>8010</v>
      </c>
      <c r="B3574" s="1" t="s">
        <v>8011</v>
      </c>
      <c r="C3574" s="1" t="s">
        <v>531</v>
      </c>
      <c r="K3574" s="1" t="s">
        <v>99</v>
      </c>
      <c r="L3574" s="1" t="s">
        <v>27</v>
      </c>
      <c r="N3574" s="1" t="s">
        <v>532</v>
      </c>
      <c r="O3574" s="1" t="s">
        <v>29</v>
      </c>
      <c r="R3574" s="1">
        <v>0.0</v>
      </c>
      <c r="S3574" s="1"/>
    </row>
    <row r="3575" ht="15.75" customHeight="1">
      <c r="A3575" s="1" t="s">
        <v>8012</v>
      </c>
      <c r="B3575" s="1" t="s">
        <v>8013</v>
      </c>
      <c r="C3575" s="1" t="s">
        <v>215</v>
      </c>
      <c r="K3575" s="1" t="s">
        <v>2892</v>
      </c>
      <c r="L3575" s="1" t="s">
        <v>27</v>
      </c>
      <c r="N3575" s="1" t="s">
        <v>216</v>
      </c>
      <c r="O3575" s="1" t="s">
        <v>29</v>
      </c>
      <c r="R3575" s="1">
        <v>0.0</v>
      </c>
      <c r="S3575" s="1"/>
    </row>
    <row r="3576" ht="15.75" customHeight="1">
      <c r="A3576" s="1" t="s">
        <v>8014</v>
      </c>
      <c r="B3576" s="1" t="s">
        <v>8015</v>
      </c>
      <c r="C3576" s="1" t="s">
        <v>215</v>
      </c>
      <c r="K3576" s="1" t="s">
        <v>2892</v>
      </c>
      <c r="L3576" s="1" t="s">
        <v>27</v>
      </c>
      <c r="N3576" s="1" t="s">
        <v>216</v>
      </c>
      <c r="O3576" s="1" t="s">
        <v>29</v>
      </c>
      <c r="R3576" s="1">
        <v>0.0</v>
      </c>
      <c r="S3576" s="1"/>
    </row>
    <row r="3577" ht="15.75" customHeight="1">
      <c r="A3577" s="1" t="s">
        <v>8016</v>
      </c>
      <c r="B3577" s="1" t="s">
        <v>8017</v>
      </c>
      <c r="C3577" s="1" t="s">
        <v>848</v>
      </c>
      <c r="K3577" s="1" t="s">
        <v>99</v>
      </c>
      <c r="L3577" s="1" t="s">
        <v>27</v>
      </c>
      <c r="N3577" s="1" t="s">
        <v>849</v>
      </c>
      <c r="O3577" s="1" t="s">
        <v>29</v>
      </c>
      <c r="R3577" s="1">
        <v>0.0</v>
      </c>
      <c r="S3577" s="1"/>
    </row>
    <row r="3578" ht="15.75" customHeight="1">
      <c r="A3578" s="1" t="s">
        <v>8018</v>
      </c>
      <c r="B3578" s="1" t="s">
        <v>8019</v>
      </c>
      <c r="C3578" s="1" t="s">
        <v>630</v>
      </c>
      <c r="K3578" s="1" t="s">
        <v>2892</v>
      </c>
      <c r="L3578" s="1" t="s">
        <v>27</v>
      </c>
      <c r="N3578" s="1" t="s">
        <v>28</v>
      </c>
      <c r="O3578" s="1" t="s">
        <v>29</v>
      </c>
      <c r="R3578" s="1">
        <v>0.0</v>
      </c>
      <c r="S3578" s="1"/>
    </row>
    <row r="3579" ht="15.75" customHeight="1">
      <c r="A3579" s="1" t="s">
        <v>8020</v>
      </c>
      <c r="B3579" s="1" t="s">
        <v>8021</v>
      </c>
      <c r="C3579" s="1" t="s">
        <v>630</v>
      </c>
      <c r="K3579" s="1" t="s">
        <v>99</v>
      </c>
      <c r="L3579" s="1" t="s">
        <v>27</v>
      </c>
      <c r="N3579" s="1" t="s">
        <v>28</v>
      </c>
      <c r="O3579" s="1" t="s">
        <v>29</v>
      </c>
      <c r="R3579" s="1">
        <v>0.0</v>
      </c>
      <c r="S3579" s="1"/>
    </row>
    <row r="3580" ht="15.75" customHeight="1">
      <c r="A3580" s="1" t="s">
        <v>8022</v>
      </c>
      <c r="B3580" s="1" t="s">
        <v>8023</v>
      </c>
      <c r="C3580" s="1" t="s">
        <v>617</v>
      </c>
      <c r="K3580" s="1" t="s">
        <v>99</v>
      </c>
      <c r="L3580" s="1" t="s">
        <v>27</v>
      </c>
      <c r="N3580" s="1" t="s">
        <v>28</v>
      </c>
      <c r="O3580" s="1" t="s">
        <v>29</v>
      </c>
      <c r="R3580" s="1">
        <v>0.0</v>
      </c>
      <c r="S3580" s="1"/>
    </row>
    <row r="3581" ht="15.75" customHeight="1">
      <c r="A3581" s="1" t="s">
        <v>8024</v>
      </c>
      <c r="B3581" s="1" t="s">
        <v>8025</v>
      </c>
      <c r="C3581" s="1" t="s">
        <v>630</v>
      </c>
      <c r="K3581" s="1" t="s">
        <v>99</v>
      </c>
      <c r="L3581" s="1" t="s">
        <v>27</v>
      </c>
      <c r="N3581" s="1" t="s">
        <v>28</v>
      </c>
      <c r="O3581" s="1" t="s">
        <v>29</v>
      </c>
      <c r="R3581" s="1">
        <v>0.0</v>
      </c>
      <c r="S3581" s="1"/>
    </row>
    <row r="3582" ht="15.75" customHeight="1">
      <c r="A3582" s="1" t="s">
        <v>8026</v>
      </c>
      <c r="B3582" s="1" t="s">
        <v>8027</v>
      </c>
      <c r="C3582" s="1" t="s">
        <v>630</v>
      </c>
      <c r="K3582" s="1" t="s">
        <v>99</v>
      </c>
      <c r="L3582" s="1" t="s">
        <v>27</v>
      </c>
      <c r="N3582" s="1" t="s">
        <v>28</v>
      </c>
      <c r="O3582" s="1" t="s">
        <v>29</v>
      </c>
      <c r="R3582" s="1">
        <v>0.0</v>
      </c>
      <c r="S3582" s="1"/>
    </row>
    <row r="3583" ht="15.75" customHeight="1">
      <c r="A3583" s="1" t="s">
        <v>8028</v>
      </c>
      <c r="B3583" s="1" t="s">
        <v>8029</v>
      </c>
      <c r="C3583" s="1" t="s">
        <v>21</v>
      </c>
      <c r="K3583" s="1" t="s">
        <v>99</v>
      </c>
      <c r="L3583" s="1" t="s">
        <v>27</v>
      </c>
      <c r="N3583" s="1" t="s">
        <v>28</v>
      </c>
      <c r="O3583" s="1" t="s">
        <v>29</v>
      </c>
      <c r="R3583" s="1">
        <v>0.0</v>
      </c>
      <c r="S3583" s="1"/>
    </row>
    <row r="3584" ht="15.75" customHeight="1">
      <c r="A3584" s="1" t="s">
        <v>8030</v>
      </c>
      <c r="B3584" s="1" t="s">
        <v>8031</v>
      </c>
      <c r="C3584" s="1" t="s">
        <v>21</v>
      </c>
      <c r="K3584" s="1" t="s">
        <v>99</v>
      </c>
      <c r="L3584" s="1" t="s">
        <v>27</v>
      </c>
      <c r="N3584" s="1" t="s">
        <v>28</v>
      </c>
      <c r="O3584" s="1" t="s">
        <v>29</v>
      </c>
      <c r="R3584" s="1">
        <v>0.0</v>
      </c>
      <c r="S3584" s="1"/>
    </row>
    <row r="3585" ht="15.75" customHeight="1">
      <c r="A3585" s="1" t="s">
        <v>8032</v>
      </c>
      <c r="B3585" s="1" t="s">
        <v>8033</v>
      </c>
      <c r="C3585" s="1" t="s">
        <v>5490</v>
      </c>
      <c r="K3585" s="1" t="s">
        <v>99</v>
      </c>
      <c r="L3585" s="1" t="s">
        <v>27</v>
      </c>
      <c r="N3585" s="1" t="s">
        <v>28</v>
      </c>
      <c r="O3585" s="1" t="s">
        <v>29</v>
      </c>
      <c r="R3585" s="1">
        <v>0.0</v>
      </c>
      <c r="S3585" s="1"/>
    </row>
    <row r="3586" ht="15.75" customHeight="1">
      <c r="A3586" s="1" t="s">
        <v>8034</v>
      </c>
      <c r="B3586" s="1" t="s">
        <v>8035</v>
      </c>
      <c r="C3586" s="1" t="s">
        <v>21</v>
      </c>
      <c r="K3586" s="1" t="s">
        <v>99</v>
      </c>
      <c r="L3586" s="1" t="s">
        <v>27</v>
      </c>
      <c r="N3586" s="1" t="s">
        <v>28</v>
      </c>
      <c r="O3586" s="1" t="s">
        <v>29</v>
      </c>
      <c r="R3586" s="1">
        <v>0.0</v>
      </c>
      <c r="S3586" s="1"/>
    </row>
    <row r="3587" ht="15.75" customHeight="1">
      <c r="A3587" s="1" t="s">
        <v>8036</v>
      </c>
      <c r="B3587" s="1" t="s">
        <v>8037</v>
      </c>
      <c r="C3587" s="1" t="s">
        <v>3157</v>
      </c>
      <c r="K3587" s="1" t="s">
        <v>99</v>
      </c>
      <c r="L3587" s="1" t="s">
        <v>27</v>
      </c>
      <c r="N3587" s="1" t="s">
        <v>532</v>
      </c>
      <c r="O3587" s="1" t="s">
        <v>29</v>
      </c>
      <c r="R3587" s="1">
        <v>0.0</v>
      </c>
      <c r="S3587" s="1"/>
    </row>
    <row r="3588" ht="15.75" customHeight="1">
      <c r="A3588" s="1" t="s">
        <v>8038</v>
      </c>
      <c r="B3588" s="1" t="s">
        <v>8039</v>
      </c>
      <c r="C3588" s="1" t="s">
        <v>8040</v>
      </c>
      <c r="K3588" s="1" t="s">
        <v>99</v>
      </c>
      <c r="L3588" s="1" t="s">
        <v>27</v>
      </c>
      <c r="N3588" s="1" t="s">
        <v>532</v>
      </c>
      <c r="O3588" s="1" t="s">
        <v>29</v>
      </c>
      <c r="R3588" s="1">
        <v>0.0</v>
      </c>
      <c r="S3588" s="1"/>
    </row>
    <row r="3589" ht="15.75" customHeight="1">
      <c r="A3589" s="1" t="s">
        <v>8041</v>
      </c>
      <c r="B3589" s="1" t="s">
        <v>8042</v>
      </c>
      <c r="C3589" s="1" t="s">
        <v>1988</v>
      </c>
      <c r="K3589" s="1" t="s">
        <v>99</v>
      </c>
      <c r="L3589" s="1" t="s">
        <v>27</v>
      </c>
      <c r="N3589" s="1" t="s">
        <v>1989</v>
      </c>
      <c r="O3589" s="1" t="s">
        <v>29</v>
      </c>
      <c r="R3589" s="1">
        <v>0.0</v>
      </c>
      <c r="S3589" s="1"/>
    </row>
    <row r="3590" ht="15.75" customHeight="1">
      <c r="A3590" s="1" t="s">
        <v>8043</v>
      </c>
      <c r="B3590" s="1" t="s">
        <v>8044</v>
      </c>
      <c r="C3590" s="1" t="s">
        <v>215</v>
      </c>
      <c r="K3590" s="1" t="s">
        <v>2892</v>
      </c>
      <c r="L3590" s="1" t="s">
        <v>27</v>
      </c>
      <c r="N3590" s="1" t="s">
        <v>216</v>
      </c>
      <c r="O3590" s="1" t="s">
        <v>29</v>
      </c>
      <c r="R3590" s="1">
        <v>0.0</v>
      </c>
      <c r="S3590" s="1"/>
    </row>
    <row r="3591" ht="15.75" customHeight="1">
      <c r="A3591" s="1" t="s">
        <v>8045</v>
      </c>
      <c r="B3591" s="1" t="s">
        <v>8046</v>
      </c>
      <c r="C3591" s="1" t="s">
        <v>215</v>
      </c>
      <c r="K3591" s="1" t="s">
        <v>2892</v>
      </c>
      <c r="L3591" s="1" t="s">
        <v>27</v>
      </c>
      <c r="N3591" s="1" t="s">
        <v>216</v>
      </c>
      <c r="O3591" s="1" t="s">
        <v>29</v>
      </c>
      <c r="R3591" s="1">
        <v>0.0</v>
      </c>
      <c r="S3591" s="1"/>
    </row>
    <row r="3592" ht="15.75" customHeight="1">
      <c r="A3592" s="1" t="s">
        <v>8047</v>
      </c>
      <c r="B3592" s="1" t="s">
        <v>8048</v>
      </c>
      <c r="C3592" s="1" t="s">
        <v>3033</v>
      </c>
      <c r="K3592" s="1" t="s">
        <v>99</v>
      </c>
      <c r="L3592" s="1" t="s">
        <v>27</v>
      </c>
      <c r="N3592" s="1" t="s">
        <v>123</v>
      </c>
      <c r="O3592" s="1" t="s">
        <v>29</v>
      </c>
      <c r="R3592" s="1">
        <v>0.0</v>
      </c>
      <c r="S3592" s="1"/>
    </row>
    <row r="3593" ht="15.75" customHeight="1">
      <c r="A3593" s="1" t="s">
        <v>8049</v>
      </c>
      <c r="B3593" s="1" t="s">
        <v>8050</v>
      </c>
      <c r="C3593" s="1" t="s">
        <v>4287</v>
      </c>
      <c r="K3593" s="1" t="s">
        <v>2892</v>
      </c>
      <c r="L3593" s="1" t="s">
        <v>27</v>
      </c>
      <c r="N3593" s="1" t="s">
        <v>28</v>
      </c>
      <c r="O3593" s="1" t="s">
        <v>29</v>
      </c>
      <c r="R3593" s="1">
        <v>0.0</v>
      </c>
      <c r="S3593" s="1"/>
    </row>
    <row r="3594" ht="15.75" customHeight="1">
      <c r="A3594" s="1" t="s">
        <v>8051</v>
      </c>
      <c r="B3594" s="1" t="s">
        <v>8052</v>
      </c>
      <c r="C3594" s="1" t="s">
        <v>617</v>
      </c>
      <c r="K3594" s="1" t="s">
        <v>99</v>
      </c>
      <c r="L3594" s="1" t="s">
        <v>27</v>
      </c>
      <c r="N3594" s="1" t="s">
        <v>28</v>
      </c>
      <c r="O3594" s="1" t="s">
        <v>29</v>
      </c>
      <c r="R3594" s="1">
        <v>0.0</v>
      </c>
      <c r="S3594" s="1"/>
    </row>
    <row r="3595" ht="15.75" customHeight="1">
      <c r="A3595" s="1" t="s">
        <v>8053</v>
      </c>
      <c r="B3595" s="1" t="s">
        <v>8054</v>
      </c>
      <c r="C3595" s="1" t="s">
        <v>630</v>
      </c>
      <c r="K3595" s="1" t="s">
        <v>99</v>
      </c>
      <c r="L3595" s="1" t="s">
        <v>27</v>
      </c>
      <c r="N3595" s="1" t="s">
        <v>28</v>
      </c>
      <c r="O3595" s="1" t="s">
        <v>29</v>
      </c>
      <c r="R3595" s="1">
        <v>0.0</v>
      </c>
      <c r="S3595" s="1"/>
    </row>
    <row r="3596" ht="15.75" customHeight="1">
      <c r="A3596" s="1" t="s">
        <v>8055</v>
      </c>
      <c r="B3596" s="1" t="s">
        <v>8056</v>
      </c>
      <c r="C3596" s="1" t="s">
        <v>617</v>
      </c>
      <c r="K3596" s="1" t="s">
        <v>99</v>
      </c>
      <c r="L3596" s="1" t="s">
        <v>27</v>
      </c>
      <c r="N3596" s="1" t="s">
        <v>28</v>
      </c>
      <c r="O3596" s="1" t="s">
        <v>29</v>
      </c>
      <c r="R3596" s="1">
        <v>0.0</v>
      </c>
      <c r="S3596" s="1"/>
    </row>
    <row r="3597" ht="15.75" customHeight="1">
      <c r="A3597" s="1" t="s">
        <v>8057</v>
      </c>
      <c r="B3597" s="1" t="s">
        <v>8058</v>
      </c>
      <c r="C3597" s="1" t="s">
        <v>1112</v>
      </c>
      <c r="K3597" s="1" t="s">
        <v>1910</v>
      </c>
      <c r="L3597" s="1" t="s">
        <v>1911</v>
      </c>
      <c r="N3597" s="1" t="s">
        <v>1097</v>
      </c>
      <c r="O3597" s="1" t="s">
        <v>29</v>
      </c>
      <c r="R3597" s="1">
        <v>0.0</v>
      </c>
      <c r="S3597" s="1"/>
    </row>
    <row r="3598" ht="15.75" customHeight="1">
      <c r="A3598" s="1" t="s">
        <v>8059</v>
      </c>
      <c r="B3598" s="1" t="s">
        <v>8060</v>
      </c>
      <c r="C3598" s="1" t="s">
        <v>174</v>
      </c>
      <c r="K3598" s="1" t="s">
        <v>99</v>
      </c>
      <c r="L3598" s="1" t="s">
        <v>27</v>
      </c>
      <c r="N3598" s="1" t="s">
        <v>174</v>
      </c>
      <c r="O3598" s="1" t="s">
        <v>29</v>
      </c>
      <c r="R3598" s="1">
        <v>0.0</v>
      </c>
      <c r="S3598" s="1"/>
    </row>
    <row r="3599" ht="15.75" customHeight="1">
      <c r="A3599" s="1" t="s">
        <v>8061</v>
      </c>
      <c r="B3599" s="1" t="s">
        <v>8062</v>
      </c>
      <c r="C3599" s="1" t="s">
        <v>1225</v>
      </c>
      <c r="K3599" s="1" t="s">
        <v>99</v>
      </c>
      <c r="L3599" s="1" t="s">
        <v>27</v>
      </c>
      <c r="N3599" s="1" t="s">
        <v>464</v>
      </c>
      <c r="O3599" s="1" t="s">
        <v>29</v>
      </c>
      <c r="R3599" s="1">
        <v>0.0</v>
      </c>
      <c r="S3599" s="1"/>
    </row>
    <row r="3600" ht="15.75" customHeight="1">
      <c r="A3600" s="1" t="s">
        <v>8063</v>
      </c>
      <c r="B3600" s="1" t="s">
        <v>8064</v>
      </c>
      <c r="C3600" s="1" t="s">
        <v>768</v>
      </c>
      <c r="K3600" s="1" t="s">
        <v>99</v>
      </c>
      <c r="L3600" s="1" t="s">
        <v>27</v>
      </c>
      <c r="N3600" s="1" t="s">
        <v>732</v>
      </c>
      <c r="O3600" s="1" t="s">
        <v>29</v>
      </c>
      <c r="R3600" s="1">
        <v>0.0</v>
      </c>
      <c r="S3600" s="1"/>
    </row>
    <row r="3601" ht="15.75" customHeight="1">
      <c r="A3601" s="1" t="s">
        <v>8065</v>
      </c>
      <c r="B3601" s="1" t="s">
        <v>8066</v>
      </c>
      <c r="C3601" s="1" t="s">
        <v>737</v>
      </c>
      <c r="K3601" s="1" t="s">
        <v>99</v>
      </c>
      <c r="L3601" s="1" t="s">
        <v>27</v>
      </c>
      <c r="N3601" s="1" t="s">
        <v>732</v>
      </c>
      <c r="O3601" s="1" t="s">
        <v>29</v>
      </c>
      <c r="R3601" s="1">
        <v>0.0</v>
      </c>
      <c r="S3601" s="1"/>
    </row>
    <row r="3602" ht="15.75" customHeight="1">
      <c r="A3602" s="1" t="s">
        <v>8067</v>
      </c>
      <c r="B3602" s="1" t="s">
        <v>8068</v>
      </c>
      <c r="C3602" s="1" t="s">
        <v>1786</v>
      </c>
      <c r="K3602" s="1" t="s">
        <v>99</v>
      </c>
      <c r="L3602" s="1" t="s">
        <v>27</v>
      </c>
      <c r="N3602" s="1" t="s">
        <v>1874</v>
      </c>
      <c r="O3602" s="1" t="s">
        <v>29</v>
      </c>
      <c r="R3602" s="1">
        <v>0.0</v>
      </c>
      <c r="S3602" s="1"/>
    </row>
    <row r="3603" ht="15.75" customHeight="1">
      <c r="A3603" s="1" t="s">
        <v>8069</v>
      </c>
      <c r="B3603" s="1" t="s">
        <v>8070</v>
      </c>
      <c r="C3603" s="1" t="s">
        <v>848</v>
      </c>
      <c r="K3603" s="1" t="s">
        <v>99</v>
      </c>
      <c r="L3603" s="1" t="s">
        <v>27</v>
      </c>
      <c r="N3603" s="1" t="s">
        <v>849</v>
      </c>
      <c r="O3603" s="1" t="s">
        <v>29</v>
      </c>
      <c r="R3603" s="1">
        <v>0.0</v>
      </c>
      <c r="S3603" s="1"/>
    </row>
    <row r="3604" ht="15.75" customHeight="1">
      <c r="A3604" s="1" t="s">
        <v>8071</v>
      </c>
      <c r="B3604" s="1" t="s">
        <v>8072</v>
      </c>
      <c r="C3604" s="1" t="s">
        <v>53</v>
      </c>
      <c r="K3604" s="1" t="s">
        <v>2892</v>
      </c>
      <c r="L3604" s="1" t="s">
        <v>27</v>
      </c>
      <c r="N3604" s="1" t="s">
        <v>28</v>
      </c>
      <c r="O3604" s="1" t="s">
        <v>29</v>
      </c>
      <c r="R3604" s="1">
        <v>0.0</v>
      </c>
      <c r="S3604" s="1"/>
    </row>
    <row r="3605" ht="15.75" customHeight="1">
      <c r="A3605" s="1" t="s">
        <v>8073</v>
      </c>
      <c r="B3605" s="1" t="s">
        <v>8074</v>
      </c>
      <c r="C3605" s="1" t="s">
        <v>617</v>
      </c>
      <c r="K3605" s="1" t="s">
        <v>99</v>
      </c>
      <c r="L3605" s="1" t="s">
        <v>27</v>
      </c>
      <c r="N3605" s="1" t="s">
        <v>28</v>
      </c>
      <c r="O3605" s="1" t="s">
        <v>29</v>
      </c>
      <c r="R3605" s="1">
        <v>0.0</v>
      </c>
      <c r="S3605" s="1"/>
    </row>
    <row r="3606" ht="15.75" customHeight="1">
      <c r="A3606" s="1" t="s">
        <v>8075</v>
      </c>
      <c r="B3606" s="1" t="s">
        <v>8076</v>
      </c>
      <c r="C3606" s="1" t="s">
        <v>21</v>
      </c>
      <c r="K3606" s="1" t="s">
        <v>99</v>
      </c>
      <c r="L3606" s="1" t="s">
        <v>27</v>
      </c>
      <c r="N3606" s="1" t="s">
        <v>28</v>
      </c>
      <c r="O3606" s="1" t="s">
        <v>29</v>
      </c>
      <c r="R3606" s="1">
        <v>0.0</v>
      </c>
      <c r="S3606" s="1"/>
    </row>
    <row r="3607" ht="15.75" customHeight="1">
      <c r="A3607" s="1" t="s">
        <v>8077</v>
      </c>
      <c r="B3607" s="1" t="s">
        <v>8078</v>
      </c>
      <c r="C3607" s="1" t="s">
        <v>531</v>
      </c>
      <c r="K3607" s="1" t="s">
        <v>99</v>
      </c>
      <c r="L3607" s="1" t="s">
        <v>27</v>
      </c>
      <c r="N3607" s="1" t="s">
        <v>532</v>
      </c>
      <c r="O3607" s="1" t="s">
        <v>29</v>
      </c>
      <c r="R3607" s="1">
        <v>0.0</v>
      </c>
      <c r="S3607" s="1"/>
    </row>
    <row r="3608" ht="15.75" customHeight="1">
      <c r="A3608" s="1" t="s">
        <v>8079</v>
      </c>
      <c r="B3608" s="1" t="s">
        <v>8080</v>
      </c>
      <c r="C3608" s="1" t="s">
        <v>174</v>
      </c>
      <c r="K3608" s="1" t="s">
        <v>99</v>
      </c>
      <c r="L3608" s="1" t="s">
        <v>27</v>
      </c>
      <c r="N3608" s="1" t="s">
        <v>174</v>
      </c>
      <c r="O3608" s="1" t="s">
        <v>29</v>
      </c>
      <c r="R3608" s="1">
        <v>0.0</v>
      </c>
      <c r="S3608" s="1"/>
    </row>
    <row r="3609" ht="15.75" customHeight="1">
      <c r="A3609" s="1" t="s">
        <v>8081</v>
      </c>
      <c r="B3609" s="1" t="s">
        <v>8082</v>
      </c>
      <c r="C3609" s="1" t="s">
        <v>185</v>
      </c>
      <c r="K3609" s="1" t="s">
        <v>99</v>
      </c>
      <c r="L3609" s="1" t="s">
        <v>27</v>
      </c>
      <c r="N3609" s="1" t="s">
        <v>186</v>
      </c>
      <c r="O3609" s="1" t="s">
        <v>29</v>
      </c>
      <c r="R3609" s="1">
        <v>0.0</v>
      </c>
      <c r="S3609" s="1"/>
    </row>
    <row r="3610" ht="15.75" customHeight="1">
      <c r="A3610" s="1" t="s">
        <v>8083</v>
      </c>
      <c r="B3610" s="1" t="s">
        <v>8084</v>
      </c>
      <c r="C3610" s="1" t="s">
        <v>215</v>
      </c>
      <c r="K3610" s="1" t="s">
        <v>2892</v>
      </c>
      <c r="L3610" s="1" t="s">
        <v>27</v>
      </c>
      <c r="N3610" s="1" t="s">
        <v>216</v>
      </c>
      <c r="O3610" s="1" t="s">
        <v>29</v>
      </c>
      <c r="R3610" s="1">
        <v>0.0</v>
      </c>
      <c r="S3610" s="1"/>
    </row>
    <row r="3611" ht="15.75" customHeight="1">
      <c r="A3611" s="1" t="s">
        <v>8085</v>
      </c>
      <c r="B3611" s="1" t="s">
        <v>8086</v>
      </c>
      <c r="C3611" s="1" t="s">
        <v>946</v>
      </c>
      <c r="K3611" s="1" t="s">
        <v>99</v>
      </c>
      <c r="L3611" s="1" t="s">
        <v>27</v>
      </c>
      <c r="N3611" s="1" t="s">
        <v>123</v>
      </c>
      <c r="O3611" s="1" t="s">
        <v>29</v>
      </c>
      <c r="R3611" s="1">
        <v>0.0</v>
      </c>
      <c r="S3611" s="1"/>
    </row>
    <row r="3612" ht="15.75" customHeight="1">
      <c r="A3612" s="1" t="s">
        <v>8087</v>
      </c>
      <c r="B3612" s="1" t="s">
        <v>8088</v>
      </c>
      <c r="C3612" s="1" t="s">
        <v>21</v>
      </c>
      <c r="K3612" s="1" t="s">
        <v>99</v>
      </c>
      <c r="L3612" s="1" t="s">
        <v>27</v>
      </c>
      <c r="N3612" s="1" t="s">
        <v>28</v>
      </c>
      <c r="O3612" s="1" t="s">
        <v>29</v>
      </c>
      <c r="R3612" s="1">
        <v>0.0</v>
      </c>
      <c r="S3612" s="1"/>
    </row>
    <row r="3613" ht="15.75" customHeight="1">
      <c r="A3613" s="1" t="s">
        <v>8089</v>
      </c>
      <c r="B3613" s="1" t="s">
        <v>8090</v>
      </c>
      <c r="C3613" s="1" t="s">
        <v>21</v>
      </c>
      <c r="K3613" s="1" t="s">
        <v>99</v>
      </c>
      <c r="L3613" s="1" t="s">
        <v>27</v>
      </c>
      <c r="N3613" s="1" t="s">
        <v>28</v>
      </c>
      <c r="O3613" s="1" t="s">
        <v>29</v>
      </c>
      <c r="R3613" s="1">
        <v>0.0</v>
      </c>
      <c r="S3613" s="1"/>
    </row>
    <row r="3614" ht="15.75" customHeight="1">
      <c r="A3614" s="1" t="s">
        <v>8091</v>
      </c>
      <c r="B3614" s="1" t="s">
        <v>8092</v>
      </c>
      <c r="C3614" s="1" t="s">
        <v>531</v>
      </c>
      <c r="K3614" s="1" t="s">
        <v>99</v>
      </c>
      <c r="L3614" s="1" t="s">
        <v>27</v>
      </c>
      <c r="N3614" s="1" t="s">
        <v>532</v>
      </c>
      <c r="O3614" s="1" t="s">
        <v>29</v>
      </c>
      <c r="R3614" s="1">
        <v>0.0</v>
      </c>
      <c r="S3614" s="1"/>
    </row>
    <row r="3615" ht="15.75" customHeight="1">
      <c r="A3615" s="1" t="s">
        <v>8093</v>
      </c>
      <c r="B3615" s="1" t="s">
        <v>8094</v>
      </c>
      <c r="C3615" s="1" t="s">
        <v>737</v>
      </c>
      <c r="K3615" s="1" t="s">
        <v>99</v>
      </c>
      <c r="L3615" s="1" t="s">
        <v>27</v>
      </c>
      <c r="N3615" s="1" t="s">
        <v>732</v>
      </c>
      <c r="O3615" s="1" t="s">
        <v>29</v>
      </c>
      <c r="R3615" s="1">
        <v>0.0</v>
      </c>
      <c r="S3615" s="1"/>
    </row>
    <row r="3616" ht="15.75" customHeight="1">
      <c r="A3616" s="1" t="s">
        <v>8095</v>
      </c>
      <c r="B3616" s="1" t="s">
        <v>8096</v>
      </c>
      <c r="C3616" s="1" t="s">
        <v>549</v>
      </c>
      <c r="K3616" s="1" t="s">
        <v>99</v>
      </c>
      <c r="L3616" s="1" t="s">
        <v>27</v>
      </c>
      <c r="N3616" s="1" t="s">
        <v>549</v>
      </c>
      <c r="O3616" s="1" t="s">
        <v>29</v>
      </c>
      <c r="R3616" s="1">
        <v>0.0</v>
      </c>
      <c r="S3616" s="1"/>
    </row>
    <row r="3617" ht="15.75" customHeight="1">
      <c r="A3617" s="1" t="s">
        <v>8097</v>
      </c>
      <c r="B3617" s="1" t="s">
        <v>8098</v>
      </c>
      <c r="C3617" s="1" t="s">
        <v>758</v>
      </c>
      <c r="K3617" s="1" t="s">
        <v>99</v>
      </c>
      <c r="L3617" s="1" t="s">
        <v>27</v>
      </c>
      <c r="N3617" s="1" t="s">
        <v>732</v>
      </c>
      <c r="O3617" s="1" t="s">
        <v>29</v>
      </c>
      <c r="R3617" s="1">
        <v>0.0</v>
      </c>
      <c r="S3617" s="1"/>
    </row>
    <row r="3618" ht="15.75" customHeight="1">
      <c r="A3618" s="1" t="s">
        <v>8099</v>
      </c>
      <c r="B3618" s="1" t="s">
        <v>8100</v>
      </c>
      <c r="C3618" s="1" t="s">
        <v>185</v>
      </c>
      <c r="K3618" s="1" t="s">
        <v>1910</v>
      </c>
      <c r="L3618" s="1" t="s">
        <v>1911</v>
      </c>
      <c r="N3618" s="1" t="s">
        <v>186</v>
      </c>
      <c r="O3618" s="1" t="s">
        <v>29</v>
      </c>
      <c r="R3618" s="1">
        <v>0.0</v>
      </c>
      <c r="S3618" s="1"/>
    </row>
    <row r="3619" ht="15.75" customHeight="1">
      <c r="A3619" s="1" t="s">
        <v>8101</v>
      </c>
      <c r="B3619" s="1" t="s">
        <v>8102</v>
      </c>
      <c r="C3619" s="1" t="s">
        <v>1786</v>
      </c>
      <c r="K3619" s="1" t="s">
        <v>99</v>
      </c>
      <c r="L3619" s="1" t="s">
        <v>27</v>
      </c>
      <c r="N3619" s="1" t="s">
        <v>1874</v>
      </c>
      <c r="O3619" s="1" t="s">
        <v>29</v>
      </c>
      <c r="R3619" s="1">
        <v>0.0</v>
      </c>
      <c r="S3619" s="1"/>
    </row>
    <row r="3620" ht="15.75" customHeight="1">
      <c r="A3620" s="1" t="s">
        <v>8103</v>
      </c>
      <c r="B3620" s="1" t="s">
        <v>8104</v>
      </c>
      <c r="C3620" s="1" t="s">
        <v>946</v>
      </c>
      <c r="K3620" s="1" t="s">
        <v>99</v>
      </c>
      <c r="L3620" s="1" t="s">
        <v>27</v>
      </c>
      <c r="N3620" s="1" t="s">
        <v>123</v>
      </c>
      <c r="O3620" s="1" t="s">
        <v>29</v>
      </c>
      <c r="R3620" s="1">
        <v>0.0</v>
      </c>
      <c r="S3620" s="1"/>
    </row>
    <row r="3621" ht="15.75" customHeight="1">
      <c r="A3621" s="1" t="s">
        <v>8105</v>
      </c>
      <c r="B3621" s="1" t="s">
        <v>8106</v>
      </c>
      <c r="C3621" s="1" t="s">
        <v>3033</v>
      </c>
      <c r="K3621" s="1" t="s">
        <v>99</v>
      </c>
      <c r="L3621" s="1" t="s">
        <v>27</v>
      </c>
      <c r="N3621" s="1" t="s">
        <v>123</v>
      </c>
      <c r="O3621" s="1" t="s">
        <v>29</v>
      </c>
      <c r="R3621" s="1">
        <v>0.0</v>
      </c>
      <c r="S3621" s="1"/>
    </row>
    <row r="3622" ht="15.75" customHeight="1">
      <c r="A3622" s="1" t="s">
        <v>8107</v>
      </c>
      <c r="B3622" s="1" t="s">
        <v>8108</v>
      </c>
      <c r="C3622" s="1" t="s">
        <v>148</v>
      </c>
      <c r="K3622" s="1" t="s">
        <v>99</v>
      </c>
      <c r="L3622" s="1" t="s">
        <v>27</v>
      </c>
      <c r="N3622" s="1" t="s">
        <v>143</v>
      </c>
      <c r="O3622" s="1" t="s">
        <v>29</v>
      </c>
      <c r="R3622" s="1">
        <v>0.0</v>
      </c>
      <c r="S3622" s="1"/>
    </row>
    <row r="3623" ht="15.75" customHeight="1">
      <c r="A3623" s="1" t="s">
        <v>8109</v>
      </c>
      <c r="B3623" s="1" t="s">
        <v>8110</v>
      </c>
      <c r="C3623" s="1" t="s">
        <v>1786</v>
      </c>
      <c r="K3623" s="1" t="s">
        <v>99</v>
      </c>
      <c r="L3623" s="1" t="s">
        <v>27</v>
      </c>
      <c r="N3623" s="1" t="s">
        <v>1874</v>
      </c>
      <c r="O3623" s="1" t="s">
        <v>29</v>
      </c>
      <c r="R3623" s="1">
        <v>0.0</v>
      </c>
      <c r="S3623" s="1"/>
    </row>
    <row r="3624" ht="15.75" customHeight="1">
      <c r="A3624" s="1" t="s">
        <v>8111</v>
      </c>
      <c r="B3624" s="1" t="s">
        <v>8112</v>
      </c>
      <c r="C3624" s="1" t="s">
        <v>174</v>
      </c>
      <c r="K3624" s="1" t="s">
        <v>2892</v>
      </c>
      <c r="L3624" s="1" t="s">
        <v>27</v>
      </c>
      <c r="N3624" s="1" t="s">
        <v>174</v>
      </c>
      <c r="O3624" s="1" t="s">
        <v>29</v>
      </c>
      <c r="R3624" s="1">
        <v>0.0</v>
      </c>
      <c r="S3624" s="1"/>
    </row>
    <row r="3625" ht="15.75" customHeight="1">
      <c r="A3625" s="1" t="s">
        <v>8113</v>
      </c>
      <c r="B3625" s="1" t="s">
        <v>8114</v>
      </c>
      <c r="C3625" s="1" t="s">
        <v>215</v>
      </c>
      <c r="K3625" s="1" t="s">
        <v>2892</v>
      </c>
      <c r="L3625" s="1" t="s">
        <v>27</v>
      </c>
      <c r="N3625" s="1" t="s">
        <v>216</v>
      </c>
      <c r="O3625" s="1" t="s">
        <v>29</v>
      </c>
      <c r="R3625" s="1">
        <v>0.0</v>
      </c>
      <c r="S3625" s="1"/>
    </row>
    <row r="3626" ht="15.75" customHeight="1">
      <c r="A3626" s="1" t="s">
        <v>8115</v>
      </c>
      <c r="B3626" s="1" t="s">
        <v>8116</v>
      </c>
      <c r="C3626" s="1" t="s">
        <v>148</v>
      </c>
      <c r="K3626" s="1" t="s">
        <v>2892</v>
      </c>
      <c r="L3626" s="1" t="s">
        <v>27</v>
      </c>
      <c r="N3626" s="1" t="s">
        <v>143</v>
      </c>
      <c r="O3626" s="1" t="s">
        <v>29</v>
      </c>
      <c r="R3626" s="1">
        <v>0.0</v>
      </c>
      <c r="S3626" s="1"/>
    </row>
    <row r="3627" ht="15.75" customHeight="1">
      <c r="A3627" s="1" t="s">
        <v>8117</v>
      </c>
      <c r="B3627" s="1" t="s">
        <v>8118</v>
      </c>
      <c r="C3627" s="1" t="s">
        <v>617</v>
      </c>
      <c r="K3627" s="1" t="s">
        <v>99</v>
      </c>
      <c r="L3627" s="1" t="s">
        <v>27</v>
      </c>
      <c r="N3627" s="1" t="s">
        <v>28</v>
      </c>
      <c r="O3627" s="1" t="s">
        <v>29</v>
      </c>
      <c r="R3627" s="1">
        <v>0.0</v>
      </c>
      <c r="S3627" s="1"/>
    </row>
    <row r="3628" ht="15.75" customHeight="1">
      <c r="A3628" s="1" t="s">
        <v>8119</v>
      </c>
      <c r="B3628" s="1" t="s">
        <v>8120</v>
      </c>
      <c r="C3628" s="1" t="s">
        <v>1786</v>
      </c>
      <c r="K3628" s="1" t="s">
        <v>99</v>
      </c>
      <c r="L3628" s="1" t="s">
        <v>27</v>
      </c>
      <c r="N3628" s="1" t="s">
        <v>1874</v>
      </c>
      <c r="O3628" s="1" t="s">
        <v>29</v>
      </c>
      <c r="R3628" s="1">
        <v>0.0</v>
      </c>
      <c r="S3628" s="1"/>
    </row>
    <row r="3629" ht="15.75" customHeight="1">
      <c r="A3629" s="1" t="s">
        <v>8121</v>
      </c>
      <c r="B3629" s="1" t="s">
        <v>8122</v>
      </c>
      <c r="C3629" s="1" t="s">
        <v>946</v>
      </c>
      <c r="K3629" s="1" t="s">
        <v>99</v>
      </c>
      <c r="L3629" s="1" t="s">
        <v>27</v>
      </c>
      <c r="N3629" s="1" t="s">
        <v>123</v>
      </c>
      <c r="O3629" s="1" t="s">
        <v>29</v>
      </c>
      <c r="R3629" s="1">
        <v>0.0</v>
      </c>
      <c r="S3629" s="1"/>
    </row>
    <row r="3630" ht="15.75" customHeight="1">
      <c r="A3630" s="1" t="s">
        <v>8123</v>
      </c>
      <c r="B3630" s="1" t="s">
        <v>8124</v>
      </c>
      <c r="C3630" s="1" t="s">
        <v>946</v>
      </c>
      <c r="K3630" s="1" t="s">
        <v>99</v>
      </c>
      <c r="L3630" s="1" t="s">
        <v>27</v>
      </c>
      <c r="N3630" s="1" t="s">
        <v>123</v>
      </c>
      <c r="O3630" s="1" t="s">
        <v>29</v>
      </c>
      <c r="R3630" s="1">
        <v>0.0</v>
      </c>
      <c r="S3630" s="1"/>
    </row>
    <row r="3631" ht="15.75" customHeight="1">
      <c r="A3631" s="1" t="s">
        <v>8125</v>
      </c>
      <c r="B3631" s="1" t="s">
        <v>8126</v>
      </c>
      <c r="C3631" s="1" t="s">
        <v>848</v>
      </c>
      <c r="K3631" s="1" t="s">
        <v>99</v>
      </c>
      <c r="L3631" s="1" t="s">
        <v>27</v>
      </c>
      <c r="N3631" s="1" t="s">
        <v>849</v>
      </c>
      <c r="O3631" s="1" t="s">
        <v>29</v>
      </c>
      <c r="R3631" s="1">
        <v>0.0</v>
      </c>
      <c r="S3631" s="1"/>
    </row>
    <row r="3632" ht="15.75" customHeight="1">
      <c r="A3632" s="1" t="s">
        <v>8127</v>
      </c>
      <c r="B3632" s="1" t="s">
        <v>8128</v>
      </c>
      <c r="C3632" s="1" t="s">
        <v>617</v>
      </c>
      <c r="K3632" s="1" t="s">
        <v>99</v>
      </c>
      <c r="L3632" s="1" t="s">
        <v>27</v>
      </c>
      <c r="N3632" s="1" t="s">
        <v>28</v>
      </c>
      <c r="O3632" s="1" t="s">
        <v>29</v>
      </c>
      <c r="R3632" s="1">
        <v>0.0</v>
      </c>
      <c r="S3632" s="1"/>
    </row>
    <row r="3633" ht="15.75" customHeight="1">
      <c r="A3633" s="1" t="s">
        <v>8129</v>
      </c>
      <c r="B3633" s="1" t="s">
        <v>8130</v>
      </c>
      <c r="C3633" s="1" t="s">
        <v>617</v>
      </c>
      <c r="K3633" s="1" t="s">
        <v>99</v>
      </c>
      <c r="L3633" s="1" t="s">
        <v>27</v>
      </c>
      <c r="N3633" s="1" t="s">
        <v>28</v>
      </c>
      <c r="O3633" s="1" t="s">
        <v>29</v>
      </c>
      <c r="R3633" s="1">
        <v>0.0</v>
      </c>
      <c r="S3633" s="1"/>
    </row>
    <row r="3634" ht="15.75" customHeight="1">
      <c r="A3634" s="1" t="s">
        <v>8131</v>
      </c>
      <c r="B3634" s="1" t="s">
        <v>8132</v>
      </c>
      <c r="C3634" s="1" t="s">
        <v>617</v>
      </c>
      <c r="K3634" s="1" t="s">
        <v>99</v>
      </c>
      <c r="L3634" s="1" t="s">
        <v>27</v>
      </c>
      <c r="N3634" s="1" t="s">
        <v>28</v>
      </c>
      <c r="O3634" s="1" t="s">
        <v>29</v>
      </c>
      <c r="R3634" s="1">
        <v>0.0</v>
      </c>
      <c r="S3634" s="1"/>
    </row>
    <row r="3635" ht="15.75" customHeight="1">
      <c r="A3635" s="1" t="s">
        <v>8133</v>
      </c>
      <c r="B3635" s="1" t="s">
        <v>8134</v>
      </c>
      <c r="C3635" s="1" t="s">
        <v>38</v>
      </c>
      <c r="K3635" s="1" t="s">
        <v>99</v>
      </c>
      <c r="L3635" s="1" t="s">
        <v>27</v>
      </c>
      <c r="N3635" s="1" t="s">
        <v>28</v>
      </c>
      <c r="O3635" s="1" t="s">
        <v>29</v>
      </c>
      <c r="R3635" s="1">
        <v>0.0</v>
      </c>
      <c r="S3635" s="1"/>
    </row>
    <row r="3636" ht="15.75" customHeight="1">
      <c r="A3636" s="1" t="s">
        <v>8135</v>
      </c>
      <c r="B3636" s="1" t="s">
        <v>8136</v>
      </c>
      <c r="C3636" s="1" t="s">
        <v>21</v>
      </c>
      <c r="K3636" s="1" t="s">
        <v>99</v>
      </c>
      <c r="L3636" s="1" t="s">
        <v>27</v>
      </c>
      <c r="N3636" s="1" t="s">
        <v>28</v>
      </c>
      <c r="O3636" s="1" t="s">
        <v>29</v>
      </c>
      <c r="R3636" s="1">
        <v>0.0</v>
      </c>
      <c r="S3636" s="1"/>
    </row>
    <row r="3637" ht="15.75" customHeight="1">
      <c r="A3637" s="1" t="s">
        <v>8137</v>
      </c>
      <c r="B3637" s="1" t="s">
        <v>8138</v>
      </c>
      <c r="C3637" s="1" t="s">
        <v>1949</v>
      </c>
      <c r="K3637" s="1" t="s">
        <v>99</v>
      </c>
      <c r="L3637" s="1" t="s">
        <v>27</v>
      </c>
      <c r="N3637" s="1" t="s">
        <v>1950</v>
      </c>
      <c r="O3637" s="1" t="s">
        <v>29</v>
      </c>
      <c r="R3637" s="1">
        <v>0.0</v>
      </c>
      <c r="S3637" s="1"/>
    </row>
    <row r="3638" ht="15.75" customHeight="1">
      <c r="A3638" s="1" t="s">
        <v>8139</v>
      </c>
      <c r="B3638" s="1" t="s">
        <v>8140</v>
      </c>
      <c r="C3638" s="1" t="s">
        <v>531</v>
      </c>
      <c r="K3638" s="1" t="s">
        <v>99</v>
      </c>
      <c r="L3638" s="1" t="s">
        <v>27</v>
      </c>
      <c r="N3638" s="1" t="s">
        <v>532</v>
      </c>
      <c r="O3638" s="1" t="s">
        <v>29</v>
      </c>
      <c r="R3638" s="1">
        <v>0.0</v>
      </c>
      <c r="S3638" s="1"/>
    </row>
    <row r="3639" ht="15.75" customHeight="1">
      <c r="A3639" s="1" t="s">
        <v>8141</v>
      </c>
      <c r="B3639" s="1" t="s">
        <v>8142</v>
      </c>
      <c r="C3639" s="1" t="s">
        <v>531</v>
      </c>
      <c r="K3639" s="1" t="s">
        <v>99</v>
      </c>
      <c r="L3639" s="1" t="s">
        <v>27</v>
      </c>
      <c r="N3639" s="1" t="s">
        <v>532</v>
      </c>
      <c r="O3639" s="1" t="s">
        <v>29</v>
      </c>
      <c r="R3639" s="1">
        <v>0.0</v>
      </c>
      <c r="S3639" s="1"/>
    </row>
    <row r="3640" ht="15.75" customHeight="1">
      <c r="A3640" s="1" t="s">
        <v>8143</v>
      </c>
      <c r="B3640" s="1" t="s">
        <v>8144</v>
      </c>
      <c r="C3640" s="1" t="s">
        <v>174</v>
      </c>
      <c r="K3640" s="1" t="s">
        <v>99</v>
      </c>
      <c r="L3640" s="1" t="s">
        <v>27</v>
      </c>
      <c r="N3640" s="1" t="s">
        <v>174</v>
      </c>
      <c r="O3640" s="1" t="s">
        <v>29</v>
      </c>
      <c r="R3640" s="1">
        <v>0.0</v>
      </c>
      <c r="S3640" s="1"/>
    </row>
    <row r="3641" ht="15.75" customHeight="1">
      <c r="A3641" s="1" t="s">
        <v>8145</v>
      </c>
      <c r="B3641" s="1" t="s">
        <v>8146</v>
      </c>
      <c r="C3641" s="1" t="s">
        <v>115</v>
      </c>
      <c r="K3641" s="1" t="s">
        <v>99</v>
      </c>
      <c r="L3641" s="1" t="s">
        <v>27</v>
      </c>
      <c r="N3641" s="1" t="s">
        <v>123</v>
      </c>
      <c r="O3641" s="1" t="s">
        <v>29</v>
      </c>
      <c r="R3641" s="1">
        <v>0.0</v>
      </c>
      <c r="S3641" s="1"/>
    </row>
    <row r="3642" ht="15.75" customHeight="1">
      <c r="A3642" s="1" t="s">
        <v>8147</v>
      </c>
      <c r="B3642" s="1" t="s">
        <v>8148</v>
      </c>
      <c r="C3642" s="1" t="s">
        <v>4875</v>
      </c>
      <c r="K3642" s="1" t="s">
        <v>99</v>
      </c>
      <c r="L3642" s="1" t="s">
        <v>27</v>
      </c>
      <c r="N3642" s="1" t="s">
        <v>163</v>
      </c>
      <c r="O3642" s="1" t="s">
        <v>29</v>
      </c>
      <c r="R3642" s="1">
        <v>0.0</v>
      </c>
      <c r="S3642" s="1"/>
    </row>
    <row r="3643" ht="15.75" customHeight="1">
      <c r="A3643" s="1" t="s">
        <v>8149</v>
      </c>
      <c r="B3643" s="1" t="s">
        <v>8150</v>
      </c>
      <c r="C3643" s="1" t="s">
        <v>174</v>
      </c>
      <c r="K3643" s="1" t="s">
        <v>1910</v>
      </c>
      <c r="L3643" s="1" t="s">
        <v>1911</v>
      </c>
      <c r="N3643" s="1" t="s">
        <v>174</v>
      </c>
      <c r="O3643" s="1" t="s">
        <v>29</v>
      </c>
      <c r="R3643" s="1">
        <v>0.0</v>
      </c>
      <c r="S3643" s="1"/>
    </row>
    <row r="3644" ht="15.75" customHeight="1">
      <c r="A3644" s="1" t="s">
        <v>8151</v>
      </c>
      <c r="B3644" s="1" t="s">
        <v>8152</v>
      </c>
      <c r="C3644" s="1" t="s">
        <v>162</v>
      </c>
      <c r="K3644" s="1" t="s">
        <v>99</v>
      </c>
      <c r="L3644" s="1" t="s">
        <v>27</v>
      </c>
      <c r="N3644" s="1" t="s">
        <v>163</v>
      </c>
      <c r="O3644" s="1" t="s">
        <v>29</v>
      </c>
      <c r="R3644" s="1">
        <v>0.0</v>
      </c>
      <c r="S3644" s="1"/>
    </row>
    <row r="3645" ht="15.75" customHeight="1">
      <c r="A3645" s="1" t="s">
        <v>8153</v>
      </c>
      <c r="B3645" s="1" t="s">
        <v>8154</v>
      </c>
      <c r="C3645" s="1" t="s">
        <v>174</v>
      </c>
      <c r="K3645" s="1" t="s">
        <v>99</v>
      </c>
      <c r="L3645" s="1" t="s">
        <v>27</v>
      </c>
      <c r="N3645" s="1" t="s">
        <v>174</v>
      </c>
      <c r="O3645" s="1" t="s">
        <v>29</v>
      </c>
      <c r="R3645" s="1">
        <v>0.0</v>
      </c>
      <c r="S3645" s="1"/>
    </row>
    <row r="3646" ht="15.75" customHeight="1">
      <c r="A3646" s="1" t="s">
        <v>8155</v>
      </c>
      <c r="B3646" s="1" t="s">
        <v>8156</v>
      </c>
      <c r="C3646" s="1" t="s">
        <v>148</v>
      </c>
      <c r="K3646" s="1" t="s">
        <v>99</v>
      </c>
      <c r="L3646" s="1" t="s">
        <v>27</v>
      </c>
      <c r="N3646" s="1" t="s">
        <v>143</v>
      </c>
      <c r="O3646" s="1" t="s">
        <v>29</v>
      </c>
      <c r="R3646" s="1">
        <v>0.0</v>
      </c>
      <c r="S3646" s="1"/>
    </row>
    <row r="3647" ht="15.75" customHeight="1">
      <c r="A3647" s="1" t="s">
        <v>8157</v>
      </c>
      <c r="B3647" s="1" t="s">
        <v>8158</v>
      </c>
      <c r="C3647" s="1" t="s">
        <v>1988</v>
      </c>
      <c r="K3647" s="1" t="s">
        <v>99</v>
      </c>
      <c r="L3647" s="1" t="s">
        <v>27</v>
      </c>
      <c r="N3647" s="1" t="s">
        <v>1989</v>
      </c>
      <c r="O3647" s="1" t="s">
        <v>29</v>
      </c>
      <c r="R3647" s="1">
        <v>0.0</v>
      </c>
      <c r="S3647" s="1"/>
    </row>
    <row r="3648" ht="15.75" customHeight="1">
      <c r="A3648" s="1" t="s">
        <v>8159</v>
      </c>
      <c r="B3648" s="1" t="s">
        <v>8160</v>
      </c>
      <c r="C3648" s="1" t="s">
        <v>1573</v>
      </c>
      <c r="K3648" s="1" t="s">
        <v>99</v>
      </c>
      <c r="L3648" s="1" t="s">
        <v>27</v>
      </c>
      <c r="N3648" s="1" t="s">
        <v>216</v>
      </c>
      <c r="O3648" s="1" t="s">
        <v>29</v>
      </c>
      <c r="R3648" s="1">
        <v>0.0</v>
      </c>
      <c r="S3648" s="1"/>
    </row>
    <row r="3649" ht="15.75" customHeight="1">
      <c r="A3649" s="1" t="s">
        <v>8161</v>
      </c>
      <c r="B3649" s="1" t="s">
        <v>8162</v>
      </c>
      <c r="C3649" s="1" t="s">
        <v>148</v>
      </c>
      <c r="K3649" s="1" t="s">
        <v>99</v>
      </c>
      <c r="L3649" s="1" t="s">
        <v>27</v>
      </c>
      <c r="N3649" s="1" t="s">
        <v>143</v>
      </c>
      <c r="O3649" s="1" t="s">
        <v>29</v>
      </c>
      <c r="R3649" s="1">
        <v>0.0</v>
      </c>
      <c r="S3649" s="1"/>
    </row>
    <row r="3650" ht="15.75" customHeight="1">
      <c r="A3650" s="1" t="s">
        <v>8163</v>
      </c>
      <c r="B3650" s="1" t="s">
        <v>8164</v>
      </c>
      <c r="C3650" s="1" t="s">
        <v>737</v>
      </c>
      <c r="K3650" s="1" t="s">
        <v>99</v>
      </c>
      <c r="L3650" s="1" t="s">
        <v>27</v>
      </c>
      <c r="N3650" s="1" t="s">
        <v>732</v>
      </c>
      <c r="O3650" s="1" t="s">
        <v>29</v>
      </c>
      <c r="R3650" s="1">
        <v>0.0</v>
      </c>
      <c r="S3650" s="1"/>
    </row>
    <row r="3651" ht="15.75" customHeight="1">
      <c r="A3651" s="1" t="s">
        <v>8165</v>
      </c>
      <c r="B3651" s="1" t="s">
        <v>8166</v>
      </c>
      <c r="C3651" s="1" t="s">
        <v>1786</v>
      </c>
      <c r="K3651" s="1" t="s">
        <v>99</v>
      </c>
      <c r="L3651" s="1" t="s">
        <v>27</v>
      </c>
      <c r="N3651" s="1" t="s">
        <v>1874</v>
      </c>
      <c r="O3651" s="1" t="s">
        <v>29</v>
      </c>
      <c r="R3651" s="1">
        <v>0.0</v>
      </c>
      <c r="S3651" s="1"/>
    </row>
    <row r="3652" ht="15.75" customHeight="1">
      <c r="A3652" s="1" t="s">
        <v>8167</v>
      </c>
      <c r="B3652" s="1" t="s">
        <v>8168</v>
      </c>
      <c r="C3652" s="1" t="s">
        <v>1786</v>
      </c>
      <c r="K3652" s="1" t="s">
        <v>99</v>
      </c>
      <c r="L3652" s="1" t="s">
        <v>27</v>
      </c>
      <c r="N3652" s="1" t="s">
        <v>1874</v>
      </c>
      <c r="O3652" s="1" t="s">
        <v>29</v>
      </c>
      <c r="R3652" s="1">
        <v>0.0</v>
      </c>
      <c r="S3652" s="1"/>
    </row>
    <row r="3653" ht="15.75" customHeight="1">
      <c r="A3653" s="1" t="s">
        <v>8169</v>
      </c>
      <c r="B3653" s="1" t="s">
        <v>8170</v>
      </c>
      <c r="C3653" s="1" t="s">
        <v>3104</v>
      </c>
      <c r="K3653" s="1" t="s">
        <v>99</v>
      </c>
      <c r="L3653" s="1" t="s">
        <v>27</v>
      </c>
      <c r="N3653" s="1" t="s">
        <v>849</v>
      </c>
      <c r="O3653" s="1" t="s">
        <v>29</v>
      </c>
      <c r="R3653" s="1">
        <v>0.0</v>
      </c>
      <c r="S3653" s="1"/>
    </row>
    <row r="3654" ht="15.75" customHeight="1">
      <c r="A3654" s="1" t="s">
        <v>8171</v>
      </c>
      <c r="B3654" s="1" t="s">
        <v>8172</v>
      </c>
      <c r="C3654" s="1" t="s">
        <v>4287</v>
      </c>
      <c r="K3654" s="1" t="s">
        <v>2892</v>
      </c>
      <c r="L3654" s="1" t="s">
        <v>27</v>
      </c>
      <c r="N3654" s="1" t="s">
        <v>28</v>
      </c>
      <c r="O3654" s="1" t="s">
        <v>29</v>
      </c>
      <c r="R3654" s="1">
        <v>0.0</v>
      </c>
      <c r="S3654" s="1"/>
    </row>
    <row r="3655" ht="15.75" customHeight="1">
      <c r="A3655" s="1" t="s">
        <v>8173</v>
      </c>
      <c r="B3655" s="1" t="s">
        <v>8174</v>
      </c>
      <c r="C3655" s="1" t="s">
        <v>617</v>
      </c>
      <c r="K3655" s="1" t="s">
        <v>99</v>
      </c>
      <c r="L3655" s="1" t="s">
        <v>27</v>
      </c>
      <c r="N3655" s="1" t="s">
        <v>28</v>
      </c>
      <c r="O3655" s="1" t="s">
        <v>29</v>
      </c>
      <c r="R3655" s="1">
        <v>0.0</v>
      </c>
      <c r="S3655" s="1"/>
    </row>
    <row r="3656" ht="15.75" customHeight="1">
      <c r="A3656" s="1" t="s">
        <v>8175</v>
      </c>
      <c r="B3656" s="1" t="s">
        <v>8176</v>
      </c>
      <c r="C3656" s="1" t="s">
        <v>630</v>
      </c>
      <c r="K3656" s="1" t="s">
        <v>99</v>
      </c>
      <c r="L3656" s="1" t="s">
        <v>27</v>
      </c>
      <c r="N3656" s="1" t="s">
        <v>28</v>
      </c>
      <c r="O3656" s="1" t="s">
        <v>29</v>
      </c>
      <c r="R3656" s="1">
        <v>0.0</v>
      </c>
      <c r="S3656" s="1"/>
    </row>
    <row r="3657" ht="15.75" customHeight="1">
      <c r="A3657" s="1" t="s">
        <v>8177</v>
      </c>
      <c r="B3657" s="1" t="s">
        <v>8178</v>
      </c>
      <c r="C3657" s="1" t="s">
        <v>630</v>
      </c>
      <c r="K3657" s="1" t="s">
        <v>99</v>
      </c>
      <c r="L3657" s="1" t="s">
        <v>27</v>
      </c>
      <c r="N3657" s="1" t="s">
        <v>28</v>
      </c>
      <c r="O3657" s="1" t="s">
        <v>29</v>
      </c>
      <c r="R3657" s="1">
        <v>0.0</v>
      </c>
      <c r="S3657" s="1"/>
    </row>
    <row r="3658" ht="15.75" customHeight="1">
      <c r="A3658" s="1" t="s">
        <v>8179</v>
      </c>
      <c r="B3658" s="1" t="s">
        <v>8180</v>
      </c>
      <c r="C3658" s="1" t="s">
        <v>21</v>
      </c>
      <c r="K3658" s="1" t="s">
        <v>99</v>
      </c>
      <c r="L3658" s="1" t="s">
        <v>27</v>
      </c>
      <c r="N3658" s="1" t="s">
        <v>28</v>
      </c>
      <c r="O3658" s="1" t="s">
        <v>29</v>
      </c>
      <c r="R3658" s="1">
        <v>0.0</v>
      </c>
      <c r="S3658" s="1"/>
    </row>
    <row r="3659" ht="15.75" customHeight="1">
      <c r="A3659" s="1" t="s">
        <v>8181</v>
      </c>
      <c r="B3659" s="1" t="s">
        <v>8182</v>
      </c>
      <c r="C3659" s="1" t="s">
        <v>38</v>
      </c>
      <c r="K3659" s="1" t="s">
        <v>99</v>
      </c>
      <c r="L3659" s="1" t="s">
        <v>27</v>
      </c>
      <c r="N3659" s="1" t="s">
        <v>28</v>
      </c>
      <c r="O3659" s="1" t="s">
        <v>29</v>
      </c>
      <c r="R3659" s="1">
        <v>0.0</v>
      </c>
      <c r="S3659" s="1"/>
    </row>
    <row r="3660" ht="15.75" customHeight="1">
      <c r="A3660" s="1" t="s">
        <v>8183</v>
      </c>
      <c r="B3660" s="1" t="s">
        <v>8184</v>
      </c>
      <c r="C3660" s="1" t="s">
        <v>38</v>
      </c>
      <c r="K3660" s="1" t="s">
        <v>99</v>
      </c>
      <c r="L3660" s="1" t="s">
        <v>27</v>
      </c>
      <c r="N3660" s="1" t="s">
        <v>28</v>
      </c>
      <c r="O3660" s="1" t="s">
        <v>29</v>
      </c>
      <c r="R3660" s="1">
        <v>0.0</v>
      </c>
      <c r="S3660" s="1"/>
    </row>
    <row r="3661" ht="15.75" customHeight="1">
      <c r="A3661" s="1" t="s">
        <v>8185</v>
      </c>
      <c r="B3661" s="1" t="s">
        <v>8186</v>
      </c>
      <c r="C3661" s="1" t="s">
        <v>1949</v>
      </c>
      <c r="K3661" s="1" t="s">
        <v>99</v>
      </c>
      <c r="L3661" s="1" t="s">
        <v>27</v>
      </c>
      <c r="N3661" s="1" t="s">
        <v>1950</v>
      </c>
      <c r="O3661" s="1" t="s">
        <v>29</v>
      </c>
      <c r="R3661" s="1">
        <v>0.0</v>
      </c>
      <c r="S3661" s="1"/>
    </row>
    <row r="3662" ht="15.75" customHeight="1">
      <c r="A3662" s="1" t="s">
        <v>8187</v>
      </c>
      <c r="B3662" s="1" t="s">
        <v>8188</v>
      </c>
      <c r="C3662" s="1" t="s">
        <v>531</v>
      </c>
      <c r="K3662" s="1" t="s">
        <v>99</v>
      </c>
      <c r="L3662" s="1" t="s">
        <v>27</v>
      </c>
      <c r="N3662" s="1" t="s">
        <v>532</v>
      </c>
      <c r="O3662" s="1" t="s">
        <v>29</v>
      </c>
      <c r="R3662" s="1">
        <v>0.0</v>
      </c>
      <c r="S3662" s="1"/>
    </row>
    <row r="3663" ht="15.75" customHeight="1">
      <c r="A3663" s="1" t="s">
        <v>8189</v>
      </c>
      <c r="B3663" s="1" t="s">
        <v>8190</v>
      </c>
      <c r="C3663" s="1" t="s">
        <v>148</v>
      </c>
      <c r="K3663" s="1" t="s">
        <v>99</v>
      </c>
      <c r="L3663" s="1" t="s">
        <v>27</v>
      </c>
      <c r="N3663" s="1" t="s">
        <v>143</v>
      </c>
      <c r="O3663" s="1" t="s">
        <v>29</v>
      </c>
      <c r="R3663" s="1">
        <v>0.0</v>
      </c>
      <c r="S3663" s="1"/>
    </row>
    <row r="3664" ht="15.75" customHeight="1">
      <c r="A3664" s="1" t="s">
        <v>8191</v>
      </c>
      <c r="B3664" s="1" t="s">
        <v>8192</v>
      </c>
      <c r="C3664" s="1" t="s">
        <v>174</v>
      </c>
      <c r="K3664" s="1" t="s">
        <v>1910</v>
      </c>
      <c r="L3664" s="1" t="s">
        <v>1911</v>
      </c>
      <c r="N3664" s="1" t="s">
        <v>174</v>
      </c>
      <c r="O3664" s="1" t="s">
        <v>29</v>
      </c>
      <c r="R3664" s="1">
        <v>0.0</v>
      </c>
      <c r="S3664" s="1"/>
    </row>
    <row r="3665" ht="15.75" customHeight="1">
      <c r="A3665" s="1" t="s">
        <v>8193</v>
      </c>
      <c r="B3665" s="1" t="s">
        <v>8194</v>
      </c>
      <c r="C3665" s="1" t="s">
        <v>174</v>
      </c>
      <c r="K3665" s="1" t="s">
        <v>1910</v>
      </c>
      <c r="L3665" s="1" t="s">
        <v>1911</v>
      </c>
      <c r="N3665" s="1" t="s">
        <v>174</v>
      </c>
      <c r="O3665" s="1" t="s">
        <v>29</v>
      </c>
      <c r="R3665" s="1">
        <v>0.0</v>
      </c>
      <c r="S3665" s="1"/>
    </row>
    <row r="3666" ht="15.75" customHeight="1">
      <c r="A3666" s="1" t="s">
        <v>8195</v>
      </c>
      <c r="B3666" s="1" t="s">
        <v>8196</v>
      </c>
      <c r="C3666" s="1" t="s">
        <v>8197</v>
      </c>
      <c r="K3666" s="1" t="s">
        <v>1910</v>
      </c>
      <c r="L3666" s="1" t="s">
        <v>1911</v>
      </c>
      <c r="N3666" s="1" t="s">
        <v>28</v>
      </c>
      <c r="O3666" s="1" t="s">
        <v>29</v>
      </c>
      <c r="R3666" s="1">
        <v>0.0</v>
      </c>
      <c r="S3666" s="1"/>
    </row>
    <row r="3667" ht="15.75" customHeight="1">
      <c r="A3667" s="1" t="s">
        <v>8198</v>
      </c>
      <c r="B3667" s="1" t="s">
        <v>8199</v>
      </c>
      <c r="C3667" s="1" t="s">
        <v>6186</v>
      </c>
      <c r="K3667" s="1" t="s">
        <v>1910</v>
      </c>
      <c r="L3667" s="1" t="s">
        <v>1911</v>
      </c>
      <c r="N3667" s="1" t="s">
        <v>1210</v>
      </c>
      <c r="O3667" s="1" t="s">
        <v>29</v>
      </c>
      <c r="R3667" s="1">
        <v>0.0</v>
      </c>
      <c r="S3667" s="1"/>
    </row>
    <row r="3668" ht="15.75" customHeight="1">
      <c r="A3668" s="1" t="s">
        <v>8200</v>
      </c>
      <c r="B3668" s="1" t="s">
        <v>8201</v>
      </c>
      <c r="C3668" s="1" t="s">
        <v>38</v>
      </c>
      <c r="K3668" s="1" t="s">
        <v>99</v>
      </c>
      <c r="L3668" s="1" t="s">
        <v>27</v>
      </c>
      <c r="N3668" s="1" t="s">
        <v>28</v>
      </c>
      <c r="O3668" s="1" t="s">
        <v>29</v>
      </c>
      <c r="R3668" s="1">
        <v>0.0</v>
      </c>
      <c r="S3668" s="1"/>
    </row>
    <row r="3669" ht="15.75" customHeight="1">
      <c r="A3669" s="1" t="s">
        <v>8202</v>
      </c>
      <c r="B3669" s="1" t="s">
        <v>8203</v>
      </c>
      <c r="C3669" s="1" t="s">
        <v>1716</v>
      </c>
      <c r="K3669" s="1" t="s">
        <v>99</v>
      </c>
      <c r="L3669" s="1" t="s">
        <v>27</v>
      </c>
      <c r="N3669" s="1" t="s">
        <v>163</v>
      </c>
      <c r="O3669" s="1" t="s">
        <v>29</v>
      </c>
      <c r="R3669" s="1">
        <v>0.0</v>
      </c>
      <c r="S3669" s="1"/>
    </row>
    <row r="3670" ht="15.75" customHeight="1">
      <c r="A3670" s="1" t="s">
        <v>8204</v>
      </c>
      <c r="B3670" s="1" t="s">
        <v>8205</v>
      </c>
      <c r="C3670" s="1" t="s">
        <v>148</v>
      </c>
      <c r="K3670" s="1" t="s">
        <v>99</v>
      </c>
      <c r="L3670" s="1" t="s">
        <v>27</v>
      </c>
      <c r="N3670" s="1" t="s">
        <v>143</v>
      </c>
      <c r="O3670" s="1" t="s">
        <v>29</v>
      </c>
      <c r="R3670" s="1">
        <v>0.0</v>
      </c>
      <c r="S3670" s="1"/>
    </row>
    <row r="3671" ht="15.75" customHeight="1">
      <c r="A3671" s="1" t="s">
        <v>8206</v>
      </c>
      <c r="B3671" s="1" t="s">
        <v>8207</v>
      </c>
      <c r="C3671" s="1" t="s">
        <v>4629</v>
      </c>
      <c r="K3671" s="1" t="s">
        <v>99</v>
      </c>
      <c r="L3671" s="1" t="s">
        <v>27</v>
      </c>
      <c r="N3671" s="1" t="s">
        <v>1950</v>
      </c>
      <c r="O3671" s="1" t="s">
        <v>29</v>
      </c>
      <c r="R3671" s="1">
        <v>0.0</v>
      </c>
      <c r="S3671" s="1"/>
    </row>
    <row r="3672" ht="15.75" customHeight="1">
      <c r="A3672" s="1" t="s">
        <v>8208</v>
      </c>
      <c r="B3672" s="1" t="s">
        <v>8209</v>
      </c>
      <c r="C3672" s="1" t="s">
        <v>848</v>
      </c>
      <c r="K3672" s="1" t="s">
        <v>5789</v>
      </c>
      <c r="L3672" s="1" t="s">
        <v>27</v>
      </c>
      <c r="N3672" s="1" t="s">
        <v>849</v>
      </c>
      <c r="O3672" s="1" t="s">
        <v>29</v>
      </c>
      <c r="R3672" s="1">
        <v>0.0</v>
      </c>
      <c r="S3672" s="1"/>
    </row>
    <row r="3673" ht="15.75" customHeight="1">
      <c r="A3673" s="1" t="s">
        <v>8210</v>
      </c>
      <c r="B3673" s="1" t="s">
        <v>8211</v>
      </c>
      <c r="C3673" s="1" t="s">
        <v>1786</v>
      </c>
      <c r="K3673" s="1" t="s">
        <v>99</v>
      </c>
      <c r="L3673" s="1" t="s">
        <v>27</v>
      </c>
      <c r="N3673" s="1" t="s">
        <v>1874</v>
      </c>
      <c r="O3673" s="1" t="s">
        <v>29</v>
      </c>
      <c r="R3673" s="1">
        <v>0.0</v>
      </c>
      <c r="S3673" s="1"/>
    </row>
    <row r="3674" ht="15.75" customHeight="1">
      <c r="A3674" s="1" t="s">
        <v>8212</v>
      </c>
      <c r="B3674" s="1" t="s">
        <v>8213</v>
      </c>
      <c r="C3674" s="1" t="s">
        <v>2089</v>
      </c>
      <c r="K3674" s="1" t="s">
        <v>99</v>
      </c>
      <c r="L3674" s="1" t="s">
        <v>27</v>
      </c>
      <c r="N3674" s="1" t="s">
        <v>506</v>
      </c>
      <c r="O3674" s="1" t="s">
        <v>29</v>
      </c>
      <c r="R3674" s="1">
        <v>0.0</v>
      </c>
      <c r="S3674" s="1"/>
    </row>
    <row r="3675" ht="15.75" customHeight="1">
      <c r="A3675" s="1" t="s">
        <v>8214</v>
      </c>
      <c r="B3675" s="1" t="s">
        <v>8215</v>
      </c>
      <c r="C3675" s="1" t="s">
        <v>1716</v>
      </c>
      <c r="K3675" s="1" t="s">
        <v>99</v>
      </c>
      <c r="L3675" s="1" t="s">
        <v>27</v>
      </c>
      <c r="N3675" s="1" t="s">
        <v>163</v>
      </c>
      <c r="O3675" s="1" t="s">
        <v>29</v>
      </c>
      <c r="R3675" s="1">
        <v>0.0</v>
      </c>
      <c r="S3675" s="1"/>
    </row>
    <row r="3676" ht="15.75" customHeight="1">
      <c r="A3676" s="1" t="s">
        <v>8216</v>
      </c>
      <c r="B3676" s="1" t="s">
        <v>8217</v>
      </c>
      <c r="C3676" s="1" t="s">
        <v>1716</v>
      </c>
      <c r="K3676" s="1" t="s">
        <v>99</v>
      </c>
      <c r="L3676" s="1" t="s">
        <v>27</v>
      </c>
      <c r="N3676" s="1" t="s">
        <v>163</v>
      </c>
      <c r="O3676" s="1" t="s">
        <v>29</v>
      </c>
      <c r="R3676" s="1">
        <v>0.0</v>
      </c>
      <c r="S3676" s="1"/>
    </row>
    <row r="3677" ht="15.75" customHeight="1">
      <c r="A3677" s="1" t="s">
        <v>8218</v>
      </c>
      <c r="B3677" s="1" t="s">
        <v>8219</v>
      </c>
      <c r="C3677" s="1" t="s">
        <v>148</v>
      </c>
      <c r="K3677" s="1" t="s">
        <v>2892</v>
      </c>
      <c r="L3677" s="1" t="s">
        <v>27</v>
      </c>
      <c r="N3677" s="1" t="s">
        <v>143</v>
      </c>
      <c r="O3677" s="1" t="s">
        <v>29</v>
      </c>
      <c r="R3677" s="1">
        <v>0.0</v>
      </c>
      <c r="S3677" s="1"/>
    </row>
    <row r="3678" ht="15.75" customHeight="1">
      <c r="A3678" s="1" t="s">
        <v>8220</v>
      </c>
      <c r="B3678" s="1" t="s">
        <v>8221</v>
      </c>
      <c r="C3678" s="1" t="s">
        <v>737</v>
      </c>
      <c r="K3678" s="1" t="s">
        <v>99</v>
      </c>
      <c r="L3678" s="1" t="s">
        <v>27</v>
      </c>
      <c r="N3678" s="1" t="s">
        <v>732</v>
      </c>
      <c r="O3678" s="1" t="s">
        <v>29</v>
      </c>
      <c r="R3678" s="1">
        <v>0.0</v>
      </c>
      <c r="S3678" s="1"/>
    </row>
    <row r="3679" ht="15.75" customHeight="1">
      <c r="A3679" s="1" t="s">
        <v>8222</v>
      </c>
      <c r="B3679" s="1" t="s">
        <v>8223</v>
      </c>
      <c r="C3679" s="1" t="s">
        <v>1786</v>
      </c>
      <c r="K3679" s="1" t="s">
        <v>99</v>
      </c>
      <c r="L3679" s="1" t="s">
        <v>27</v>
      </c>
      <c r="N3679" s="1" t="s">
        <v>1874</v>
      </c>
      <c r="O3679" s="1" t="s">
        <v>29</v>
      </c>
      <c r="R3679" s="1">
        <v>0.0</v>
      </c>
      <c r="S3679" s="1"/>
    </row>
    <row r="3680" ht="15.75" customHeight="1">
      <c r="A3680" s="1" t="s">
        <v>8224</v>
      </c>
      <c r="B3680" s="1" t="s">
        <v>8225</v>
      </c>
      <c r="C3680" s="1" t="s">
        <v>946</v>
      </c>
      <c r="K3680" s="1" t="s">
        <v>99</v>
      </c>
      <c r="L3680" s="1" t="s">
        <v>27</v>
      </c>
      <c r="N3680" s="1" t="s">
        <v>123</v>
      </c>
      <c r="O3680" s="1" t="s">
        <v>29</v>
      </c>
      <c r="R3680" s="1">
        <v>0.0</v>
      </c>
      <c r="S3680" s="1"/>
    </row>
    <row r="3681" ht="15.75" customHeight="1">
      <c r="A3681" s="1" t="s">
        <v>8226</v>
      </c>
      <c r="B3681" s="1" t="s">
        <v>8227</v>
      </c>
      <c r="C3681" s="1" t="s">
        <v>617</v>
      </c>
      <c r="K3681" s="1" t="s">
        <v>99</v>
      </c>
      <c r="L3681" s="1" t="s">
        <v>27</v>
      </c>
      <c r="N3681" s="1" t="s">
        <v>28</v>
      </c>
      <c r="O3681" s="1" t="s">
        <v>29</v>
      </c>
      <c r="R3681" s="1">
        <v>0.0</v>
      </c>
      <c r="S3681" s="1"/>
    </row>
    <row r="3682" ht="15.75" customHeight="1">
      <c r="A3682" s="1" t="s">
        <v>8228</v>
      </c>
      <c r="B3682" s="1" t="s">
        <v>8229</v>
      </c>
      <c r="C3682" s="1" t="s">
        <v>617</v>
      </c>
      <c r="K3682" s="1" t="s">
        <v>99</v>
      </c>
      <c r="L3682" s="1" t="s">
        <v>27</v>
      </c>
      <c r="N3682" s="1" t="s">
        <v>28</v>
      </c>
      <c r="O3682" s="1" t="s">
        <v>29</v>
      </c>
      <c r="R3682" s="1">
        <v>0.0</v>
      </c>
      <c r="S3682" s="1"/>
    </row>
    <row r="3683" ht="15.75" customHeight="1">
      <c r="A3683" s="1" t="s">
        <v>8230</v>
      </c>
      <c r="B3683" s="1" t="s">
        <v>8231</v>
      </c>
      <c r="C3683" s="1" t="s">
        <v>53</v>
      </c>
      <c r="K3683" s="1" t="s">
        <v>99</v>
      </c>
      <c r="L3683" s="1" t="s">
        <v>27</v>
      </c>
      <c r="N3683" s="1" t="s">
        <v>28</v>
      </c>
      <c r="O3683" s="1" t="s">
        <v>29</v>
      </c>
      <c r="R3683" s="1">
        <v>0.0</v>
      </c>
      <c r="S3683" s="1"/>
    </row>
    <row r="3684" ht="15.75" customHeight="1">
      <c r="A3684" s="1" t="s">
        <v>8232</v>
      </c>
      <c r="B3684" s="1" t="s">
        <v>8233</v>
      </c>
      <c r="C3684" s="1" t="s">
        <v>38</v>
      </c>
      <c r="K3684" s="1" t="s">
        <v>99</v>
      </c>
      <c r="L3684" s="1" t="s">
        <v>27</v>
      </c>
      <c r="N3684" s="1" t="s">
        <v>28</v>
      </c>
      <c r="O3684" s="1" t="s">
        <v>29</v>
      </c>
      <c r="R3684" s="1">
        <v>0.0</v>
      </c>
      <c r="S3684" s="1"/>
    </row>
    <row r="3685" ht="15.75" customHeight="1">
      <c r="A3685" s="1" t="s">
        <v>8234</v>
      </c>
      <c r="B3685" s="1" t="s">
        <v>8235</v>
      </c>
      <c r="C3685" s="1" t="s">
        <v>1949</v>
      </c>
      <c r="K3685" s="1" t="s">
        <v>99</v>
      </c>
      <c r="L3685" s="1" t="s">
        <v>27</v>
      </c>
      <c r="N3685" s="1" t="s">
        <v>1950</v>
      </c>
      <c r="O3685" s="1" t="s">
        <v>29</v>
      </c>
      <c r="R3685" s="1">
        <v>0.0</v>
      </c>
      <c r="S3685" s="1"/>
    </row>
    <row r="3686" ht="15.75" customHeight="1">
      <c r="A3686" s="1" t="s">
        <v>8236</v>
      </c>
      <c r="B3686" s="1" t="s">
        <v>8237</v>
      </c>
      <c r="C3686" s="1" t="s">
        <v>174</v>
      </c>
      <c r="K3686" s="1" t="s">
        <v>99</v>
      </c>
      <c r="L3686" s="1" t="s">
        <v>27</v>
      </c>
      <c r="N3686" s="1" t="s">
        <v>174</v>
      </c>
      <c r="O3686" s="1" t="s">
        <v>29</v>
      </c>
      <c r="R3686" s="1">
        <v>0.0</v>
      </c>
      <c r="S3686" s="1"/>
    </row>
    <row r="3687" ht="15.75" customHeight="1">
      <c r="A3687" s="1" t="s">
        <v>8238</v>
      </c>
      <c r="B3687" s="1" t="s">
        <v>8239</v>
      </c>
      <c r="C3687" s="1" t="s">
        <v>148</v>
      </c>
      <c r="K3687" s="1" t="s">
        <v>1910</v>
      </c>
      <c r="L3687" s="1" t="s">
        <v>1911</v>
      </c>
      <c r="N3687" s="1" t="s">
        <v>143</v>
      </c>
      <c r="O3687" s="1" t="s">
        <v>29</v>
      </c>
      <c r="R3687" s="1">
        <v>0.0</v>
      </c>
      <c r="S3687" s="1"/>
    </row>
    <row r="3688" ht="15.75" customHeight="1">
      <c r="A3688" s="1" t="s">
        <v>8240</v>
      </c>
      <c r="B3688" s="1" t="s">
        <v>8241</v>
      </c>
      <c r="C3688" s="1" t="s">
        <v>8242</v>
      </c>
      <c r="K3688" s="1" t="s">
        <v>1910</v>
      </c>
      <c r="L3688" s="1" t="s">
        <v>1911</v>
      </c>
      <c r="N3688" s="1" t="s">
        <v>1210</v>
      </c>
      <c r="O3688" s="1" t="s">
        <v>29</v>
      </c>
      <c r="R3688" s="1">
        <v>0.0</v>
      </c>
      <c r="S3688" s="1"/>
    </row>
    <row r="3689" ht="15.75" customHeight="1">
      <c r="A3689" s="1" t="s">
        <v>8243</v>
      </c>
      <c r="B3689" s="1" t="s">
        <v>8244</v>
      </c>
      <c r="C3689" s="1" t="s">
        <v>2372</v>
      </c>
      <c r="K3689" s="1" t="s">
        <v>1910</v>
      </c>
      <c r="L3689" s="1" t="s">
        <v>1911</v>
      </c>
      <c r="N3689" s="1" t="s">
        <v>1210</v>
      </c>
      <c r="O3689" s="1" t="s">
        <v>29</v>
      </c>
      <c r="R3689" s="1">
        <v>0.0</v>
      </c>
      <c r="S3689" s="1"/>
    </row>
    <row r="3690" ht="15.75" customHeight="1">
      <c r="A3690" s="1" t="s">
        <v>8245</v>
      </c>
      <c r="B3690" s="1" t="s">
        <v>8246</v>
      </c>
      <c r="C3690" s="1" t="s">
        <v>162</v>
      </c>
      <c r="K3690" s="1" t="s">
        <v>99</v>
      </c>
      <c r="L3690" s="1" t="s">
        <v>27</v>
      </c>
      <c r="N3690" s="1" t="s">
        <v>163</v>
      </c>
      <c r="O3690" s="1" t="s">
        <v>29</v>
      </c>
      <c r="R3690" s="1">
        <v>0.0</v>
      </c>
      <c r="S3690" s="1"/>
    </row>
    <row r="3691" ht="15.75" customHeight="1">
      <c r="A3691" s="1" t="s">
        <v>8247</v>
      </c>
      <c r="B3691" s="1" t="s">
        <v>8248</v>
      </c>
      <c r="C3691" s="1" t="s">
        <v>1786</v>
      </c>
      <c r="K3691" s="1" t="s">
        <v>99</v>
      </c>
      <c r="L3691" s="1" t="s">
        <v>27</v>
      </c>
      <c r="N3691" s="1" t="s">
        <v>1874</v>
      </c>
      <c r="O3691" s="1" t="s">
        <v>29</v>
      </c>
      <c r="R3691" s="1">
        <v>0.0</v>
      </c>
      <c r="S3691" s="1"/>
    </row>
    <row r="3692" ht="15.75" customHeight="1">
      <c r="A3692" s="1" t="s">
        <v>8249</v>
      </c>
      <c r="B3692" s="1" t="s">
        <v>8250</v>
      </c>
      <c r="C3692" s="1" t="s">
        <v>1786</v>
      </c>
      <c r="K3692" s="1" t="s">
        <v>99</v>
      </c>
      <c r="L3692" s="1" t="s">
        <v>27</v>
      </c>
      <c r="N3692" s="1" t="s">
        <v>1874</v>
      </c>
      <c r="O3692" s="1" t="s">
        <v>29</v>
      </c>
      <c r="R3692" s="1">
        <v>0.0</v>
      </c>
      <c r="S3692" s="1"/>
    </row>
    <row r="3693" ht="15.75" customHeight="1">
      <c r="A3693" s="1" t="s">
        <v>8251</v>
      </c>
      <c r="B3693" s="1" t="s">
        <v>8252</v>
      </c>
      <c r="C3693" s="1" t="s">
        <v>617</v>
      </c>
      <c r="K3693" s="1" t="s">
        <v>99</v>
      </c>
      <c r="L3693" s="1" t="s">
        <v>27</v>
      </c>
      <c r="N3693" s="1" t="s">
        <v>28</v>
      </c>
      <c r="O3693" s="1" t="s">
        <v>29</v>
      </c>
      <c r="R3693" s="1">
        <v>0.0</v>
      </c>
      <c r="S3693" s="1"/>
    </row>
    <row r="3694" ht="15.75" customHeight="1">
      <c r="A3694" s="1" t="s">
        <v>8253</v>
      </c>
      <c r="B3694" s="1" t="s">
        <v>8254</v>
      </c>
      <c r="C3694" s="1" t="s">
        <v>630</v>
      </c>
      <c r="K3694" s="1" t="s">
        <v>99</v>
      </c>
      <c r="L3694" s="1" t="s">
        <v>27</v>
      </c>
      <c r="N3694" s="1" t="s">
        <v>28</v>
      </c>
      <c r="O3694" s="1" t="s">
        <v>29</v>
      </c>
      <c r="R3694" s="1">
        <v>0.0</v>
      </c>
      <c r="S3694" s="1"/>
    </row>
    <row r="3695" ht="15.75" customHeight="1">
      <c r="A3695" s="1" t="s">
        <v>8255</v>
      </c>
      <c r="B3695" s="1" t="s">
        <v>8256</v>
      </c>
      <c r="C3695" s="1" t="s">
        <v>617</v>
      </c>
      <c r="K3695" s="1" t="s">
        <v>99</v>
      </c>
      <c r="L3695" s="1" t="s">
        <v>27</v>
      </c>
      <c r="N3695" s="1" t="s">
        <v>28</v>
      </c>
      <c r="O3695" s="1" t="s">
        <v>29</v>
      </c>
      <c r="R3695" s="1">
        <v>0.0</v>
      </c>
      <c r="S3695" s="1"/>
    </row>
    <row r="3696" ht="15.75" customHeight="1">
      <c r="A3696" s="1" t="s">
        <v>8257</v>
      </c>
      <c r="B3696" s="1" t="s">
        <v>8258</v>
      </c>
      <c r="C3696" s="1" t="s">
        <v>617</v>
      </c>
      <c r="K3696" s="1" t="s">
        <v>99</v>
      </c>
      <c r="L3696" s="1" t="s">
        <v>27</v>
      </c>
      <c r="N3696" s="1" t="s">
        <v>28</v>
      </c>
      <c r="O3696" s="1" t="s">
        <v>29</v>
      </c>
      <c r="R3696" s="1">
        <v>0.0</v>
      </c>
      <c r="S3696" s="1"/>
    </row>
    <row r="3697" ht="15.75" customHeight="1">
      <c r="A3697" s="1" t="s">
        <v>8259</v>
      </c>
      <c r="B3697" s="1" t="s">
        <v>8260</v>
      </c>
      <c r="C3697" s="1" t="s">
        <v>617</v>
      </c>
      <c r="K3697" s="1" t="s">
        <v>99</v>
      </c>
      <c r="L3697" s="1" t="s">
        <v>27</v>
      </c>
      <c r="N3697" s="1" t="s">
        <v>28</v>
      </c>
      <c r="O3697" s="1" t="s">
        <v>29</v>
      </c>
      <c r="R3697" s="1">
        <v>0.0</v>
      </c>
      <c r="S3697" s="1"/>
    </row>
    <row r="3698" ht="15.75" customHeight="1">
      <c r="A3698" s="1" t="s">
        <v>8261</v>
      </c>
      <c r="B3698" s="1" t="s">
        <v>8262</v>
      </c>
      <c r="C3698" s="1" t="s">
        <v>21</v>
      </c>
      <c r="K3698" s="1" t="s">
        <v>99</v>
      </c>
      <c r="L3698" s="1" t="s">
        <v>27</v>
      </c>
      <c r="N3698" s="1" t="s">
        <v>28</v>
      </c>
      <c r="O3698" s="1" t="s">
        <v>29</v>
      </c>
      <c r="R3698" s="1">
        <v>0.0</v>
      </c>
      <c r="S3698" s="1"/>
    </row>
    <row r="3699" ht="15.75" customHeight="1">
      <c r="A3699" s="1" t="s">
        <v>8263</v>
      </c>
      <c r="B3699" s="1" t="s">
        <v>8264</v>
      </c>
      <c r="C3699" s="1" t="s">
        <v>21</v>
      </c>
      <c r="K3699" s="1" t="s">
        <v>99</v>
      </c>
      <c r="L3699" s="1" t="s">
        <v>27</v>
      </c>
      <c r="N3699" s="1" t="s">
        <v>28</v>
      </c>
      <c r="O3699" s="1" t="s">
        <v>29</v>
      </c>
      <c r="R3699" s="1">
        <v>0.0</v>
      </c>
      <c r="S3699" s="1"/>
    </row>
    <row r="3700" ht="15.75" customHeight="1">
      <c r="A3700" s="1" t="s">
        <v>8265</v>
      </c>
      <c r="B3700" s="1" t="s">
        <v>8266</v>
      </c>
      <c r="C3700" s="1" t="s">
        <v>21</v>
      </c>
      <c r="K3700" s="1" t="s">
        <v>99</v>
      </c>
      <c r="L3700" s="1" t="s">
        <v>27</v>
      </c>
      <c r="N3700" s="1" t="s">
        <v>28</v>
      </c>
      <c r="O3700" s="1" t="s">
        <v>29</v>
      </c>
      <c r="R3700" s="1">
        <v>0.0</v>
      </c>
      <c r="S3700" s="1"/>
    </row>
    <row r="3701" ht="15.75" customHeight="1">
      <c r="A3701" s="1" t="s">
        <v>8267</v>
      </c>
      <c r="B3701" s="1" t="s">
        <v>8268</v>
      </c>
      <c r="C3701" s="1" t="s">
        <v>531</v>
      </c>
      <c r="K3701" s="1" t="s">
        <v>99</v>
      </c>
      <c r="L3701" s="1" t="s">
        <v>27</v>
      </c>
      <c r="N3701" s="1" t="s">
        <v>532</v>
      </c>
      <c r="O3701" s="1" t="s">
        <v>29</v>
      </c>
      <c r="R3701" s="1">
        <v>0.0</v>
      </c>
      <c r="S3701" s="1"/>
    </row>
    <row r="3702" ht="15.75" customHeight="1">
      <c r="A3702" s="1" t="s">
        <v>8269</v>
      </c>
      <c r="B3702" s="1" t="s">
        <v>8270</v>
      </c>
      <c r="C3702" s="1" t="s">
        <v>531</v>
      </c>
      <c r="K3702" s="1" t="s">
        <v>99</v>
      </c>
      <c r="L3702" s="1" t="s">
        <v>27</v>
      </c>
      <c r="N3702" s="1" t="s">
        <v>532</v>
      </c>
      <c r="O3702" s="1" t="s">
        <v>29</v>
      </c>
      <c r="R3702" s="1">
        <v>0.0</v>
      </c>
      <c r="S3702" s="1"/>
    </row>
    <row r="3703" ht="15.75" customHeight="1">
      <c r="A3703" s="1" t="s">
        <v>8271</v>
      </c>
      <c r="B3703" s="1" t="s">
        <v>8272</v>
      </c>
      <c r="C3703" s="1" t="s">
        <v>4632</v>
      </c>
      <c r="K3703" s="1" t="s">
        <v>99</v>
      </c>
      <c r="L3703" s="1" t="s">
        <v>27</v>
      </c>
      <c r="N3703" s="1" t="s">
        <v>1989</v>
      </c>
      <c r="O3703" s="1" t="s">
        <v>29</v>
      </c>
      <c r="R3703" s="1">
        <v>0.0</v>
      </c>
      <c r="S3703" s="1"/>
    </row>
    <row r="3704" ht="15.75" customHeight="1">
      <c r="A3704" s="1" t="s">
        <v>8273</v>
      </c>
      <c r="B3704" s="1" t="s">
        <v>8274</v>
      </c>
      <c r="C3704" s="1" t="s">
        <v>115</v>
      </c>
      <c r="K3704" s="1" t="s">
        <v>99</v>
      </c>
      <c r="L3704" s="1" t="s">
        <v>27</v>
      </c>
      <c r="N3704" s="1" t="s">
        <v>123</v>
      </c>
      <c r="O3704" s="1" t="s">
        <v>29</v>
      </c>
      <c r="R3704" s="1">
        <v>0.0</v>
      </c>
      <c r="S3704" s="1"/>
    </row>
    <row r="3705" ht="15.75" customHeight="1">
      <c r="A3705" s="1" t="s">
        <v>8275</v>
      </c>
      <c r="B3705" s="1" t="s">
        <v>8276</v>
      </c>
      <c r="C3705" s="1" t="s">
        <v>4898</v>
      </c>
      <c r="K3705" s="1" t="s">
        <v>99</v>
      </c>
      <c r="L3705" s="1" t="s">
        <v>27</v>
      </c>
      <c r="N3705" s="1" t="s">
        <v>163</v>
      </c>
      <c r="O3705" s="1" t="s">
        <v>29</v>
      </c>
      <c r="R3705" s="1">
        <v>0.0</v>
      </c>
      <c r="S3705" s="1"/>
    </row>
    <row r="3706" ht="15.75" customHeight="1">
      <c r="A3706" s="1" t="s">
        <v>8277</v>
      </c>
      <c r="B3706" s="1" t="s">
        <v>8278</v>
      </c>
      <c r="C3706" s="1" t="s">
        <v>531</v>
      </c>
      <c r="K3706" s="1" t="s">
        <v>1910</v>
      </c>
      <c r="L3706" s="1" t="s">
        <v>1911</v>
      </c>
      <c r="N3706" s="1" t="s">
        <v>532</v>
      </c>
      <c r="O3706" s="1" t="s">
        <v>29</v>
      </c>
      <c r="R3706" s="1">
        <v>0.0</v>
      </c>
      <c r="S3706" s="1"/>
    </row>
    <row r="3707" ht="15.75" customHeight="1">
      <c r="A3707" s="1" t="s">
        <v>8279</v>
      </c>
      <c r="B3707" s="1" t="s">
        <v>8280</v>
      </c>
      <c r="C3707" s="1" t="s">
        <v>38</v>
      </c>
      <c r="K3707" s="1" t="s">
        <v>1910</v>
      </c>
      <c r="L3707" s="1" t="s">
        <v>1911</v>
      </c>
      <c r="N3707" s="1" t="s">
        <v>28</v>
      </c>
      <c r="O3707" s="1" t="s">
        <v>29</v>
      </c>
      <c r="R3707" s="1">
        <v>0.0</v>
      </c>
      <c r="S3707" s="1"/>
    </row>
    <row r="3708" ht="15.75" customHeight="1">
      <c r="A3708" s="1" t="s">
        <v>8281</v>
      </c>
      <c r="B3708" s="1" t="s">
        <v>8282</v>
      </c>
      <c r="C3708" s="1" t="s">
        <v>162</v>
      </c>
      <c r="K3708" s="1" t="s">
        <v>99</v>
      </c>
      <c r="L3708" s="1" t="s">
        <v>27</v>
      </c>
      <c r="N3708" s="1" t="s">
        <v>163</v>
      </c>
      <c r="O3708" s="1" t="s">
        <v>29</v>
      </c>
      <c r="R3708" s="1">
        <v>0.0</v>
      </c>
      <c r="S3708" s="1"/>
    </row>
    <row r="3709" ht="15.75" customHeight="1">
      <c r="A3709" s="1" t="s">
        <v>8283</v>
      </c>
      <c r="B3709" s="1" t="s">
        <v>8284</v>
      </c>
      <c r="C3709" s="1" t="s">
        <v>5279</v>
      </c>
      <c r="K3709" s="1" t="s">
        <v>99</v>
      </c>
      <c r="L3709" s="1" t="s">
        <v>27</v>
      </c>
      <c r="N3709" s="1" t="s">
        <v>3172</v>
      </c>
      <c r="O3709" s="1" t="s">
        <v>29</v>
      </c>
      <c r="R3709" s="1">
        <v>0.0</v>
      </c>
      <c r="S3709" s="1"/>
    </row>
    <row r="3710" ht="15.75" customHeight="1">
      <c r="A3710" s="1" t="s">
        <v>8285</v>
      </c>
      <c r="B3710" s="1" t="s">
        <v>8286</v>
      </c>
      <c r="C3710" s="1" t="s">
        <v>848</v>
      </c>
      <c r="K3710" s="1" t="s">
        <v>99</v>
      </c>
      <c r="L3710" s="1" t="s">
        <v>27</v>
      </c>
      <c r="N3710" s="1" t="s">
        <v>849</v>
      </c>
      <c r="O3710" s="1" t="s">
        <v>29</v>
      </c>
      <c r="R3710" s="1">
        <v>0.0</v>
      </c>
      <c r="S3710" s="1"/>
    </row>
    <row r="3711" ht="15.75" customHeight="1">
      <c r="A3711" s="1" t="s">
        <v>8287</v>
      </c>
      <c r="B3711" s="1" t="s">
        <v>8288</v>
      </c>
      <c r="C3711" s="1" t="s">
        <v>946</v>
      </c>
      <c r="K3711" s="1" t="s">
        <v>99</v>
      </c>
      <c r="L3711" s="1" t="s">
        <v>27</v>
      </c>
      <c r="N3711" s="1" t="s">
        <v>123</v>
      </c>
      <c r="O3711" s="1" t="s">
        <v>29</v>
      </c>
      <c r="R3711" s="1">
        <v>0.0</v>
      </c>
      <c r="S3711" s="1"/>
    </row>
    <row r="3712" ht="15.75" customHeight="1">
      <c r="A3712" s="1" t="s">
        <v>8289</v>
      </c>
      <c r="B3712" s="1" t="s">
        <v>8290</v>
      </c>
      <c r="C3712" s="1" t="s">
        <v>1112</v>
      </c>
      <c r="K3712" s="1" t="s">
        <v>99</v>
      </c>
      <c r="L3712" s="1" t="s">
        <v>27</v>
      </c>
      <c r="N3712" s="1" t="s">
        <v>1097</v>
      </c>
      <c r="O3712" s="1" t="s">
        <v>29</v>
      </c>
      <c r="R3712" s="1">
        <v>0.0</v>
      </c>
      <c r="S3712" s="1"/>
    </row>
    <row r="3713" ht="15.75" customHeight="1">
      <c r="A3713" s="1" t="s">
        <v>8291</v>
      </c>
      <c r="B3713" s="1" t="s">
        <v>8292</v>
      </c>
      <c r="C3713" s="1" t="s">
        <v>6193</v>
      </c>
      <c r="K3713" s="1" t="s">
        <v>99</v>
      </c>
      <c r="L3713" s="1" t="s">
        <v>27</v>
      </c>
      <c r="N3713" s="1" t="s">
        <v>1210</v>
      </c>
      <c r="O3713" s="1" t="s">
        <v>29</v>
      </c>
      <c r="R3713" s="1">
        <v>0.0</v>
      </c>
      <c r="S3713" s="1"/>
    </row>
    <row r="3714" ht="15.75" customHeight="1">
      <c r="A3714" s="1" t="s">
        <v>8293</v>
      </c>
      <c r="B3714" s="1" t="s">
        <v>8294</v>
      </c>
      <c r="C3714" s="1" t="s">
        <v>148</v>
      </c>
      <c r="K3714" s="1" t="s">
        <v>2892</v>
      </c>
      <c r="L3714" s="1" t="s">
        <v>27</v>
      </c>
      <c r="N3714" s="1" t="s">
        <v>143</v>
      </c>
      <c r="O3714" s="1" t="s">
        <v>29</v>
      </c>
      <c r="R3714" s="1">
        <v>0.0</v>
      </c>
      <c r="S3714" s="1"/>
    </row>
    <row r="3715" ht="15.75" customHeight="1">
      <c r="A3715" s="1" t="s">
        <v>8295</v>
      </c>
      <c r="B3715" s="1" t="s">
        <v>8296</v>
      </c>
      <c r="C3715" s="1" t="s">
        <v>737</v>
      </c>
      <c r="K3715" s="1" t="s">
        <v>99</v>
      </c>
      <c r="L3715" s="1" t="s">
        <v>27</v>
      </c>
      <c r="N3715" s="1" t="s">
        <v>732</v>
      </c>
      <c r="O3715" s="1" t="s">
        <v>29</v>
      </c>
      <c r="R3715" s="1">
        <v>0.0</v>
      </c>
      <c r="S3715" s="1"/>
    </row>
    <row r="3716" ht="15.75" customHeight="1">
      <c r="A3716" s="1" t="s">
        <v>8297</v>
      </c>
      <c r="B3716" s="1" t="s">
        <v>8298</v>
      </c>
      <c r="C3716" s="1" t="s">
        <v>1786</v>
      </c>
      <c r="K3716" s="1" t="s">
        <v>99</v>
      </c>
      <c r="L3716" s="1" t="s">
        <v>27</v>
      </c>
      <c r="N3716" s="1" t="s">
        <v>1874</v>
      </c>
      <c r="O3716" s="1" t="s">
        <v>29</v>
      </c>
      <c r="R3716" s="1">
        <v>0.0</v>
      </c>
      <c r="S3716" s="1"/>
    </row>
    <row r="3717" ht="15.75" customHeight="1">
      <c r="A3717" s="1" t="s">
        <v>8299</v>
      </c>
      <c r="B3717" s="1" t="s">
        <v>8300</v>
      </c>
      <c r="C3717" s="1" t="s">
        <v>3104</v>
      </c>
      <c r="K3717" s="1" t="s">
        <v>99</v>
      </c>
      <c r="L3717" s="1" t="s">
        <v>27</v>
      </c>
      <c r="N3717" s="1" t="s">
        <v>849</v>
      </c>
      <c r="O3717" s="1" t="s">
        <v>29</v>
      </c>
      <c r="R3717" s="1">
        <v>0.0</v>
      </c>
      <c r="S3717" s="1"/>
    </row>
    <row r="3718" ht="15.75" customHeight="1">
      <c r="A3718" s="1" t="s">
        <v>8301</v>
      </c>
      <c r="B3718" s="1" t="s">
        <v>8302</v>
      </c>
      <c r="C3718" s="1" t="s">
        <v>848</v>
      </c>
      <c r="K3718" s="1" t="s">
        <v>99</v>
      </c>
      <c r="L3718" s="1" t="s">
        <v>27</v>
      </c>
      <c r="N3718" s="1" t="s">
        <v>849</v>
      </c>
      <c r="O3718" s="1" t="s">
        <v>29</v>
      </c>
      <c r="R3718" s="1">
        <v>0.0</v>
      </c>
      <c r="S3718" s="1"/>
    </row>
    <row r="3719" ht="15.75" customHeight="1">
      <c r="A3719" s="1" t="s">
        <v>8303</v>
      </c>
      <c r="B3719" s="1" t="s">
        <v>8304</v>
      </c>
      <c r="C3719" s="1" t="s">
        <v>617</v>
      </c>
      <c r="K3719" s="1" t="s">
        <v>99</v>
      </c>
      <c r="L3719" s="1" t="s">
        <v>27</v>
      </c>
      <c r="N3719" s="1" t="s">
        <v>28</v>
      </c>
      <c r="O3719" s="1" t="s">
        <v>29</v>
      </c>
      <c r="R3719" s="1">
        <v>0.0</v>
      </c>
      <c r="S3719" s="1"/>
    </row>
    <row r="3720" ht="15.75" customHeight="1">
      <c r="A3720" s="1" t="s">
        <v>8305</v>
      </c>
      <c r="B3720" s="1" t="s">
        <v>8306</v>
      </c>
      <c r="C3720" s="1" t="s">
        <v>617</v>
      </c>
      <c r="K3720" s="1" t="s">
        <v>99</v>
      </c>
      <c r="L3720" s="1" t="s">
        <v>27</v>
      </c>
      <c r="N3720" s="1" t="s">
        <v>28</v>
      </c>
      <c r="O3720" s="1" t="s">
        <v>29</v>
      </c>
      <c r="R3720" s="1">
        <v>0.0</v>
      </c>
      <c r="S3720" s="1"/>
    </row>
    <row r="3721" ht="15.75" customHeight="1">
      <c r="A3721" s="1" t="s">
        <v>8307</v>
      </c>
      <c r="B3721" s="1" t="s">
        <v>8308</v>
      </c>
      <c r="C3721" s="1" t="s">
        <v>21</v>
      </c>
      <c r="K3721" s="1" t="s">
        <v>99</v>
      </c>
      <c r="L3721" s="1" t="s">
        <v>27</v>
      </c>
      <c r="N3721" s="1" t="s">
        <v>28</v>
      </c>
      <c r="O3721" s="1" t="s">
        <v>29</v>
      </c>
      <c r="R3721" s="1">
        <v>0.0</v>
      </c>
      <c r="S3721" s="1"/>
    </row>
    <row r="3722" ht="15.75" customHeight="1">
      <c r="A3722" s="1" t="s">
        <v>8309</v>
      </c>
      <c r="B3722" s="1" t="s">
        <v>8310</v>
      </c>
      <c r="C3722" s="1" t="s">
        <v>4509</v>
      </c>
      <c r="K3722" s="1" t="s">
        <v>99</v>
      </c>
      <c r="L3722" s="1" t="s">
        <v>27</v>
      </c>
      <c r="N3722" s="1" t="s">
        <v>28</v>
      </c>
      <c r="O3722" s="1" t="s">
        <v>29</v>
      </c>
      <c r="R3722" s="1">
        <v>0.0</v>
      </c>
      <c r="S3722" s="1"/>
    </row>
    <row r="3723" ht="15.75" customHeight="1">
      <c r="A3723" s="1" t="s">
        <v>8311</v>
      </c>
      <c r="B3723" s="1" t="s">
        <v>8312</v>
      </c>
      <c r="C3723" s="1" t="s">
        <v>38</v>
      </c>
      <c r="K3723" s="1" t="s">
        <v>99</v>
      </c>
      <c r="L3723" s="1" t="s">
        <v>27</v>
      </c>
      <c r="N3723" s="1" t="s">
        <v>28</v>
      </c>
      <c r="O3723" s="1" t="s">
        <v>29</v>
      </c>
      <c r="R3723" s="1">
        <v>0.0</v>
      </c>
      <c r="S3723" s="1"/>
    </row>
    <row r="3724" ht="15.75" customHeight="1">
      <c r="A3724" s="1" t="s">
        <v>8313</v>
      </c>
      <c r="B3724" s="1" t="s">
        <v>8314</v>
      </c>
      <c r="C3724" s="1" t="s">
        <v>1949</v>
      </c>
      <c r="K3724" s="1" t="s">
        <v>99</v>
      </c>
      <c r="L3724" s="1" t="s">
        <v>27</v>
      </c>
      <c r="N3724" s="1" t="s">
        <v>1950</v>
      </c>
      <c r="O3724" s="1" t="s">
        <v>29</v>
      </c>
      <c r="R3724" s="1">
        <v>0.0</v>
      </c>
      <c r="S3724" s="1"/>
    </row>
    <row r="3725" ht="15.75" customHeight="1">
      <c r="A3725" s="1" t="s">
        <v>8315</v>
      </c>
      <c r="B3725" s="1" t="s">
        <v>8316</v>
      </c>
      <c r="C3725" s="1" t="s">
        <v>1786</v>
      </c>
      <c r="K3725" s="1" t="s">
        <v>99</v>
      </c>
      <c r="L3725" s="1" t="s">
        <v>27</v>
      </c>
      <c r="N3725" s="1" t="s">
        <v>1874</v>
      </c>
      <c r="O3725" s="1" t="s">
        <v>29</v>
      </c>
      <c r="R3725" s="1">
        <v>0.0</v>
      </c>
      <c r="S3725" s="1"/>
    </row>
    <row r="3726" ht="15.75" customHeight="1">
      <c r="A3726" s="1" t="s">
        <v>8317</v>
      </c>
      <c r="B3726" s="1" t="s">
        <v>8318</v>
      </c>
      <c r="C3726" s="1" t="s">
        <v>497</v>
      </c>
      <c r="K3726" s="1" t="s">
        <v>99</v>
      </c>
      <c r="L3726" s="1" t="s">
        <v>27</v>
      </c>
      <c r="N3726" s="1" t="s">
        <v>498</v>
      </c>
      <c r="O3726" s="1" t="s">
        <v>29</v>
      </c>
      <c r="R3726" s="1">
        <v>0.0</v>
      </c>
      <c r="S3726" s="1"/>
    </row>
    <row r="3727" ht="15.75" customHeight="1">
      <c r="A3727" s="1" t="s">
        <v>8319</v>
      </c>
      <c r="B3727" s="1" t="s">
        <v>8320</v>
      </c>
      <c r="C3727" s="1" t="s">
        <v>148</v>
      </c>
      <c r="K3727" s="1" t="s">
        <v>99</v>
      </c>
      <c r="L3727" s="1" t="s">
        <v>27</v>
      </c>
      <c r="N3727" s="1" t="s">
        <v>143</v>
      </c>
      <c r="O3727" s="1" t="s">
        <v>29</v>
      </c>
      <c r="R3727" s="1">
        <v>0.0</v>
      </c>
      <c r="S3727" s="1"/>
    </row>
    <row r="3728" ht="15.75" customHeight="1">
      <c r="A3728" s="1" t="s">
        <v>8321</v>
      </c>
      <c r="B3728" s="1" t="s">
        <v>8322</v>
      </c>
      <c r="C3728" s="1" t="s">
        <v>1112</v>
      </c>
      <c r="K3728" s="1" t="s">
        <v>99</v>
      </c>
      <c r="L3728" s="1" t="s">
        <v>27</v>
      </c>
      <c r="N3728" s="1" t="s">
        <v>1097</v>
      </c>
      <c r="O3728" s="1" t="s">
        <v>29</v>
      </c>
      <c r="R3728" s="1">
        <v>0.0</v>
      </c>
      <c r="S3728" s="1"/>
    </row>
    <row r="3729" ht="15.75" customHeight="1">
      <c r="A3729" s="1" t="s">
        <v>8323</v>
      </c>
      <c r="B3729" s="1" t="s">
        <v>8324</v>
      </c>
      <c r="C3729" s="1" t="s">
        <v>2089</v>
      </c>
      <c r="K3729" s="1" t="s">
        <v>99</v>
      </c>
      <c r="L3729" s="1" t="s">
        <v>27</v>
      </c>
      <c r="N3729" s="1" t="s">
        <v>506</v>
      </c>
      <c r="O3729" s="1" t="s">
        <v>29</v>
      </c>
      <c r="R3729" s="1">
        <v>0.0</v>
      </c>
      <c r="S3729" s="1"/>
    </row>
    <row r="3730" ht="15.75" customHeight="1">
      <c r="A3730" s="1" t="s">
        <v>8325</v>
      </c>
      <c r="B3730" s="1" t="s">
        <v>8326</v>
      </c>
      <c r="C3730" s="1" t="s">
        <v>215</v>
      </c>
      <c r="K3730" s="1" t="s">
        <v>2892</v>
      </c>
      <c r="L3730" s="1" t="s">
        <v>27</v>
      </c>
      <c r="N3730" s="1" t="s">
        <v>216</v>
      </c>
      <c r="O3730" s="1" t="s">
        <v>29</v>
      </c>
      <c r="R3730" s="1">
        <v>0.0</v>
      </c>
      <c r="S3730" s="1"/>
    </row>
    <row r="3731" ht="15.75" customHeight="1">
      <c r="A3731" s="1" t="s">
        <v>8327</v>
      </c>
      <c r="B3731" s="1" t="s">
        <v>8328</v>
      </c>
      <c r="C3731" s="1" t="s">
        <v>142</v>
      </c>
      <c r="K3731" s="1" t="s">
        <v>99</v>
      </c>
      <c r="L3731" s="1" t="s">
        <v>27</v>
      </c>
      <c r="N3731" s="1" t="s">
        <v>143</v>
      </c>
      <c r="O3731" s="1" t="s">
        <v>29</v>
      </c>
      <c r="R3731" s="1">
        <v>0.0</v>
      </c>
      <c r="S3731" s="1"/>
    </row>
    <row r="3732" ht="15.75" customHeight="1">
      <c r="A3732" s="1" t="s">
        <v>8329</v>
      </c>
      <c r="B3732" s="1" t="s">
        <v>8330</v>
      </c>
      <c r="C3732" s="1" t="s">
        <v>148</v>
      </c>
      <c r="K3732" s="1" t="s">
        <v>2892</v>
      </c>
      <c r="L3732" s="1" t="s">
        <v>27</v>
      </c>
      <c r="N3732" s="1" t="s">
        <v>143</v>
      </c>
      <c r="O3732" s="1" t="s">
        <v>29</v>
      </c>
      <c r="R3732" s="1">
        <v>0.0</v>
      </c>
      <c r="S3732" s="1"/>
    </row>
    <row r="3733" ht="15.75" customHeight="1">
      <c r="A3733" s="1" t="s">
        <v>8331</v>
      </c>
      <c r="B3733" s="1" t="s">
        <v>8332</v>
      </c>
      <c r="C3733" s="1" t="s">
        <v>848</v>
      </c>
      <c r="K3733" s="1" t="s">
        <v>99</v>
      </c>
      <c r="L3733" s="1" t="s">
        <v>27</v>
      </c>
      <c r="N3733" s="1" t="s">
        <v>849</v>
      </c>
      <c r="O3733" s="1" t="s">
        <v>29</v>
      </c>
      <c r="R3733" s="1">
        <v>0.0</v>
      </c>
      <c r="S3733" s="1"/>
    </row>
    <row r="3734" ht="15.75" customHeight="1">
      <c r="A3734" s="1" t="s">
        <v>8333</v>
      </c>
      <c r="B3734" s="1" t="s">
        <v>8334</v>
      </c>
      <c r="C3734" s="1" t="s">
        <v>848</v>
      </c>
      <c r="K3734" s="1" t="s">
        <v>99</v>
      </c>
      <c r="L3734" s="1" t="s">
        <v>27</v>
      </c>
      <c r="N3734" s="1" t="s">
        <v>849</v>
      </c>
      <c r="O3734" s="1" t="s">
        <v>29</v>
      </c>
      <c r="R3734" s="1">
        <v>0.0</v>
      </c>
      <c r="S3734" s="1"/>
    </row>
    <row r="3735" ht="15.75" customHeight="1">
      <c r="A3735" s="1" t="s">
        <v>8335</v>
      </c>
      <c r="B3735" s="1" t="s">
        <v>8336</v>
      </c>
      <c r="C3735" s="1" t="s">
        <v>630</v>
      </c>
      <c r="K3735" s="1" t="s">
        <v>99</v>
      </c>
      <c r="L3735" s="1" t="s">
        <v>27</v>
      </c>
      <c r="N3735" s="1" t="s">
        <v>28</v>
      </c>
      <c r="O3735" s="1" t="s">
        <v>29</v>
      </c>
      <c r="R3735" s="1">
        <v>0.0</v>
      </c>
      <c r="S3735" s="1"/>
    </row>
    <row r="3736" ht="15.75" customHeight="1">
      <c r="A3736" s="1" t="s">
        <v>8337</v>
      </c>
      <c r="B3736" s="1" t="s">
        <v>8338</v>
      </c>
      <c r="C3736" s="1" t="s">
        <v>617</v>
      </c>
      <c r="K3736" s="1" t="s">
        <v>99</v>
      </c>
      <c r="L3736" s="1" t="s">
        <v>27</v>
      </c>
      <c r="N3736" s="1" t="s">
        <v>28</v>
      </c>
      <c r="O3736" s="1" t="s">
        <v>29</v>
      </c>
      <c r="R3736" s="1">
        <v>0.0</v>
      </c>
      <c r="S3736" s="1"/>
    </row>
    <row r="3737" ht="15.75" customHeight="1">
      <c r="A3737" s="1" t="s">
        <v>8339</v>
      </c>
      <c r="B3737" s="1" t="s">
        <v>8340</v>
      </c>
      <c r="C3737" s="1" t="s">
        <v>1949</v>
      </c>
      <c r="K3737" s="1" t="s">
        <v>99</v>
      </c>
      <c r="L3737" s="1" t="s">
        <v>27</v>
      </c>
      <c r="N3737" s="1" t="s">
        <v>1950</v>
      </c>
      <c r="O3737" s="1" t="s">
        <v>29</v>
      </c>
      <c r="R3737" s="1">
        <v>0.0</v>
      </c>
      <c r="S3737" s="1"/>
    </row>
    <row r="3738" ht="15.75" customHeight="1">
      <c r="A3738" s="1" t="s">
        <v>8341</v>
      </c>
      <c r="B3738" s="1" t="s">
        <v>8342</v>
      </c>
      <c r="C3738" s="1" t="s">
        <v>531</v>
      </c>
      <c r="K3738" s="1" t="s">
        <v>99</v>
      </c>
      <c r="L3738" s="1" t="s">
        <v>27</v>
      </c>
      <c r="N3738" s="1" t="s">
        <v>532</v>
      </c>
      <c r="O3738" s="1" t="s">
        <v>29</v>
      </c>
      <c r="R3738" s="1">
        <v>0.0</v>
      </c>
      <c r="S3738" s="1"/>
    </row>
    <row r="3739" ht="15.75" customHeight="1">
      <c r="A3739" s="1" t="s">
        <v>8343</v>
      </c>
      <c r="B3739" s="1" t="s">
        <v>8344</v>
      </c>
      <c r="C3739" s="1" t="s">
        <v>1786</v>
      </c>
      <c r="K3739" s="1" t="s">
        <v>1910</v>
      </c>
      <c r="L3739" s="1" t="s">
        <v>1911</v>
      </c>
      <c r="N3739" s="1" t="s">
        <v>1874</v>
      </c>
      <c r="O3739" s="1" t="s">
        <v>29</v>
      </c>
      <c r="R3739" s="1">
        <v>0.0</v>
      </c>
      <c r="S3739" s="1"/>
    </row>
    <row r="3740" ht="15.75" customHeight="1">
      <c r="A3740" s="1" t="s">
        <v>8345</v>
      </c>
      <c r="B3740" s="1" t="s">
        <v>8346</v>
      </c>
      <c r="C3740" s="1" t="s">
        <v>946</v>
      </c>
      <c r="K3740" s="1" t="s">
        <v>99</v>
      </c>
      <c r="L3740" s="1" t="s">
        <v>27</v>
      </c>
      <c r="N3740" s="1" t="s">
        <v>123</v>
      </c>
      <c r="O3740" s="1" t="s">
        <v>29</v>
      </c>
      <c r="R3740" s="1">
        <v>0.0</v>
      </c>
      <c r="S3740" s="1"/>
    </row>
    <row r="3741" ht="15.75" customHeight="1">
      <c r="A3741" s="1" t="s">
        <v>8347</v>
      </c>
      <c r="B3741" s="1" t="s">
        <v>8348</v>
      </c>
      <c r="C3741" s="1" t="s">
        <v>768</v>
      </c>
      <c r="K3741" s="1" t="s">
        <v>99</v>
      </c>
      <c r="L3741" s="1" t="s">
        <v>27</v>
      </c>
      <c r="N3741" s="1" t="s">
        <v>732</v>
      </c>
      <c r="O3741" s="1" t="s">
        <v>29</v>
      </c>
      <c r="R3741" s="1">
        <v>0.0</v>
      </c>
      <c r="S3741" s="1"/>
    </row>
    <row r="3742" ht="15.75" customHeight="1">
      <c r="A3742" s="1" t="s">
        <v>8349</v>
      </c>
      <c r="B3742" s="1" t="s">
        <v>8350</v>
      </c>
      <c r="C3742" s="1" t="s">
        <v>1786</v>
      </c>
      <c r="K3742" s="1" t="s">
        <v>99</v>
      </c>
      <c r="L3742" s="1" t="s">
        <v>27</v>
      </c>
      <c r="N3742" s="1" t="s">
        <v>1874</v>
      </c>
      <c r="O3742" s="1" t="s">
        <v>29</v>
      </c>
      <c r="R3742" s="1">
        <v>0.0</v>
      </c>
      <c r="S3742" s="1"/>
    </row>
    <row r="3743" ht="15.75" customHeight="1">
      <c r="A3743" s="1" t="s">
        <v>8351</v>
      </c>
      <c r="B3743" s="1" t="s">
        <v>8352</v>
      </c>
      <c r="C3743" s="1" t="s">
        <v>1716</v>
      </c>
      <c r="K3743" s="1" t="s">
        <v>99</v>
      </c>
      <c r="L3743" s="1" t="s">
        <v>27</v>
      </c>
      <c r="N3743" s="1" t="s">
        <v>163</v>
      </c>
      <c r="O3743" s="1" t="s">
        <v>29</v>
      </c>
      <c r="R3743" s="1">
        <v>0.0</v>
      </c>
      <c r="S3743" s="1"/>
    </row>
    <row r="3744" ht="15.75" customHeight="1">
      <c r="A3744" s="1" t="s">
        <v>8353</v>
      </c>
      <c r="B3744" s="1" t="s">
        <v>8354</v>
      </c>
      <c r="C3744" s="1" t="s">
        <v>737</v>
      </c>
      <c r="K3744" s="1" t="s">
        <v>99</v>
      </c>
      <c r="L3744" s="1" t="s">
        <v>27</v>
      </c>
      <c r="N3744" s="1" t="s">
        <v>732</v>
      </c>
      <c r="O3744" s="1" t="s">
        <v>29</v>
      </c>
      <c r="R3744" s="1">
        <v>0.0</v>
      </c>
      <c r="S3744" s="1"/>
    </row>
    <row r="3745" ht="15.75" customHeight="1">
      <c r="A3745" s="1" t="s">
        <v>8355</v>
      </c>
      <c r="B3745" s="1" t="s">
        <v>8356</v>
      </c>
      <c r="C3745" s="1" t="s">
        <v>848</v>
      </c>
      <c r="K3745" s="1" t="s">
        <v>99</v>
      </c>
      <c r="L3745" s="1" t="s">
        <v>27</v>
      </c>
      <c r="N3745" s="1" t="s">
        <v>849</v>
      </c>
      <c r="O3745" s="1" t="s">
        <v>29</v>
      </c>
      <c r="R3745" s="1">
        <v>0.0</v>
      </c>
      <c r="S3745" s="1"/>
    </row>
    <row r="3746" ht="15.75" customHeight="1">
      <c r="A3746" s="1" t="s">
        <v>8357</v>
      </c>
      <c r="B3746" s="1" t="s">
        <v>8358</v>
      </c>
      <c r="C3746" s="1" t="s">
        <v>848</v>
      </c>
      <c r="K3746" s="1" t="s">
        <v>99</v>
      </c>
      <c r="L3746" s="1" t="s">
        <v>27</v>
      </c>
      <c r="N3746" s="1" t="s">
        <v>849</v>
      </c>
      <c r="O3746" s="1" t="s">
        <v>29</v>
      </c>
      <c r="R3746" s="1">
        <v>0.0</v>
      </c>
      <c r="S3746" s="1"/>
    </row>
    <row r="3747" ht="15.75" customHeight="1">
      <c r="A3747" s="1" t="s">
        <v>8359</v>
      </c>
      <c r="B3747" s="1" t="s">
        <v>8360</v>
      </c>
      <c r="C3747" s="1" t="s">
        <v>630</v>
      </c>
      <c r="K3747" s="1" t="s">
        <v>99</v>
      </c>
      <c r="L3747" s="1" t="s">
        <v>27</v>
      </c>
      <c r="N3747" s="1" t="s">
        <v>28</v>
      </c>
      <c r="O3747" s="1" t="s">
        <v>29</v>
      </c>
      <c r="R3747" s="1">
        <v>0.0</v>
      </c>
      <c r="S3747" s="1"/>
    </row>
    <row r="3748" ht="15.75" customHeight="1">
      <c r="A3748" s="1" t="s">
        <v>8361</v>
      </c>
      <c r="B3748" s="1" t="s">
        <v>8362</v>
      </c>
      <c r="C3748" s="1" t="s">
        <v>617</v>
      </c>
      <c r="K3748" s="1" t="s">
        <v>99</v>
      </c>
      <c r="L3748" s="1" t="s">
        <v>27</v>
      </c>
      <c r="N3748" s="1" t="s">
        <v>28</v>
      </c>
      <c r="O3748" s="1" t="s">
        <v>29</v>
      </c>
      <c r="R3748" s="1">
        <v>0.0</v>
      </c>
      <c r="S3748" s="1"/>
    </row>
    <row r="3749" ht="15.75" customHeight="1">
      <c r="A3749" s="1" t="s">
        <v>8363</v>
      </c>
      <c r="B3749" s="1" t="s">
        <v>8364</v>
      </c>
      <c r="C3749" s="1" t="s">
        <v>617</v>
      </c>
      <c r="K3749" s="1" t="s">
        <v>99</v>
      </c>
      <c r="L3749" s="1" t="s">
        <v>27</v>
      </c>
      <c r="N3749" s="1" t="s">
        <v>28</v>
      </c>
      <c r="O3749" s="1" t="s">
        <v>29</v>
      </c>
      <c r="R3749" s="1">
        <v>0.0</v>
      </c>
      <c r="S3749" s="1"/>
    </row>
    <row r="3750" ht="15.75" customHeight="1">
      <c r="A3750" s="1" t="s">
        <v>8365</v>
      </c>
      <c r="B3750" s="1" t="s">
        <v>8366</v>
      </c>
      <c r="C3750" s="1" t="s">
        <v>21</v>
      </c>
      <c r="K3750" s="1" t="s">
        <v>99</v>
      </c>
      <c r="L3750" s="1" t="s">
        <v>27</v>
      </c>
      <c r="N3750" s="1" t="s">
        <v>28</v>
      </c>
      <c r="O3750" s="1" t="s">
        <v>29</v>
      </c>
      <c r="R3750" s="1">
        <v>0.0</v>
      </c>
      <c r="S3750" s="1"/>
    </row>
    <row r="3751" ht="15.75" customHeight="1">
      <c r="A3751" s="1" t="s">
        <v>8367</v>
      </c>
      <c r="B3751" s="1" t="s">
        <v>8368</v>
      </c>
      <c r="C3751" s="1" t="s">
        <v>115</v>
      </c>
      <c r="K3751" s="1" t="s">
        <v>99</v>
      </c>
      <c r="L3751" s="1" t="s">
        <v>27</v>
      </c>
      <c r="N3751" s="1" t="s">
        <v>123</v>
      </c>
      <c r="O3751" s="1" t="s">
        <v>29</v>
      </c>
      <c r="R3751" s="1">
        <v>0.0</v>
      </c>
      <c r="S3751" s="1"/>
    </row>
    <row r="3752" ht="15.75" customHeight="1">
      <c r="A3752" s="1" t="s">
        <v>8369</v>
      </c>
      <c r="B3752" s="1" t="s">
        <v>8370</v>
      </c>
      <c r="C3752" s="1" t="s">
        <v>185</v>
      </c>
      <c r="K3752" s="1" t="s">
        <v>1910</v>
      </c>
      <c r="L3752" s="1" t="s">
        <v>1911</v>
      </c>
      <c r="N3752" s="1" t="s">
        <v>186</v>
      </c>
      <c r="O3752" s="1" t="s">
        <v>29</v>
      </c>
      <c r="R3752" s="1">
        <v>0.0</v>
      </c>
      <c r="S3752" s="1"/>
    </row>
    <row r="3753" ht="15.75" customHeight="1">
      <c r="A3753" s="1" t="s">
        <v>8371</v>
      </c>
      <c r="B3753" s="1" t="s">
        <v>8372</v>
      </c>
      <c r="C3753" s="1" t="s">
        <v>162</v>
      </c>
      <c r="K3753" s="1" t="s">
        <v>99</v>
      </c>
      <c r="L3753" s="1" t="s">
        <v>27</v>
      </c>
      <c r="N3753" s="1" t="s">
        <v>163</v>
      </c>
      <c r="O3753" s="1" t="s">
        <v>29</v>
      </c>
      <c r="R3753" s="1">
        <v>0.0</v>
      </c>
      <c r="S3753" s="1"/>
    </row>
    <row r="3754" ht="15.75" customHeight="1">
      <c r="A3754" s="1" t="s">
        <v>8373</v>
      </c>
      <c r="B3754" s="1" t="s">
        <v>8374</v>
      </c>
      <c r="C3754" s="1" t="s">
        <v>617</v>
      </c>
      <c r="K3754" s="1" t="s">
        <v>99</v>
      </c>
      <c r="L3754" s="1" t="s">
        <v>27</v>
      </c>
      <c r="N3754" s="1" t="s">
        <v>28</v>
      </c>
      <c r="O3754" s="1" t="s">
        <v>29</v>
      </c>
      <c r="R3754" s="1">
        <v>0.0</v>
      </c>
      <c r="S3754" s="1"/>
    </row>
    <row r="3755" ht="15.75" customHeight="1">
      <c r="A3755" s="1" t="s">
        <v>8375</v>
      </c>
      <c r="B3755" s="1" t="s">
        <v>8376</v>
      </c>
      <c r="C3755" s="1" t="s">
        <v>1786</v>
      </c>
      <c r="K3755" s="1" t="s">
        <v>99</v>
      </c>
      <c r="L3755" s="1" t="s">
        <v>27</v>
      </c>
      <c r="N3755" s="1" t="s">
        <v>1874</v>
      </c>
      <c r="O3755" s="1" t="s">
        <v>29</v>
      </c>
      <c r="R3755" s="1">
        <v>0.0</v>
      </c>
      <c r="S3755" s="1"/>
    </row>
    <row r="3756" ht="15.75" customHeight="1">
      <c r="A3756" s="1" t="s">
        <v>8377</v>
      </c>
      <c r="B3756" s="1" t="s">
        <v>8378</v>
      </c>
      <c r="C3756" s="1" t="s">
        <v>1716</v>
      </c>
      <c r="K3756" s="1" t="s">
        <v>99</v>
      </c>
      <c r="L3756" s="1" t="s">
        <v>27</v>
      </c>
      <c r="N3756" s="1" t="s">
        <v>163</v>
      </c>
      <c r="O3756" s="1" t="s">
        <v>29</v>
      </c>
      <c r="R3756" s="1">
        <v>0.0</v>
      </c>
      <c r="S3756" s="1"/>
    </row>
    <row r="3757" ht="15.75" customHeight="1">
      <c r="A3757" s="1" t="s">
        <v>8379</v>
      </c>
      <c r="B3757" s="1" t="s">
        <v>8380</v>
      </c>
      <c r="C3757" s="1" t="s">
        <v>497</v>
      </c>
      <c r="K3757" s="1" t="s">
        <v>99</v>
      </c>
      <c r="L3757" s="1" t="s">
        <v>27</v>
      </c>
      <c r="N3757" s="1" t="s">
        <v>498</v>
      </c>
      <c r="O3757" s="1" t="s">
        <v>29</v>
      </c>
      <c r="R3757" s="1">
        <v>0.0</v>
      </c>
      <c r="S3757" s="1"/>
    </row>
    <row r="3758" ht="15.75" customHeight="1">
      <c r="A3758" s="1" t="s">
        <v>8381</v>
      </c>
      <c r="B3758" s="1" t="s">
        <v>8382</v>
      </c>
      <c r="C3758" s="1" t="s">
        <v>2089</v>
      </c>
      <c r="K3758" s="1" t="s">
        <v>99</v>
      </c>
      <c r="L3758" s="1" t="s">
        <v>27</v>
      </c>
      <c r="N3758" s="1" t="s">
        <v>506</v>
      </c>
      <c r="O3758" s="1" t="s">
        <v>29</v>
      </c>
      <c r="R3758" s="1">
        <v>0.0</v>
      </c>
      <c r="S3758" s="1"/>
    </row>
    <row r="3759" ht="15.75" customHeight="1">
      <c r="A3759" s="1" t="s">
        <v>8383</v>
      </c>
      <c r="B3759" s="1" t="s">
        <v>8384</v>
      </c>
      <c r="C3759" s="1" t="s">
        <v>848</v>
      </c>
      <c r="K3759" s="1" t="s">
        <v>99</v>
      </c>
      <c r="L3759" s="1" t="s">
        <v>27</v>
      </c>
      <c r="N3759" s="1" t="s">
        <v>849</v>
      </c>
      <c r="O3759" s="1" t="s">
        <v>29</v>
      </c>
      <c r="R3759" s="1">
        <v>0.0</v>
      </c>
      <c r="S3759" s="1"/>
    </row>
    <row r="3760" ht="15.75" customHeight="1">
      <c r="A3760" s="1" t="s">
        <v>8385</v>
      </c>
      <c r="B3760" s="1" t="s">
        <v>8386</v>
      </c>
      <c r="C3760" s="1" t="s">
        <v>630</v>
      </c>
      <c r="K3760" s="1" t="s">
        <v>99</v>
      </c>
      <c r="L3760" s="1" t="s">
        <v>27</v>
      </c>
      <c r="N3760" s="1" t="s">
        <v>28</v>
      </c>
      <c r="O3760" s="1" t="s">
        <v>29</v>
      </c>
      <c r="R3760" s="1">
        <v>0.0</v>
      </c>
      <c r="S3760" s="1"/>
    </row>
    <row r="3761" ht="15.75" customHeight="1">
      <c r="A3761" s="1" t="s">
        <v>8387</v>
      </c>
      <c r="B3761" s="1" t="s">
        <v>8388</v>
      </c>
      <c r="C3761" s="1" t="s">
        <v>617</v>
      </c>
      <c r="K3761" s="1" t="s">
        <v>99</v>
      </c>
      <c r="L3761" s="1" t="s">
        <v>27</v>
      </c>
      <c r="N3761" s="1" t="s">
        <v>28</v>
      </c>
      <c r="O3761" s="1" t="s">
        <v>29</v>
      </c>
      <c r="R3761" s="1">
        <v>0.0</v>
      </c>
      <c r="S3761" s="1"/>
    </row>
    <row r="3762" ht="15.75" customHeight="1">
      <c r="A3762" s="1" t="s">
        <v>8389</v>
      </c>
      <c r="B3762" s="1" t="s">
        <v>8390</v>
      </c>
      <c r="C3762" s="1" t="s">
        <v>617</v>
      </c>
      <c r="K3762" s="1" t="s">
        <v>99</v>
      </c>
      <c r="L3762" s="1" t="s">
        <v>27</v>
      </c>
      <c r="N3762" s="1" t="s">
        <v>28</v>
      </c>
      <c r="O3762" s="1" t="s">
        <v>29</v>
      </c>
      <c r="R3762" s="1">
        <v>0.0</v>
      </c>
      <c r="S3762" s="1"/>
    </row>
    <row r="3763" ht="15.75" customHeight="1">
      <c r="A3763" s="1" t="s">
        <v>8391</v>
      </c>
      <c r="B3763" s="1" t="s">
        <v>8392</v>
      </c>
      <c r="C3763" s="1" t="s">
        <v>630</v>
      </c>
      <c r="K3763" s="1" t="s">
        <v>99</v>
      </c>
      <c r="L3763" s="1" t="s">
        <v>27</v>
      </c>
      <c r="N3763" s="1" t="s">
        <v>28</v>
      </c>
      <c r="O3763" s="1" t="s">
        <v>29</v>
      </c>
      <c r="R3763" s="1">
        <v>0.0</v>
      </c>
      <c r="S3763" s="1"/>
    </row>
    <row r="3764" ht="15.75" customHeight="1">
      <c r="A3764" s="1" t="s">
        <v>8393</v>
      </c>
      <c r="B3764" s="1" t="s">
        <v>8394</v>
      </c>
      <c r="C3764" s="1" t="s">
        <v>53</v>
      </c>
      <c r="K3764" s="1" t="s">
        <v>99</v>
      </c>
      <c r="L3764" s="1" t="s">
        <v>27</v>
      </c>
      <c r="N3764" s="1" t="s">
        <v>28</v>
      </c>
      <c r="O3764" s="1" t="s">
        <v>29</v>
      </c>
      <c r="R3764" s="1">
        <v>0.0</v>
      </c>
      <c r="S3764" s="1"/>
    </row>
    <row r="3765" ht="15.75" customHeight="1">
      <c r="A3765" s="1" t="s">
        <v>8395</v>
      </c>
      <c r="B3765" s="1" t="s">
        <v>8396</v>
      </c>
      <c r="C3765" s="1" t="s">
        <v>617</v>
      </c>
      <c r="K3765" s="1" t="s">
        <v>99</v>
      </c>
      <c r="L3765" s="1" t="s">
        <v>27</v>
      </c>
      <c r="N3765" s="1" t="s">
        <v>28</v>
      </c>
      <c r="O3765" s="1" t="s">
        <v>29</v>
      </c>
      <c r="R3765" s="1">
        <v>0.0</v>
      </c>
      <c r="S3765" s="1"/>
    </row>
    <row r="3766" ht="15.75" customHeight="1">
      <c r="A3766" s="1" t="s">
        <v>8397</v>
      </c>
      <c r="B3766" s="1" t="s">
        <v>8398</v>
      </c>
      <c r="C3766" s="1" t="s">
        <v>497</v>
      </c>
      <c r="K3766" s="1" t="s">
        <v>99</v>
      </c>
      <c r="L3766" s="1" t="s">
        <v>27</v>
      </c>
      <c r="N3766" s="1" t="s">
        <v>498</v>
      </c>
      <c r="O3766" s="1" t="s">
        <v>29</v>
      </c>
      <c r="R3766" s="1">
        <v>0.0</v>
      </c>
      <c r="S3766" s="1"/>
    </row>
    <row r="3767" ht="15.75" customHeight="1">
      <c r="A3767" s="1" t="s">
        <v>8399</v>
      </c>
      <c r="B3767" s="1" t="s">
        <v>8400</v>
      </c>
      <c r="C3767" s="1" t="s">
        <v>4632</v>
      </c>
      <c r="K3767" s="1" t="s">
        <v>99</v>
      </c>
      <c r="L3767" s="1" t="s">
        <v>27</v>
      </c>
      <c r="N3767" s="1" t="s">
        <v>1989</v>
      </c>
      <c r="O3767" s="1" t="s">
        <v>29</v>
      </c>
      <c r="R3767" s="1">
        <v>0.0</v>
      </c>
      <c r="S3767" s="1"/>
    </row>
    <row r="3768" ht="15.75" customHeight="1">
      <c r="A3768" s="1" t="s">
        <v>8401</v>
      </c>
      <c r="B3768" s="1" t="s">
        <v>8402</v>
      </c>
      <c r="C3768" s="1" t="s">
        <v>1573</v>
      </c>
      <c r="K3768" s="1" t="s">
        <v>99</v>
      </c>
      <c r="L3768" s="1" t="s">
        <v>27</v>
      </c>
      <c r="N3768" s="1" t="s">
        <v>216</v>
      </c>
      <c r="O3768" s="1" t="s">
        <v>29</v>
      </c>
      <c r="R3768" s="1">
        <v>0.0</v>
      </c>
      <c r="S3768" s="1"/>
    </row>
    <row r="3769" ht="15.75" customHeight="1">
      <c r="A3769" s="1" t="s">
        <v>8403</v>
      </c>
      <c r="B3769" s="1" t="s">
        <v>8404</v>
      </c>
      <c r="C3769" s="1" t="s">
        <v>8405</v>
      </c>
      <c r="K3769" s="1" t="s">
        <v>99</v>
      </c>
      <c r="L3769" s="1" t="s">
        <v>27</v>
      </c>
      <c r="N3769" s="1" t="s">
        <v>143</v>
      </c>
      <c r="O3769" s="1" t="s">
        <v>29</v>
      </c>
      <c r="R3769" s="1">
        <v>0.0</v>
      </c>
      <c r="S3769" s="1"/>
    </row>
    <row r="3770" ht="15.75" customHeight="1">
      <c r="A3770" s="1" t="s">
        <v>8406</v>
      </c>
      <c r="B3770" s="1" t="s">
        <v>8407</v>
      </c>
      <c r="C3770" s="1" t="s">
        <v>1112</v>
      </c>
      <c r="K3770" s="1" t="s">
        <v>99</v>
      </c>
      <c r="L3770" s="1" t="s">
        <v>27</v>
      </c>
      <c r="N3770" s="1" t="s">
        <v>1097</v>
      </c>
      <c r="O3770" s="1" t="s">
        <v>29</v>
      </c>
      <c r="R3770" s="1">
        <v>0.0</v>
      </c>
      <c r="S3770" s="1"/>
    </row>
    <row r="3771" ht="15.75" customHeight="1">
      <c r="A3771" s="1" t="s">
        <v>8408</v>
      </c>
      <c r="B3771" s="1" t="s">
        <v>8409</v>
      </c>
      <c r="R3771" s="1">
        <v>0.0</v>
      </c>
      <c r="S3771" s="1"/>
    </row>
    <row r="3772" ht="15.75" customHeight="1">
      <c r="A3772" s="1" t="s">
        <v>8410</v>
      </c>
      <c r="B3772" s="1" t="s">
        <v>8411</v>
      </c>
      <c r="C3772" s="1" t="s">
        <v>617</v>
      </c>
      <c r="K3772" s="1" t="s">
        <v>99</v>
      </c>
      <c r="L3772" s="1" t="s">
        <v>27</v>
      </c>
      <c r="N3772" s="1" t="s">
        <v>28</v>
      </c>
      <c r="O3772" s="1" t="s">
        <v>29</v>
      </c>
      <c r="R3772" s="1">
        <v>0.0</v>
      </c>
      <c r="S3772" s="1"/>
    </row>
    <row r="3773" ht="15.75" customHeight="1">
      <c r="A3773" s="1" t="s">
        <v>8412</v>
      </c>
      <c r="B3773" s="1" t="s">
        <v>8413</v>
      </c>
      <c r="C3773" s="1" t="s">
        <v>630</v>
      </c>
      <c r="K3773" s="1" t="s">
        <v>99</v>
      </c>
      <c r="L3773" s="1" t="s">
        <v>27</v>
      </c>
      <c r="N3773" s="1" t="s">
        <v>28</v>
      </c>
      <c r="O3773" s="1" t="s">
        <v>29</v>
      </c>
      <c r="R3773" s="1">
        <v>0.0</v>
      </c>
      <c r="S3773" s="1"/>
    </row>
    <row r="3774" ht="15.75" customHeight="1">
      <c r="A3774" s="1" t="s">
        <v>8414</v>
      </c>
      <c r="B3774" s="1" t="s">
        <v>8415</v>
      </c>
      <c r="C3774" s="1" t="s">
        <v>21</v>
      </c>
      <c r="K3774" s="1" t="s">
        <v>99</v>
      </c>
      <c r="L3774" s="1" t="s">
        <v>27</v>
      </c>
      <c r="N3774" s="1" t="s">
        <v>28</v>
      </c>
      <c r="O3774" s="1" t="s">
        <v>29</v>
      </c>
      <c r="R3774" s="1">
        <v>0.0</v>
      </c>
      <c r="S3774" s="1"/>
    </row>
    <row r="3775" ht="15.75" customHeight="1">
      <c r="A3775" s="1" t="s">
        <v>8416</v>
      </c>
      <c r="B3775" s="1" t="s">
        <v>8417</v>
      </c>
      <c r="C3775" s="1" t="s">
        <v>531</v>
      </c>
      <c r="K3775" s="1" t="s">
        <v>99</v>
      </c>
      <c r="L3775" s="1" t="s">
        <v>27</v>
      </c>
      <c r="N3775" s="1" t="s">
        <v>532</v>
      </c>
      <c r="O3775" s="1" t="s">
        <v>29</v>
      </c>
      <c r="R3775" s="1">
        <v>0.0</v>
      </c>
      <c r="S3775" s="1"/>
    </row>
    <row r="3776" ht="15.75" customHeight="1">
      <c r="A3776" s="1" t="s">
        <v>8418</v>
      </c>
      <c r="B3776" s="1" t="s">
        <v>8419</v>
      </c>
      <c r="C3776" s="1" t="s">
        <v>531</v>
      </c>
      <c r="K3776" s="1" t="s">
        <v>99</v>
      </c>
      <c r="L3776" s="1" t="s">
        <v>27</v>
      </c>
      <c r="N3776" s="1" t="s">
        <v>532</v>
      </c>
      <c r="O3776" s="1" t="s">
        <v>29</v>
      </c>
      <c r="R3776" s="1">
        <v>0.0</v>
      </c>
      <c r="S3776" s="1"/>
    </row>
    <row r="3777" ht="15.75" customHeight="1">
      <c r="A3777" s="1" t="s">
        <v>8420</v>
      </c>
      <c r="B3777" s="1" t="s">
        <v>8421</v>
      </c>
      <c r="C3777" s="1" t="s">
        <v>549</v>
      </c>
      <c r="K3777" s="1" t="s">
        <v>99</v>
      </c>
      <c r="L3777" s="1" t="s">
        <v>27</v>
      </c>
      <c r="N3777" s="1" t="s">
        <v>549</v>
      </c>
      <c r="O3777" s="1" t="s">
        <v>29</v>
      </c>
      <c r="R3777" s="1">
        <v>0.0</v>
      </c>
      <c r="S3777" s="1"/>
    </row>
    <row r="3778" ht="15.75" customHeight="1">
      <c r="A3778" s="1" t="s">
        <v>8422</v>
      </c>
      <c r="B3778" s="1" t="s">
        <v>8423</v>
      </c>
      <c r="C3778" s="1" t="s">
        <v>1786</v>
      </c>
      <c r="K3778" s="1" t="s">
        <v>99</v>
      </c>
      <c r="L3778" s="1" t="s">
        <v>27</v>
      </c>
      <c r="N3778" s="1" t="s">
        <v>1874</v>
      </c>
      <c r="O3778" s="1" t="s">
        <v>29</v>
      </c>
      <c r="R3778" s="1">
        <v>0.0</v>
      </c>
      <c r="S3778" s="1"/>
    </row>
    <row r="3779" ht="15.75" customHeight="1">
      <c r="A3779" s="1" t="s">
        <v>8424</v>
      </c>
      <c r="B3779" s="1" t="s">
        <v>8425</v>
      </c>
      <c r="C3779" s="1" t="s">
        <v>746</v>
      </c>
      <c r="K3779" s="1" t="s">
        <v>99</v>
      </c>
      <c r="L3779" s="1" t="s">
        <v>27</v>
      </c>
      <c r="N3779" s="1" t="s">
        <v>28</v>
      </c>
      <c r="O3779" s="1" t="s">
        <v>29</v>
      </c>
      <c r="R3779" s="1">
        <v>0.0</v>
      </c>
      <c r="S3779" s="1"/>
    </row>
    <row r="3780" ht="15.75" customHeight="1">
      <c r="A3780" s="1" t="s">
        <v>8426</v>
      </c>
      <c r="B3780" s="1" t="s">
        <v>8427</v>
      </c>
      <c r="C3780" s="1" t="s">
        <v>505</v>
      </c>
      <c r="K3780" s="1" t="s">
        <v>99</v>
      </c>
      <c r="L3780" s="1" t="s">
        <v>27</v>
      </c>
      <c r="N3780" s="1" t="s">
        <v>506</v>
      </c>
      <c r="O3780" s="1" t="s">
        <v>29</v>
      </c>
      <c r="R3780" s="1">
        <v>0.0</v>
      </c>
      <c r="S3780" s="1"/>
    </row>
    <row r="3781" ht="15.75" customHeight="1">
      <c r="A3781" s="1" t="s">
        <v>8428</v>
      </c>
      <c r="B3781" s="1" t="s">
        <v>8429</v>
      </c>
      <c r="C3781" s="1" t="s">
        <v>1446</v>
      </c>
      <c r="K3781" s="1" t="s">
        <v>1910</v>
      </c>
      <c r="L3781" s="1" t="s">
        <v>1911</v>
      </c>
      <c r="N3781" s="1" t="s">
        <v>1210</v>
      </c>
      <c r="O3781" s="1" t="s">
        <v>29</v>
      </c>
      <c r="R3781" s="1">
        <v>0.0</v>
      </c>
      <c r="S3781" s="1"/>
    </row>
    <row r="3782" ht="15.75" customHeight="1">
      <c r="A3782" s="1" t="s">
        <v>8430</v>
      </c>
      <c r="B3782" s="1" t="s">
        <v>8431</v>
      </c>
      <c r="C3782" s="1" t="s">
        <v>1786</v>
      </c>
      <c r="K3782" s="1" t="s">
        <v>99</v>
      </c>
      <c r="L3782" s="1" t="s">
        <v>27</v>
      </c>
      <c r="N3782" s="1" t="s">
        <v>1874</v>
      </c>
      <c r="O3782" s="1" t="s">
        <v>29</v>
      </c>
      <c r="R3782" s="1">
        <v>0.0</v>
      </c>
      <c r="S3782" s="1"/>
    </row>
    <row r="3783" ht="15.75" customHeight="1">
      <c r="A3783" s="1" t="s">
        <v>8432</v>
      </c>
      <c r="B3783" s="1" t="s">
        <v>8433</v>
      </c>
      <c r="C3783" s="1" t="s">
        <v>5279</v>
      </c>
      <c r="K3783" s="1" t="s">
        <v>99</v>
      </c>
      <c r="L3783" s="1" t="s">
        <v>27</v>
      </c>
      <c r="N3783" s="1" t="s">
        <v>3172</v>
      </c>
      <c r="O3783" s="1" t="s">
        <v>29</v>
      </c>
      <c r="R3783" s="1">
        <v>0.0</v>
      </c>
      <c r="S3783" s="1"/>
    </row>
    <row r="3784" ht="15.75" customHeight="1">
      <c r="A3784" s="1" t="s">
        <v>8434</v>
      </c>
      <c r="B3784" s="1" t="s">
        <v>8435</v>
      </c>
      <c r="C3784" s="1" t="s">
        <v>758</v>
      </c>
      <c r="K3784" s="1" t="s">
        <v>99</v>
      </c>
      <c r="L3784" s="1" t="s">
        <v>27</v>
      </c>
      <c r="N3784" s="1" t="s">
        <v>732</v>
      </c>
      <c r="O3784" s="1" t="s">
        <v>29</v>
      </c>
      <c r="R3784" s="1">
        <v>0.0</v>
      </c>
      <c r="S3784" s="1"/>
    </row>
    <row r="3785" ht="15.75" customHeight="1">
      <c r="A3785" s="1" t="s">
        <v>8436</v>
      </c>
      <c r="B3785" s="1" t="s">
        <v>8437</v>
      </c>
      <c r="C3785" s="1" t="s">
        <v>6193</v>
      </c>
      <c r="K3785" s="1" t="s">
        <v>99</v>
      </c>
      <c r="L3785" s="1" t="s">
        <v>27</v>
      </c>
      <c r="N3785" s="1" t="s">
        <v>1210</v>
      </c>
      <c r="O3785" s="1" t="s">
        <v>29</v>
      </c>
      <c r="R3785" s="1">
        <v>0.0</v>
      </c>
      <c r="S3785" s="1"/>
    </row>
    <row r="3786" ht="15.75" customHeight="1">
      <c r="A3786" s="1" t="s">
        <v>8438</v>
      </c>
      <c r="B3786" s="1" t="s">
        <v>8439</v>
      </c>
      <c r="C3786" s="1" t="s">
        <v>768</v>
      </c>
      <c r="K3786" s="1" t="s">
        <v>99</v>
      </c>
      <c r="L3786" s="1" t="s">
        <v>27</v>
      </c>
      <c r="N3786" s="1" t="s">
        <v>732</v>
      </c>
      <c r="O3786" s="1" t="s">
        <v>29</v>
      </c>
      <c r="R3786" s="1">
        <v>0.0</v>
      </c>
      <c r="S3786" s="1"/>
    </row>
    <row r="3787" ht="15.75" customHeight="1">
      <c r="A3787" s="1" t="s">
        <v>8440</v>
      </c>
      <c r="B3787" s="1" t="s">
        <v>8441</v>
      </c>
      <c r="R3787" s="1">
        <v>0.0</v>
      </c>
      <c r="S3787" s="1"/>
    </row>
    <row r="3788" ht="15.75" customHeight="1">
      <c r="A3788" s="1" t="s">
        <v>8442</v>
      </c>
      <c r="B3788" s="1" t="s">
        <v>8443</v>
      </c>
      <c r="C3788" s="1" t="s">
        <v>38</v>
      </c>
      <c r="K3788" s="1" t="s">
        <v>1910</v>
      </c>
      <c r="L3788" s="1" t="s">
        <v>1911</v>
      </c>
      <c r="N3788" s="1" t="s">
        <v>28</v>
      </c>
      <c r="O3788" s="1" t="s">
        <v>29</v>
      </c>
      <c r="R3788" s="1">
        <v>0.0</v>
      </c>
      <c r="S3788" s="1"/>
    </row>
    <row r="3789" ht="15.75" customHeight="1">
      <c r="A3789" s="1" t="s">
        <v>8444</v>
      </c>
      <c r="B3789" s="1" t="s">
        <v>8445</v>
      </c>
      <c r="C3789" s="1" t="s">
        <v>215</v>
      </c>
      <c r="K3789" s="1" t="s">
        <v>1910</v>
      </c>
      <c r="L3789" s="1" t="s">
        <v>1911</v>
      </c>
      <c r="N3789" s="1" t="s">
        <v>216</v>
      </c>
      <c r="O3789" s="1" t="s">
        <v>29</v>
      </c>
      <c r="R3789" s="1">
        <v>0.0</v>
      </c>
      <c r="S3789" s="1"/>
    </row>
    <row r="3790" ht="15.75" customHeight="1">
      <c r="A3790" s="1" t="s">
        <v>8446</v>
      </c>
      <c r="B3790" s="1" t="s">
        <v>8447</v>
      </c>
      <c r="C3790" s="1" t="s">
        <v>1988</v>
      </c>
      <c r="K3790" s="1" t="s">
        <v>99</v>
      </c>
      <c r="L3790" s="1" t="s">
        <v>27</v>
      </c>
      <c r="N3790" s="1" t="s">
        <v>1989</v>
      </c>
      <c r="O3790" s="1" t="s">
        <v>29</v>
      </c>
      <c r="R3790" s="1">
        <v>0.0</v>
      </c>
      <c r="S3790" s="1"/>
    </row>
    <row r="3791" ht="15.75" customHeight="1">
      <c r="A3791" s="1" t="s">
        <v>8448</v>
      </c>
      <c r="B3791" s="1" t="s">
        <v>8449</v>
      </c>
      <c r="C3791" s="1" t="s">
        <v>6193</v>
      </c>
      <c r="K3791" s="1" t="s">
        <v>99</v>
      </c>
      <c r="L3791" s="1" t="s">
        <v>27</v>
      </c>
      <c r="N3791" s="1" t="s">
        <v>1210</v>
      </c>
      <c r="O3791" s="1" t="s">
        <v>29</v>
      </c>
      <c r="R3791" s="1">
        <v>0.0</v>
      </c>
      <c r="S3791" s="1"/>
    </row>
    <row r="3792" ht="15.75" customHeight="1">
      <c r="A3792" s="1" t="s">
        <v>8450</v>
      </c>
      <c r="B3792" s="1" t="s">
        <v>8451</v>
      </c>
      <c r="C3792" s="1" t="s">
        <v>21</v>
      </c>
      <c r="K3792" s="1" t="s">
        <v>99</v>
      </c>
      <c r="L3792" s="1" t="s">
        <v>27</v>
      </c>
      <c r="N3792" s="1" t="s">
        <v>28</v>
      </c>
      <c r="O3792" s="1" t="s">
        <v>29</v>
      </c>
      <c r="R3792" s="1">
        <v>0.0</v>
      </c>
      <c r="S3792" s="1"/>
    </row>
    <row r="3793" ht="15.75" customHeight="1">
      <c r="A3793" s="1" t="s">
        <v>8452</v>
      </c>
      <c r="B3793" s="1" t="s">
        <v>8453</v>
      </c>
      <c r="C3793" s="1" t="s">
        <v>1949</v>
      </c>
      <c r="K3793" s="1" t="s">
        <v>99</v>
      </c>
      <c r="L3793" s="1" t="s">
        <v>27</v>
      </c>
      <c r="N3793" s="1" t="s">
        <v>1950</v>
      </c>
      <c r="O3793" s="1" t="s">
        <v>29</v>
      </c>
      <c r="R3793" s="1">
        <v>0.0</v>
      </c>
      <c r="S3793" s="1"/>
    </row>
    <row r="3794" ht="15.75" customHeight="1">
      <c r="A3794" s="1" t="s">
        <v>8454</v>
      </c>
      <c r="B3794" s="1" t="s">
        <v>8455</v>
      </c>
      <c r="C3794" s="1" t="s">
        <v>531</v>
      </c>
      <c r="K3794" s="1" t="s">
        <v>99</v>
      </c>
      <c r="L3794" s="1" t="s">
        <v>27</v>
      </c>
      <c r="N3794" s="1" t="s">
        <v>532</v>
      </c>
      <c r="O3794" s="1" t="s">
        <v>29</v>
      </c>
      <c r="R3794" s="1">
        <v>0.0</v>
      </c>
      <c r="S3794" s="1"/>
    </row>
    <row r="3795" ht="15.75" customHeight="1">
      <c r="A3795" s="1" t="s">
        <v>8456</v>
      </c>
      <c r="B3795" s="1" t="s">
        <v>8457</v>
      </c>
      <c r="C3795" s="1" t="s">
        <v>549</v>
      </c>
      <c r="K3795" s="1" t="s">
        <v>99</v>
      </c>
      <c r="L3795" s="1" t="s">
        <v>27</v>
      </c>
      <c r="N3795" s="1" t="s">
        <v>549</v>
      </c>
      <c r="O3795" s="1" t="s">
        <v>29</v>
      </c>
      <c r="R3795" s="1">
        <v>0.0</v>
      </c>
      <c r="S3795" s="1"/>
    </row>
    <row r="3796" ht="15.75" customHeight="1">
      <c r="A3796" s="1" t="s">
        <v>8458</v>
      </c>
      <c r="B3796" s="1" t="s">
        <v>8459</v>
      </c>
      <c r="C3796" s="1" t="s">
        <v>174</v>
      </c>
      <c r="K3796" s="1" t="s">
        <v>99</v>
      </c>
      <c r="L3796" s="1" t="s">
        <v>27</v>
      </c>
      <c r="N3796" s="1" t="s">
        <v>174</v>
      </c>
      <c r="O3796" s="1" t="s">
        <v>29</v>
      </c>
      <c r="R3796" s="1">
        <v>0.0</v>
      </c>
      <c r="S3796" s="1"/>
    </row>
    <row r="3797" ht="15.75" customHeight="1">
      <c r="A3797" s="1" t="s">
        <v>8460</v>
      </c>
      <c r="B3797" s="1" t="s">
        <v>8461</v>
      </c>
      <c r="C3797" s="1" t="s">
        <v>1786</v>
      </c>
      <c r="K3797" s="1" t="s">
        <v>99</v>
      </c>
      <c r="L3797" s="1" t="s">
        <v>27</v>
      </c>
      <c r="N3797" s="1" t="s">
        <v>1874</v>
      </c>
      <c r="O3797" s="1" t="s">
        <v>29</v>
      </c>
      <c r="R3797" s="1">
        <v>0.0</v>
      </c>
      <c r="S3797" s="1"/>
    </row>
    <row r="3798" ht="15.75" customHeight="1">
      <c r="A3798" s="1" t="s">
        <v>8462</v>
      </c>
      <c r="B3798" s="1" t="s">
        <v>8463</v>
      </c>
      <c r="C3798" s="1" t="s">
        <v>21</v>
      </c>
      <c r="K3798" s="1" t="s">
        <v>99</v>
      </c>
      <c r="L3798" s="1" t="s">
        <v>27</v>
      </c>
      <c r="N3798" s="1" t="s">
        <v>28</v>
      </c>
      <c r="O3798" s="1" t="s">
        <v>29</v>
      </c>
      <c r="R3798" s="1">
        <v>0.0</v>
      </c>
      <c r="S3798" s="1"/>
    </row>
    <row r="3799" ht="15.75" customHeight="1">
      <c r="A3799" s="1" t="s">
        <v>8464</v>
      </c>
      <c r="B3799" s="1" t="s">
        <v>8465</v>
      </c>
      <c r="C3799" s="1" t="s">
        <v>115</v>
      </c>
      <c r="K3799" s="1" t="s">
        <v>99</v>
      </c>
      <c r="L3799" s="1" t="s">
        <v>27</v>
      </c>
      <c r="N3799" s="1" t="s">
        <v>123</v>
      </c>
      <c r="O3799" s="1" t="s">
        <v>29</v>
      </c>
      <c r="R3799" s="1">
        <v>0.0</v>
      </c>
      <c r="S3799" s="1"/>
    </row>
    <row r="3800" ht="15.75" customHeight="1">
      <c r="A3800" s="1" t="s">
        <v>8466</v>
      </c>
      <c r="B3800" s="1" t="s">
        <v>8467</v>
      </c>
      <c r="C3800" s="1" t="s">
        <v>148</v>
      </c>
      <c r="K3800" s="1" t="s">
        <v>1910</v>
      </c>
      <c r="L3800" s="1" t="s">
        <v>1911</v>
      </c>
      <c r="N3800" s="1" t="s">
        <v>143</v>
      </c>
      <c r="O3800" s="1" t="s">
        <v>29</v>
      </c>
      <c r="R3800" s="1">
        <v>0.0</v>
      </c>
      <c r="S3800" s="1"/>
    </row>
    <row r="3801" ht="15.75" customHeight="1">
      <c r="A3801" s="1" t="s">
        <v>8468</v>
      </c>
      <c r="B3801" s="1" t="s">
        <v>8469</v>
      </c>
      <c r="C3801" s="1" t="s">
        <v>737</v>
      </c>
      <c r="K3801" s="1" t="s">
        <v>99</v>
      </c>
      <c r="L3801" s="1" t="s">
        <v>27</v>
      </c>
      <c r="N3801" s="1" t="s">
        <v>732</v>
      </c>
      <c r="O3801" s="1" t="s">
        <v>29</v>
      </c>
      <c r="R3801" s="1">
        <v>0.0</v>
      </c>
      <c r="S3801" s="1"/>
    </row>
    <row r="3802" ht="15.75" customHeight="1">
      <c r="A3802" s="1" t="s">
        <v>8470</v>
      </c>
      <c r="B3802" s="1" t="s">
        <v>8471</v>
      </c>
      <c r="C3802" s="1" t="s">
        <v>531</v>
      </c>
      <c r="K3802" s="1" t="s">
        <v>99</v>
      </c>
      <c r="L3802" s="1" t="s">
        <v>27</v>
      </c>
      <c r="N3802" s="1" t="s">
        <v>532</v>
      </c>
      <c r="O3802" s="1" t="s">
        <v>29</v>
      </c>
      <c r="R3802" s="1">
        <v>0.0</v>
      </c>
      <c r="S3802" s="1"/>
    </row>
    <row r="3803" ht="15.75" customHeight="1">
      <c r="A3803" s="1" t="s">
        <v>8472</v>
      </c>
      <c r="B3803" s="1" t="s">
        <v>8473</v>
      </c>
      <c r="C3803" s="1" t="s">
        <v>531</v>
      </c>
      <c r="K3803" s="1" t="s">
        <v>99</v>
      </c>
      <c r="L3803" s="1" t="s">
        <v>27</v>
      </c>
      <c r="N3803" s="1" t="s">
        <v>532</v>
      </c>
      <c r="O3803" s="1" t="s">
        <v>29</v>
      </c>
      <c r="R3803" s="1">
        <v>0.0</v>
      </c>
      <c r="S3803" s="1"/>
    </row>
    <row r="3804" ht="15.75" customHeight="1">
      <c r="A3804" s="1" t="s">
        <v>8474</v>
      </c>
      <c r="B3804" s="1" t="s">
        <v>8475</v>
      </c>
      <c r="C3804" s="1" t="s">
        <v>848</v>
      </c>
      <c r="K3804" s="1" t="s">
        <v>99</v>
      </c>
      <c r="L3804" s="1" t="s">
        <v>27</v>
      </c>
      <c r="N3804" s="1" t="s">
        <v>849</v>
      </c>
      <c r="O3804" s="1" t="s">
        <v>29</v>
      </c>
      <c r="R3804" s="1">
        <v>0.0</v>
      </c>
      <c r="S3804" s="1"/>
    </row>
    <row r="3805" ht="15.75" customHeight="1">
      <c r="A3805" s="1" t="s">
        <v>8476</v>
      </c>
      <c r="B3805" s="1" t="s">
        <v>8477</v>
      </c>
      <c r="C3805" s="1" t="s">
        <v>142</v>
      </c>
      <c r="K3805" s="1" t="s">
        <v>99</v>
      </c>
      <c r="L3805" s="1" t="s">
        <v>27</v>
      </c>
      <c r="N3805" s="1" t="s">
        <v>143</v>
      </c>
      <c r="O3805" s="1" t="s">
        <v>29</v>
      </c>
      <c r="R3805" s="1">
        <v>0.0</v>
      </c>
      <c r="S3805" s="1"/>
    </row>
    <row r="3806" ht="15.75" customHeight="1">
      <c r="A3806" s="1" t="s">
        <v>8478</v>
      </c>
      <c r="B3806" s="1" t="s">
        <v>8479</v>
      </c>
      <c r="C3806" s="1" t="s">
        <v>2372</v>
      </c>
      <c r="K3806" s="1" t="s">
        <v>99</v>
      </c>
      <c r="L3806" s="1" t="s">
        <v>27</v>
      </c>
      <c r="N3806" s="1" t="s">
        <v>1210</v>
      </c>
      <c r="O3806" s="1" t="s">
        <v>29</v>
      </c>
      <c r="R3806" s="1">
        <v>0.0</v>
      </c>
      <c r="S3806" s="1"/>
    </row>
    <row r="3807" ht="15.75" customHeight="1">
      <c r="A3807" s="1" t="s">
        <v>8480</v>
      </c>
      <c r="B3807" s="1" t="s">
        <v>8481</v>
      </c>
      <c r="C3807" s="1" t="s">
        <v>1112</v>
      </c>
      <c r="K3807" s="1" t="s">
        <v>99</v>
      </c>
      <c r="L3807" s="1" t="s">
        <v>27</v>
      </c>
      <c r="N3807" s="1" t="s">
        <v>1097</v>
      </c>
      <c r="O3807" s="1" t="s">
        <v>29</v>
      </c>
      <c r="R3807" s="1">
        <v>0.0</v>
      </c>
      <c r="S3807" s="1"/>
    </row>
    <row r="3808" ht="15.75" customHeight="1">
      <c r="A3808" s="1" t="s">
        <v>8482</v>
      </c>
      <c r="B3808" s="1" t="s">
        <v>8483</v>
      </c>
      <c r="C3808" s="1" t="s">
        <v>1112</v>
      </c>
      <c r="K3808" s="1" t="s">
        <v>99</v>
      </c>
      <c r="L3808" s="1" t="s">
        <v>27</v>
      </c>
      <c r="N3808" s="1" t="s">
        <v>1097</v>
      </c>
      <c r="O3808" s="1" t="s">
        <v>29</v>
      </c>
      <c r="R3808" s="1">
        <v>0.0</v>
      </c>
      <c r="S3808" s="1"/>
    </row>
    <row r="3809" ht="15.75" customHeight="1">
      <c r="A3809" s="1" t="s">
        <v>8484</v>
      </c>
      <c r="B3809" s="1" t="s">
        <v>8485</v>
      </c>
      <c r="C3809" s="1" t="s">
        <v>1573</v>
      </c>
      <c r="K3809" s="1" t="s">
        <v>99</v>
      </c>
      <c r="L3809" s="1" t="s">
        <v>27</v>
      </c>
      <c r="N3809" s="1" t="s">
        <v>216</v>
      </c>
      <c r="O3809" s="1" t="s">
        <v>29</v>
      </c>
      <c r="R3809" s="1">
        <v>0.0</v>
      </c>
      <c r="S3809" s="1"/>
    </row>
    <row r="3810" ht="15.75" customHeight="1">
      <c r="A3810" s="1" t="s">
        <v>8486</v>
      </c>
      <c r="B3810" s="1" t="s">
        <v>8487</v>
      </c>
      <c r="C3810" s="1" t="s">
        <v>737</v>
      </c>
      <c r="K3810" s="1" t="s">
        <v>99</v>
      </c>
      <c r="L3810" s="1" t="s">
        <v>27</v>
      </c>
      <c r="N3810" s="1" t="s">
        <v>732</v>
      </c>
      <c r="O3810" s="1" t="s">
        <v>29</v>
      </c>
      <c r="R3810" s="1">
        <v>0.0</v>
      </c>
      <c r="S3810" s="1"/>
    </row>
    <row r="3811" ht="15.75" customHeight="1">
      <c r="A3811" s="1" t="s">
        <v>8488</v>
      </c>
      <c r="B3811" s="1" t="s">
        <v>8489</v>
      </c>
      <c r="C3811" s="1" t="s">
        <v>1112</v>
      </c>
      <c r="K3811" s="1" t="s">
        <v>99</v>
      </c>
      <c r="L3811" s="1" t="s">
        <v>27</v>
      </c>
      <c r="N3811" s="1" t="s">
        <v>1097</v>
      </c>
      <c r="O3811" s="1" t="s">
        <v>29</v>
      </c>
      <c r="R3811" s="1">
        <v>0.0</v>
      </c>
      <c r="S3811" s="1"/>
    </row>
    <row r="3812" ht="15.75" customHeight="1">
      <c r="A3812" s="1" t="s">
        <v>8490</v>
      </c>
      <c r="B3812" s="1" t="s">
        <v>8491</v>
      </c>
      <c r="C3812" s="1" t="s">
        <v>21</v>
      </c>
      <c r="K3812" s="1" t="s">
        <v>99</v>
      </c>
      <c r="L3812" s="1" t="s">
        <v>27</v>
      </c>
      <c r="N3812" s="1" t="s">
        <v>28</v>
      </c>
      <c r="O3812" s="1" t="s">
        <v>29</v>
      </c>
      <c r="R3812" s="1">
        <v>0.0</v>
      </c>
      <c r="S3812" s="1"/>
    </row>
  </sheetData>
  <drawing r:id="rId1"/>
</worksheet>
</file>